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 name="Student 2" sheetId="4" state="visible" r:id="rId4"/>
    <sheet name="Student 3" sheetId="5" state="visible" r:id="rId5"/>
    <sheet name="Student 4" sheetId="6" state="visible" r:id="rId6"/>
    <sheet name="Student 5" sheetId="7" state="visible" r:id="rId7"/>
    <sheet name="Student 6" sheetId="8" state="visible" r:id="rId8"/>
    <sheet name="Student 7" sheetId="9" state="visible" r:id="rId9"/>
    <sheet name="Student 8" sheetId="10" state="visible" r:id="rId10"/>
    <sheet name="Student 9" sheetId="11" state="visible" r:id="rId11"/>
    <sheet name="Student 10" sheetId="12" state="visible" r:id="rId12"/>
  </sheets>
  <definedNames>
    <definedName name="_xlnm._FilterDatabase" localSheetId="1" hidden="1">'Course Content'!$A$7:$I$147</definedName>
  </definedNames>
  <calcPr calcId="124519" fullCalcOnLoad="1"/>
</workbook>
</file>

<file path=xl/styles.xml><?xml version="1.0" encoding="utf-8"?>
<styleSheet xmlns="http://schemas.openxmlformats.org/spreadsheetml/2006/main">
  <numFmts count="1">
    <numFmt numFmtId="164" formatCode="MM/DD/YYYY"/>
  </numFmts>
  <fonts count="25">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CE8282"/>
      <sz val="12"/>
    </font>
    <font>
      <name val="Calibri"/>
      <b val="1"/>
      <color rgb="006B5C55"/>
      <sz val="9"/>
    </font>
    <font>
      <name val="Calibri"/>
      <color rgb="00A08878"/>
      <sz val="10"/>
    </font>
    <font>
      <name val="Calibri"/>
      <color rgb="00FFFFFF"/>
      <sz val="11"/>
    </font>
    <font>
      <name val="Calibri"/>
      <b val="1"/>
      <color rgb="005C7A52"/>
      <sz val="9"/>
    </font>
    <font>
      <name val="Calibri"/>
      <b val="1"/>
      <color rgb="00FAF8F6"/>
      <sz val="9"/>
    </font>
    <font>
      <name val="Calibri"/>
      <b val="1"/>
      <color rgb="008A6A30"/>
      <sz val="9"/>
    </font>
    <font>
      <name val="Calibri"/>
      <b val="1"/>
      <color rgb="006B5C55"/>
      <sz val="12"/>
    </font>
    <font>
      <name val="Calibri"/>
      <b val="1"/>
      <color rgb="005C7A52"/>
      <sz val="11"/>
    </font>
    <font>
      <name val="Calibri"/>
      <color rgb="005C7A52"/>
      <sz val="9"/>
    </font>
    <font>
      <name val="Calibri"/>
      <b val="1"/>
      <color rgb="008A6A30"/>
      <sz val="11"/>
    </font>
    <font>
      <name val="Calibri"/>
      <color rgb="008A6A30"/>
      <sz val="9"/>
    </font>
    <font>
      <name val="Calibri"/>
      <color rgb="006B5C55"/>
      <sz val="9"/>
    </font>
  </fonts>
  <fills count="14">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5C7A52"/>
        <bgColor rgb="005C7A52"/>
      </patternFill>
    </fill>
    <fill>
      <patternFill patternType="solid">
        <fgColor rgb="008A6A30"/>
        <bgColor rgb="008A6A30"/>
      </patternFill>
    </fill>
    <fill>
      <patternFill patternType="solid">
        <fgColor rgb="00F5EDE3"/>
        <bgColor rgb="00F5EDE3"/>
      </patternFill>
    </fill>
  </fills>
  <borders count="5">
    <border>
      <left/>
      <right/>
      <top/>
      <bottom/>
      <diagonal/>
    </border>
    <border>
      <left style="thin">
        <color rgb="00D4C4BB"/>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
      <left style="medium">
        <color rgb="00CE8282"/>
      </left>
      <right style="thin">
        <color rgb="00D4C4BB"/>
      </right>
      <top style="thin">
        <color rgb="00D4C4BB"/>
      </top>
      <bottom style="thin">
        <color rgb="00D4C4BB"/>
      </bottom>
    </border>
    <border>
      <bottom style="thin">
        <color rgb="00D4C4BB"/>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3" fillId="8" borderId="2" applyAlignment="1" pivotButton="0" quotePrefix="0" xfId="0">
      <alignment horizontal="right" vertical="center"/>
    </xf>
    <xf numFmtId="0" fontId="12" fillId="4" borderId="2" applyAlignment="1" pivotButton="0" quotePrefix="0" xfId="0">
      <alignment horizontal="center" vertical="center"/>
    </xf>
    <xf numFmtId="0" fontId="2" fillId="8" borderId="2" applyAlignment="1" pivotButton="0" quotePrefix="0" xfId="0">
      <alignment horizontal="left" vertical="center"/>
    </xf>
    <xf numFmtId="0" fontId="6" fillId="8" borderId="0" applyAlignment="1" pivotButton="0" quotePrefix="0" xfId="0">
      <alignment horizontal="left" vertical="center"/>
    </xf>
    <xf numFmtId="0" fontId="6" fillId="9" borderId="0" applyAlignment="1" pivotButton="0" quotePrefix="0" xfId="0">
      <alignment horizontal="left" vertical="center"/>
    </xf>
    <xf numFmtId="0" fontId="13" fillId="3" borderId="1" applyAlignment="1" pivotButton="0" quotePrefix="0" xfId="0">
      <alignment horizontal="center" vertical="center" wrapText="1"/>
    </xf>
    <xf numFmtId="0" fontId="3" fillId="4" borderId="1" applyAlignment="1" pivotButton="0" quotePrefix="0" xfId="0">
      <alignment horizontal="center" vertical="center"/>
    </xf>
    <xf numFmtId="0" fontId="14" fillId="6" borderId="1" applyAlignment="1" pivotButton="0" quotePrefix="0" xfId="0">
      <alignment horizontal="left" vertical="center"/>
    </xf>
    <xf numFmtId="0" fontId="6" fillId="6" borderId="1" applyAlignment="1" pivotButton="0" quotePrefix="0" xfId="0">
      <alignment horizontal="left" vertical="center"/>
    </xf>
    <xf numFmtId="0" fontId="4" fillId="4"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left" vertical="center"/>
    </xf>
    <xf numFmtId="0" fontId="11" fillId="4" borderId="1" applyAlignment="1" pivotButton="0" quotePrefix="0" xfId="0">
      <alignment horizontal="left" vertical="center"/>
    </xf>
    <xf numFmtId="0" fontId="11" fillId="9" borderId="1" applyAlignment="1" pivotButton="0" quotePrefix="0" xfId="0">
      <alignment horizontal="left" vertical="center"/>
    </xf>
    <xf numFmtId="0" fontId="15" fillId="10" borderId="0" applyAlignment="1" pivotButton="0" quotePrefix="0" xfId="0">
      <alignment horizontal="center" vertical="center"/>
    </xf>
    <xf numFmtId="0" fontId="10" fillId="11" borderId="1" applyAlignment="1" pivotButton="0" quotePrefix="0" xfId="0">
      <alignment horizontal="center" vertical="center"/>
    </xf>
    <xf numFmtId="0" fontId="0" fillId="9" borderId="0" pivotButton="0" quotePrefix="0" xfId="0"/>
    <xf numFmtId="0" fontId="10" fillId="12" borderId="1" applyAlignment="1" pivotButton="0" quotePrefix="0" xfId="0">
      <alignment horizontal="center" vertical="center"/>
    </xf>
    <xf numFmtId="0" fontId="16" fillId="5"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7" borderId="1" applyAlignment="1" pivotButton="0" quotePrefix="0" xfId="0">
      <alignment horizontal="center" vertical="center" wrapText="1"/>
    </xf>
    <xf numFmtId="0" fontId="19" fillId="13" borderId="3" applyAlignment="1" pivotButton="0" quotePrefix="0" xfId="0">
      <alignment horizontal="left" vertical="center"/>
    </xf>
    <xf numFmtId="0" fontId="2" fillId="6" borderId="1" applyAlignment="1" pivotButton="0" quotePrefix="0" xfId="0">
      <alignment horizontal="left" vertical="center"/>
    </xf>
    <xf numFmtId="0" fontId="20" fillId="5" borderId="1" applyAlignment="1" pivotButton="0" quotePrefix="0" xfId="0">
      <alignment horizontal="center" vertical="center"/>
    </xf>
    <xf numFmtId="0" fontId="5" fillId="5" borderId="1" applyAlignment="1" pivotButton="0" quotePrefix="0" xfId="0">
      <alignment horizontal="center" vertical="center"/>
    </xf>
    <xf numFmtId="0" fontId="21" fillId="5" borderId="1" applyAlignment="1" pivotButton="0" quotePrefix="0" xfId="0">
      <alignment horizontal="center" vertical="center"/>
    </xf>
    <xf numFmtId="0" fontId="22" fillId="7" borderId="1" applyAlignment="1" pivotButton="0" quotePrefix="0" xfId="0">
      <alignment horizontal="center" vertical="center"/>
    </xf>
    <xf numFmtId="0" fontId="8" fillId="7" borderId="1" applyAlignment="1" pivotButton="0" quotePrefix="0" xfId="0">
      <alignment horizontal="center" vertical="center"/>
    </xf>
    <xf numFmtId="0" fontId="23" fillId="7" borderId="1" applyAlignment="1" pivotButton="0" quotePrefix="0" xfId="0">
      <alignment horizontal="center" vertical="center"/>
    </xf>
    <xf numFmtId="0" fontId="6" fillId="9" borderId="4" applyAlignment="1" pivotButton="0" quotePrefix="0" xfId="0">
      <alignment horizontal="left" vertical="center"/>
    </xf>
    <xf numFmtId="0" fontId="3" fillId="3" borderId="1" applyAlignment="1" pivotButton="0" quotePrefix="0" xfId="0">
      <alignment horizontal="center" vertical="center"/>
    </xf>
    <xf numFmtId="0" fontId="24" fillId="6" borderId="1" applyAlignment="1" pivotButton="0" quotePrefix="0" xfId="0">
      <alignment horizontal="center" vertical="center"/>
    </xf>
    <xf numFmtId="0" fontId="4" fillId="9" borderId="1" applyAlignment="1" pivotButton="0" quotePrefix="0" xfId="0">
      <alignment horizontal="center" vertical="center"/>
    </xf>
    <xf numFmtId="0" fontId="6" fillId="6" borderId="4" applyAlignment="1" pivotButton="0" quotePrefix="0" xfId="0">
      <alignment horizontal="left" vertical="center"/>
    </xf>
  </cellXfs>
  <cellStyles count="1">
    <cellStyle name="Normal" xfId="0" builtinId="0" hidden="0"/>
  </cellStyles>
  <dxfs count="1">
    <dxf>
      <fill>
        <patternFill patternType="solid">
          <fgColor rgb="00FAF0F0"/>
          <bgColor rgb="00FAF0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5"/>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c r="J28" s="14" t="inlineStr"/>
    </row>
    <row r="29" ht="22" customHeight="1">
      <c r="A29" s="15" t="n">
        <v>1</v>
      </c>
      <c r="B29" s="5" t="n"/>
      <c r="D29" s="7" t="n"/>
      <c r="E29" s="16" t="n"/>
      <c r="F29" s="17">
        <f>IF(OR(B29="",E29=""),"",LET(g,12-(E29-YEAR($C$19)),IF(g=11,"11th",IF(g=12,"12th",IF(g=1,"1st",IF(g=2,"2nd",IF(g=3,"3rd",g&amp;"th")))))))</f>
        <v/>
      </c>
      <c r="G29" s="5" t="n"/>
    </row>
    <row r="30" ht="22" customHeight="1">
      <c r="A30" s="15" t="n">
        <v>2</v>
      </c>
      <c r="B30" s="18" t="n"/>
      <c r="D30" s="19" t="n"/>
      <c r="E30" s="20" t="n"/>
      <c r="F30" s="17">
        <f>IF(OR(B30="",E30=""),"",LET(g,12-(E30-YEAR($C$19)),IF(g=11,"11th",IF(g=12,"12th",IF(g=1,"1st",IF(g=2,"2nd",IF(g=3,"3rd",g&amp;"th")))))))</f>
        <v/>
      </c>
      <c r="G30" s="18" t="n"/>
    </row>
    <row r="31" ht="22" customHeight="1">
      <c r="A31" s="15" t="n">
        <v>3</v>
      </c>
      <c r="B31" s="5" t="n"/>
      <c r="D31" s="7" t="n"/>
      <c r="E31" s="16" t="n"/>
      <c r="F31" s="17">
        <f>IF(OR(B31="",E31=""),"",LET(g,12-(E31-YEAR($C$19)),IF(g=11,"11th",IF(g=12,"12th",IF(g=1,"1st",IF(g=2,"2nd",IF(g=3,"3rd",g&amp;"th")))))))</f>
        <v/>
      </c>
      <c r="G31" s="5" t="n"/>
    </row>
    <row r="32" ht="22" customHeight="1">
      <c r="A32" s="15" t="n">
        <v>4</v>
      </c>
      <c r="B32" s="18" t="n"/>
      <c r="D32" s="19" t="n"/>
      <c r="E32" s="20" t="n"/>
      <c r="F32" s="17">
        <f>IF(OR(B32="",E32=""),"",LET(g,12-(E32-YEAR($C$19)),IF(g=11,"11th",IF(g=12,"12th",IF(g=1,"1st",IF(g=2,"2nd",IF(g=3,"3rd",g&amp;"th")))))))</f>
        <v/>
      </c>
      <c r="G32" s="18" t="n"/>
    </row>
    <row r="33" ht="8" customHeight="1">
      <c r="A33" s="15" t="n">
        <v>5</v>
      </c>
      <c r="B33" s="5" t="n"/>
      <c r="D33" s="7" t="n"/>
      <c r="E33" s="16" t="n"/>
      <c r="F33" s="17">
        <f>IF(OR(B33="",E33=""),"",LET(g,12-(E33-YEAR($C$19)),IF(g=11,"11th",IF(g=12,"12th",IF(g=1,"1st",IF(g=2,"2nd",IF(g=3,"3rd",g&amp;"th")))))))</f>
        <v/>
      </c>
      <c r="G33" s="5" t="n"/>
    </row>
    <row r="34" ht="22" customHeight="1">
      <c r="A34" s="15" t="n">
        <v>6</v>
      </c>
      <c r="B34" s="18" t="n"/>
      <c r="D34" s="19" t="n"/>
      <c r="E34" s="20" t="n"/>
      <c r="F34" s="17">
        <f>IF(OR(B34="",E34=""),"",LET(g,12-(E34-YEAR($C$19)),IF(g=11,"11th",IF(g=12,"12th",IF(g=1,"1st",IF(g=2,"2nd",IF(g=3,"3rd",g&amp;"th")))))))</f>
        <v/>
      </c>
      <c r="G34" s="18" t="n"/>
    </row>
    <row r="35" ht="22" customHeight="1">
      <c r="A35" s="15" t="n">
        <v>7</v>
      </c>
      <c r="B35" s="5" t="n"/>
      <c r="D35" s="7" t="n"/>
      <c r="E35" s="16" t="n"/>
      <c r="F35" s="17">
        <f>IF(OR(B35="",E35=""),"",LET(g,12-(E35-YEAR($C$19)),IF(g=11,"11th",IF(g=12,"12th",IF(g=1,"1st",IF(g=2,"2nd",IF(g=3,"3rd",g&amp;"th")))))))</f>
        <v/>
      </c>
      <c r="G35" s="5" t="n"/>
    </row>
    <row r="36" ht="22" customHeight="1">
      <c r="A36" s="15" t="n">
        <v>8</v>
      </c>
      <c r="B36" s="18" t="n"/>
      <c r="D36" s="19" t="n"/>
      <c r="E36" s="20" t="n"/>
      <c r="F36" s="17">
        <f>IF(OR(B36="",E36=""),"",LET(g,12-(E36-YEAR($C$19)),IF(g=11,"11th",IF(g=12,"12th",IF(g=1,"1st",IF(g=2,"2nd",IF(g=3,"3rd",g&amp;"th")))))))</f>
        <v/>
      </c>
      <c r="G36" s="18" t="n"/>
    </row>
    <row r="37" ht="22" customHeight="1">
      <c r="A37" s="15" t="n">
        <v>9</v>
      </c>
      <c r="B37" s="5" t="n"/>
      <c r="D37" s="7" t="n"/>
      <c r="E37" s="16" t="n"/>
      <c r="F37" s="17">
        <f>IF(OR(B37="",E37=""),"",LET(g,12-(E37-YEAR($C$19)),IF(g=11,"11th",IF(g=12,"12th",IF(g=1,"1st",IF(g=2,"2nd",IF(g=3,"3rd",g&amp;"th")))))))</f>
        <v/>
      </c>
      <c r="G37" s="5" t="n"/>
    </row>
    <row r="38" ht="22" customHeight="1">
      <c r="A38" s="15" t="n">
        <v>10</v>
      </c>
      <c r="B38" s="18" t="n"/>
      <c r="D38" s="19" t="n"/>
      <c r="E38" s="20" t="n"/>
      <c r="F38" s="17">
        <f>IF(OR(B38="",E38=""),"",LET(g,12-(E38-YEAR($C$19)),IF(g=11,"11th",IF(g=12,"12th",IF(g=1,"1st",IF(g=2,"2nd",IF(g=3,"3rd",g&amp;"th")))))))</f>
        <v/>
      </c>
      <c r="G38" s="18" t="n"/>
    </row>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tab auto-populates pace calculations from Course Content.</t>
        </is>
      </c>
    </row>
    <row r="45" ht="18" customHeight="1">
      <c r="A45" s="21" t="inlineStr">
        <is>
          <t>5.  Yellow cells = type here.   Cream/tinted cells = formulas, leave them alone.</t>
        </is>
      </c>
    </row>
  </sheetData>
  <mergeCells count="63">
    <mergeCell ref="C23:F23"/>
    <mergeCell ref="G28:I28"/>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A45:J45"/>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A08878"/>
    <outlinePr summaryBelow="1" summaryRight="1"/>
    <pageSetUpPr/>
  </sheetPr>
  <dimension ref="A1:I147"/>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8" customWidth="1" min="3" max="3"/>
    <col width="18" customWidth="1" min="4" max="4"/>
    <col width="34" customWidth="1" min="5" max="5"/>
    <col width="12" customWidth="1" min="6" max="6"/>
    <col width="11" customWidth="1" min="7" max="7"/>
    <col width="11" customWidth="1" min="8" max="8"/>
    <col width="32" customWidth="1" min="9" max="9"/>
    <col width="4" customWidth="1" min="10" max="10"/>
  </cols>
  <sheetData>
    <row r="1" ht="40" customHeight="1">
      <c r="A1" s="1" t="inlineStr">
        <is>
          <t>Course Content  ·  Curriculum Planning Hub</t>
        </is>
      </c>
    </row>
    <row r="2" ht="20" customHeight="1">
      <c r="A2" s="3" t="inlineStr">
        <is>
          <t>Enter each student's curricula here. Use the  View Student  filter below to focus on one student at a time.</t>
        </is>
      </c>
    </row>
    <row r="3" ht="8" customHeight="1"/>
    <row r="4" ht="22" customHeight="1">
      <c r="A4" s="23" t="inlineStr">
        <is>
          <t>View / Filter Student:</t>
        </is>
      </c>
      <c r="C4" s="24" t="n">
        <v>1</v>
      </c>
      <c r="D4" s="25">
        <f>IFERROR("→  "&amp;CHOOSE(C4,'Getting Started'!B29,'Getting Started'!B30,'Getting Started'!B31,'Getting Started'!B32,'Getting Started'!B33,'Getting Started'!B34,'Getting Started'!B35,'Getting Started'!B36,'Getting Started'!B37,'Getting Started'!B38),"→")</f>
        <v/>
      </c>
      <c r="F4" s="26" t="inlineStr">
        <is>
          <t>Rows highlighted in pink = selected student's courses.</t>
        </is>
      </c>
    </row>
    <row r="5" ht="8" customHeight="1"/>
    <row r="6" ht="16" customHeight="1">
      <c r="A6" s="27" t="inlineStr">
        <is>
          <t xml:space="preserve">  Tip: Use the column filter arrows (▼) to show only one student's rows.  Yellow cells = type here.  All other cells are locked formulas.</t>
        </is>
      </c>
    </row>
    <row r="7" ht="28" customHeight="1">
      <c r="A7" s="28" t="inlineStr">
        <is>
          <t>Std
#</t>
        </is>
      </c>
      <c r="B7" s="28" t="inlineStr">
        <is>
          <t>Student Name</t>
        </is>
      </c>
      <c r="C7" s="28" t="inlineStr">
        <is>
          <t>Subject</t>
        </is>
      </c>
      <c r="D7" s="28" t="inlineStr">
        <is>
          <t>Custom Name
(Electives)</t>
        </is>
      </c>
      <c r="E7" s="28" t="inlineStr">
        <is>
          <t>Curriculum / Book Title</t>
        </is>
      </c>
      <c r="F7" s="28" t="inlineStr">
        <is>
          <t>Unit
Type</t>
        </is>
      </c>
      <c r="G7" s="28" t="inlineStr">
        <is>
          <t>Semester 1
Units</t>
        </is>
      </c>
      <c r="H7" s="28" t="inlineStr">
        <is>
          <t>Semester 2
Units</t>
        </is>
      </c>
      <c r="I7" s="28" t="inlineStr">
        <is>
          <t>Notes</t>
        </is>
      </c>
    </row>
    <row r="8" ht="20" customHeight="1">
      <c r="A8" s="29" t="n">
        <v>1</v>
      </c>
      <c r="B8" s="30">
        <f>'Getting Started'!B29</f>
        <v/>
      </c>
      <c r="C8" s="4" t="inlineStr">
        <is>
          <t>Bible</t>
        </is>
      </c>
      <c r="D8" s="31" t="inlineStr">
        <is>
          <t>—</t>
        </is>
      </c>
      <c r="E8" s="5" t="n"/>
      <c r="F8" s="32" t="inlineStr">
        <is>
          <t>pages</t>
        </is>
      </c>
      <c r="G8" s="32" t="n"/>
      <c r="H8" s="32" t="n"/>
      <c r="I8" s="5" t="n"/>
    </row>
    <row r="9" ht="20" customHeight="1">
      <c r="A9" s="33" t="n">
        <v>1</v>
      </c>
      <c r="B9" s="30">
        <f>'Getting Started'!B29</f>
        <v/>
      </c>
      <c r="C9" s="34" t="inlineStr">
        <is>
          <t>Math</t>
        </is>
      </c>
      <c r="D9" s="31" t="inlineStr">
        <is>
          <t>—</t>
        </is>
      </c>
      <c r="E9" s="5" t="n"/>
      <c r="F9" s="32" t="inlineStr">
        <is>
          <t>pages</t>
        </is>
      </c>
      <c r="G9" s="32" t="n"/>
      <c r="H9" s="32" t="n"/>
      <c r="I9" s="5" t="n"/>
    </row>
    <row r="10" ht="20" customHeight="1">
      <c r="A10" s="29" t="n">
        <v>1</v>
      </c>
      <c r="B10" s="30">
        <f>'Getting Started'!B29</f>
        <v/>
      </c>
      <c r="C10" s="4" t="inlineStr">
        <is>
          <t>English / Language Arts</t>
        </is>
      </c>
      <c r="D10" s="31" t="inlineStr">
        <is>
          <t>—</t>
        </is>
      </c>
      <c r="E10" s="5" t="n"/>
      <c r="F10" s="32" t="inlineStr">
        <is>
          <t>pages</t>
        </is>
      </c>
      <c r="G10" s="32" t="n"/>
      <c r="H10" s="32" t="n"/>
      <c r="I10" s="5" t="n"/>
    </row>
    <row r="11" ht="20" customHeight="1">
      <c r="A11" s="33" t="n">
        <v>1</v>
      </c>
      <c r="B11" s="30">
        <f>'Getting Started'!B29</f>
        <v/>
      </c>
      <c r="C11" s="34" t="inlineStr">
        <is>
          <t>Reading</t>
        </is>
      </c>
      <c r="D11" s="31" t="inlineStr">
        <is>
          <t>—</t>
        </is>
      </c>
      <c r="E11" s="5" t="n"/>
      <c r="F11" s="32" t="inlineStr">
        <is>
          <t>pages</t>
        </is>
      </c>
      <c r="G11" s="32" t="n"/>
      <c r="H11" s="32" t="n"/>
      <c r="I11" s="5" t="n"/>
    </row>
    <row r="12" ht="20" customHeight="1">
      <c r="A12" s="29" t="n">
        <v>1</v>
      </c>
      <c r="B12" s="30">
        <f>'Getting Started'!B29</f>
        <v/>
      </c>
      <c r="C12" s="4" t="inlineStr">
        <is>
          <t>Writing / Composition</t>
        </is>
      </c>
      <c r="D12" s="31" t="inlineStr">
        <is>
          <t>—</t>
        </is>
      </c>
      <c r="E12" s="5" t="n"/>
      <c r="F12" s="32" t="inlineStr">
        <is>
          <t>pages</t>
        </is>
      </c>
      <c r="G12" s="32" t="n"/>
      <c r="H12" s="32" t="n"/>
      <c r="I12" s="5" t="n"/>
    </row>
    <row r="13" ht="20" customHeight="1">
      <c r="A13" s="33" t="n">
        <v>1</v>
      </c>
      <c r="B13" s="30">
        <f>'Getting Started'!B29</f>
        <v/>
      </c>
      <c r="C13" s="34" t="inlineStr">
        <is>
          <t>Science</t>
        </is>
      </c>
      <c r="D13" s="31" t="inlineStr">
        <is>
          <t>—</t>
        </is>
      </c>
      <c r="E13" s="5" t="n"/>
      <c r="F13" s="32" t="inlineStr">
        <is>
          <t>pages</t>
        </is>
      </c>
      <c r="G13" s="32" t="n"/>
      <c r="H13" s="32" t="n"/>
      <c r="I13" s="5" t="n"/>
    </row>
    <row r="14" ht="20" customHeight="1">
      <c r="A14" s="29" t="n">
        <v>1</v>
      </c>
      <c r="B14" s="30">
        <f>'Getting Started'!B29</f>
        <v/>
      </c>
      <c r="C14" s="4" t="inlineStr">
        <is>
          <t>Social Studies / History</t>
        </is>
      </c>
      <c r="D14" s="31" t="inlineStr">
        <is>
          <t>—</t>
        </is>
      </c>
      <c r="E14" s="5" t="n"/>
      <c r="F14" s="32" t="inlineStr">
        <is>
          <t>pages</t>
        </is>
      </c>
      <c r="G14" s="32" t="n"/>
      <c r="H14" s="32" t="n"/>
      <c r="I14" s="5" t="n"/>
    </row>
    <row r="15" ht="20" customHeight="1">
      <c r="A15" s="33" t="n">
        <v>1</v>
      </c>
      <c r="B15" s="30">
        <f>'Getting Started'!B29</f>
        <v/>
      </c>
      <c r="C15" s="34" t="inlineStr">
        <is>
          <t>Health</t>
        </is>
      </c>
      <c r="D15" s="31" t="inlineStr">
        <is>
          <t>—</t>
        </is>
      </c>
      <c r="E15" s="5" t="n"/>
      <c r="F15" s="32" t="inlineStr">
        <is>
          <t>pages</t>
        </is>
      </c>
      <c r="G15" s="32" t="n"/>
      <c r="H15" s="32" t="n"/>
      <c r="I15" s="5" t="n"/>
    </row>
    <row r="16" ht="20" customHeight="1">
      <c r="A16" s="29" t="n">
        <v>1</v>
      </c>
      <c r="B16" s="30">
        <f>'Getting Started'!B29</f>
        <v/>
      </c>
      <c r="C16" s="4" t="inlineStr">
        <is>
          <t>Physical Education</t>
        </is>
      </c>
      <c r="D16" s="31" t="inlineStr">
        <is>
          <t>—</t>
        </is>
      </c>
      <c r="E16" s="5" t="n"/>
      <c r="F16" s="32" t="inlineStr">
        <is>
          <t>pages</t>
        </is>
      </c>
      <c r="G16" s="32" t="n"/>
      <c r="H16" s="32" t="n"/>
      <c r="I16" s="5" t="n"/>
    </row>
    <row r="17" ht="20" customHeight="1">
      <c r="A17" s="33" t="n">
        <v>1</v>
      </c>
      <c r="B17" s="30">
        <f>'Getting Started'!B29</f>
        <v/>
      </c>
      <c r="C17" s="34" t="inlineStr">
        <is>
          <t>Art / Music</t>
        </is>
      </c>
      <c r="D17" s="31" t="inlineStr">
        <is>
          <t>—</t>
        </is>
      </c>
      <c r="E17" s="5" t="n"/>
      <c r="F17" s="32" t="inlineStr">
        <is>
          <t>pages</t>
        </is>
      </c>
      <c r="G17" s="32" t="n"/>
      <c r="H17" s="32" t="n"/>
      <c r="I17" s="5" t="n"/>
    </row>
    <row r="18" ht="20" customHeight="1">
      <c r="A18" s="29" t="n">
        <v>1</v>
      </c>
      <c r="B18" s="30">
        <f>'Getting Started'!B29</f>
        <v/>
      </c>
      <c r="C18" s="35" t="inlineStr">
        <is>
          <t>Elective / Other 1</t>
        </is>
      </c>
      <c r="D18" s="5" t="n"/>
      <c r="E18" s="5" t="n"/>
      <c r="F18" s="32" t="inlineStr">
        <is>
          <t>pages</t>
        </is>
      </c>
      <c r="G18" s="32" t="n"/>
      <c r="H18" s="32" t="n"/>
      <c r="I18" s="5" t="n"/>
    </row>
    <row r="19" ht="20" customHeight="1">
      <c r="A19" s="33" t="n">
        <v>1</v>
      </c>
      <c r="B19" s="30">
        <f>'Getting Started'!B29</f>
        <v/>
      </c>
      <c r="C19" s="36" t="inlineStr">
        <is>
          <t>Elective / Other 2</t>
        </is>
      </c>
      <c r="D19" s="5" t="n"/>
      <c r="E19" s="5" t="n"/>
      <c r="F19" s="32" t="inlineStr">
        <is>
          <t>pages</t>
        </is>
      </c>
      <c r="G19" s="32" t="n"/>
      <c r="H19" s="32" t="n"/>
      <c r="I19" s="5" t="n"/>
    </row>
    <row r="20" ht="20" customHeight="1">
      <c r="A20" s="29" t="n">
        <v>1</v>
      </c>
      <c r="B20" s="30">
        <f>'Getting Started'!B29</f>
        <v/>
      </c>
      <c r="C20" s="35" t="inlineStr">
        <is>
          <t>Elective / Other 3</t>
        </is>
      </c>
      <c r="D20" s="5" t="n"/>
      <c r="E20" s="5" t="n"/>
      <c r="F20" s="32" t="inlineStr">
        <is>
          <t>pages</t>
        </is>
      </c>
      <c r="G20" s="32" t="n"/>
      <c r="H20" s="32" t="n"/>
      <c r="I20" s="5" t="n"/>
    </row>
    <row r="21" ht="20" customHeight="1">
      <c r="A21" s="33" t="n">
        <v>1</v>
      </c>
      <c r="B21" s="30">
        <f>'Getting Started'!B29</f>
        <v/>
      </c>
      <c r="C21" s="36" t="inlineStr">
        <is>
          <t>Elective / Other 4</t>
        </is>
      </c>
      <c r="D21" s="5" t="n"/>
      <c r="E21" s="5" t="n"/>
      <c r="F21" s="32" t="inlineStr">
        <is>
          <t>pages</t>
        </is>
      </c>
      <c r="G21" s="32" t="n"/>
      <c r="H21" s="32" t="n"/>
      <c r="I21" s="5" t="n"/>
    </row>
    <row r="22" ht="20" customHeight="1">
      <c r="A22" s="29" t="n">
        <v>2</v>
      </c>
      <c r="B22" s="30">
        <f>'Getting Started'!B30</f>
        <v/>
      </c>
      <c r="C22" s="4" t="inlineStr">
        <is>
          <t>Bible</t>
        </is>
      </c>
      <c r="D22" s="31" t="inlineStr">
        <is>
          <t>—</t>
        </is>
      </c>
      <c r="E22" s="5" t="n"/>
      <c r="F22" s="32" t="inlineStr">
        <is>
          <t>pages</t>
        </is>
      </c>
      <c r="G22" s="32" t="n"/>
      <c r="H22" s="32" t="n"/>
      <c r="I22" s="5" t="n"/>
    </row>
    <row r="23" ht="20" customHeight="1">
      <c r="A23" s="33" t="n">
        <v>2</v>
      </c>
      <c r="B23" s="30">
        <f>'Getting Started'!B30</f>
        <v/>
      </c>
      <c r="C23" s="34" t="inlineStr">
        <is>
          <t>Math</t>
        </is>
      </c>
      <c r="D23" s="31" t="inlineStr">
        <is>
          <t>—</t>
        </is>
      </c>
      <c r="E23" s="5" t="n"/>
      <c r="F23" s="32" t="inlineStr">
        <is>
          <t>pages</t>
        </is>
      </c>
      <c r="G23" s="32" t="n"/>
      <c r="H23" s="32" t="n"/>
      <c r="I23" s="5" t="n"/>
    </row>
    <row r="24" ht="20" customHeight="1">
      <c r="A24" s="29" t="n">
        <v>2</v>
      </c>
      <c r="B24" s="30">
        <f>'Getting Started'!B30</f>
        <v/>
      </c>
      <c r="C24" s="4" t="inlineStr">
        <is>
          <t>English / Language Arts</t>
        </is>
      </c>
      <c r="D24" s="31" t="inlineStr">
        <is>
          <t>—</t>
        </is>
      </c>
      <c r="E24" s="5" t="n"/>
      <c r="F24" s="32" t="inlineStr">
        <is>
          <t>pages</t>
        </is>
      </c>
      <c r="G24" s="32" t="n"/>
      <c r="H24" s="32" t="n"/>
      <c r="I24" s="5" t="n"/>
    </row>
    <row r="25" ht="20" customHeight="1">
      <c r="A25" s="33" t="n">
        <v>2</v>
      </c>
      <c r="B25" s="30">
        <f>'Getting Started'!B30</f>
        <v/>
      </c>
      <c r="C25" s="34" t="inlineStr">
        <is>
          <t>Reading</t>
        </is>
      </c>
      <c r="D25" s="31" t="inlineStr">
        <is>
          <t>—</t>
        </is>
      </c>
      <c r="E25" s="5" t="n"/>
      <c r="F25" s="32" t="inlineStr">
        <is>
          <t>pages</t>
        </is>
      </c>
      <c r="G25" s="32" t="n"/>
      <c r="H25" s="32" t="n"/>
      <c r="I25" s="5" t="n"/>
    </row>
    <row r="26" ht="20" customHeight="1">
      <c r="A26" s="29" t="n">
        <v>2</v>
      </c>
      <c r="B26" s="30">
        <f>'Getting Started'!B30</f>
        <v/>
      </c>
      <c r="C26" s="4" t="inlineStr">
        <is>
          <t>Writing / Composition</t>
        </is>
      </c>
      <c r="D26" s="31" t="inlineStr">
        <is>
          <t>—</t>
        </is>
      </c>
      <c r="E26" s="5" t="n"/>
      <c r="F26" s="32" t="inlineStr">
        <is>
          <t>pages</t>
        </is>
      </c>
      <c r="G26" s="32" t="n"/>
      <c r="H26" s="32" t="n"/>
      <c r="I26" s="5" t="n"/>
    </row>
    <row r="27" ht="20" customHeight="1">
      <c r="A27" s="33" t="n">
        <v>2</v>
      </c>
      <c r="B27" s="30">
        <f>'Getting Started'!B30</f>
        <v/>
      </c>
      <c r="C27" s="34" t="inlineStr">
        <is>
          <t>Science</t>
        </is>
      </c>
      <c r="D27" s="31" t="inlineStr">
        <is>
          <t>—</t>
        </is>
      </c>
      <c r="E27" s="5" t="n"/>
      <c r="F27" s="32" t="inlineStr">
        <is>
          <t>pages</t>
        </is>
      </c>
      <c r="G27" s="32" t="n"/>
      <c r="H27" s="32" t="n"/>
      <c r="I27" s="5" t="n"/>
    </row>
    <row r="28" ht="20" customHeight="1">
      <c r="A28" s="29" t="n">
        <v>2</v>
      </c>
      <c r="B28" s="30">
        <f>'Getting Started'!B30</f>
        <v/>
      </c>
      <c r="C28" s="4" t="inlineStr">
        <is>
          <t>Social Studies / History</t>
        </is>
      </c>
      <c r="D28" s="31" t="inlineStr">
        <is>
          <t>—</t>
        </is>
      </c>
      <c r="E28" s="5" t="n"/>
      <c r="F28" s="32" t="inlineStr">
        <is>
          <t>pages</t>
        </is>
      </c>
      <c r="G28" s="32" t="n"/>
      <c r="H28" s="32" t="n"/>
      <c r="I28" s="5" t="n"/>
    </row>
    <row r="29" ht="20" customHeight="1">
      <c r="A29" s="33" t="n">
        <v>2</v>
      </c>
      <c r="B29" s="30">
        <f>'Getting Started'!B30</f>
        <v/>
      </c>
      <c r="C29" s="34" t="inlineStr">
        <is>
          <t>Health</t>
        </is>
      </c>
      <c r="D29" s="31" t="inlineStr">
        <is>
          <t>—</t>
        </is>
      </c>
      <c r="E29" s="5" t="n"/>
      <c r="F29" s="32" t="inlineStr">
        <is>
          <t>pages</t>
        </is>
      </c>
      <c r="G29" s="32" t="n"/>
      <c r="H29" s="32" t="n"/>
      <c r="I29" s="5" t="n"/>
    </row>
    <row r="30" ht="20" customHeight="1">
      <c r="A30" s="29" t="n">
        <v>2</v>
      </c>
      <c r="B30" s="30">
        <f>'Getting Started'!B30</f>
        <v/>
      </c>
      <c r="C30" s="4" t="inlineStr">
        <is>
          <t>Physical Education</t>
        </is>
      </c>
      <c r="D30" s="31" t="inlineStr">
        <is>
          <t>—</t>
        </is>
      </c>
      <c r="E30" s="5" t="n"/>
      <c r="F30" s="32" t="inlineStr">
        <is>
          <t>pages</t>
        </is>
      </c>
      <c r="G30" s="32" t="n"/>
      <c r="H30" s="32" t="n"/>
      <c r="I30" s="5" t="n"/>
    </row>
    <row r="31" ht="20" customHeight="1">
      <c r="A31" s="33" t="n">
        <v>2</v>
      </c>
      <c r="B31" s="30">
        <f>'Getting Started'!B30</f>
        <v/>
      </c>
      <c r="C31" s="34" t="inlineStr">
        <is>
          <t>Art / Music</t>
        </is>
      </c>
      <c r="D31" s="31" t="inlineStr">
        <is>
          <t>—</t>
        </is>
      </c>
      <c r="E31" s="5" t="n"/>
      <c r="F31" s="32" t="inlineStr">
        <is>
          <t>pages</t>
        </is>
      </c>
      <c r="G31" s="32" t="n"/>
      <c r="H31" s="32" t="n"/>
      <c r="I31" s="5" t="n"/>
    </row>
    <row r="32" ht="20" customHeight="1">
      <c r="A32" s="29" t="n">
        <v>2</v>
      </c>
      <c r="B32" s="30">
        <f>'Getting Started'!B30</f>
        <v/>
      </c>
      <c r="C32" s="35" t="inlineStr">
        <is>
          <t>Elective / Other 1</t>
        </is>
      </c>
      <c r="D32" s="5" t="n"/>
      <c r="E32" s="5" t="n"/>
      <c r="F32" s="32" t="inlineStr">
        <is>
          <t>pages</t>
        </is>
      </c>
      <c r="G32" s="32" t="n"/>
      <c r="H32" s="32" t="n"/>
      <c r="I32" s="5" t="n"/>
    </row>
    <row r="33" ht="20" customHeight="1">
      <c r="A33" s="33" t="n">
        <v>2</v>
      </c>
      <c r="B33" s="30">
        <f>'Getting Started'!B30</f>
        <v/>
      </c>
      <c r="C33" s="36" t="inlineStr">
        <is>
          <t>Elective / Other 2</t>
        </is>
      </c>
      <c r="D33" s="5" t="n"/>
      <c r="E33" s="5" t="n"/>
      <c r="F33" s="32" t="inlineStr">
        <is>
          <t>pages</t>
        </is>
      </c>
      <c r="G33" s="32" t="n"/>
      <c r="H33" s="32" t="n"/>
      <c r="I33" s="5" t="n"/>
    </row>
    <row r="34" ht="20" customHeight="1">
      <c r="A34" s="29" t="n">
        <v>2</v>
      </c>
      <c r="B34" s="30">
        <f>'Getting Started'!B30</f>
        <v/>
      </c>
      <c r="C34" s="35" t="inlineStr">
        <is>
          <t>Elective / Other 3</t>
        </is>
      </c>
      <c r="D34" s="5" t="n"/>
      <c r="E34" s="5" t="n"/>
      <c r="F34" s="32" t="inlineStr">
        <is>
          <t>pages</t>
        </is>
      </c>
      <c r="G34" s="32" t="n"/>
      <c r="H34" s="32" t="n"/>
      <c r="I34" s="5" t="n"/>
    </row>
    <row r="35" ht="20" customHeight="1">
      <c r="A35" s="33" t="n">
        <v>2</v>
      </c>
      <c r="B35" s="30">
        <f>'Getting Started'!B30</f>
        <v/>
      </c>
      <c r="C35" s="36" t="inlineStr">
        <is>
          <t>Elective / Other 4</t>
        </is>
      </c>
      <c r="D35" s="5" t="n"/>
      <c r="E35" s="5" t="n"/>
      <c r="F35" s="32" t="inlineStr">
        <is>
          <t>pages</t>
        </is>
      </c>
      <c r="G35" s="32" t="n"/>
      <c r="H35" s="32" t="n"/>
      <c r="I35" s="5" t="n"/>
    </row>
    <row r="36" ht="20" customHeight="1">
      <c r="A36" s="29" t="n">
        <v>3</v>
      </c>
      <c r="B36" s="30">
        <f>'Getting Started'!B31</f>
        <v/>
      </c>
      <c r="C36" s="4" t="inlineStr">
        <is>
          <t>Bible</t>
        </is>
      </c>
      <c r="D36" s="31" t="inlineStr">
        <is>
          <t>—</t>
        </is>
      </c>
      <c r="E36" s="5" t="n"/>
      <c r="F36" s="32" t="inlineStr">
        <is>
          <t>pages</t>
        </is>
      </c>
      <c r="G36" s="32" t="n"/>
      <c r="H36" s="32" t="n"/>
      <c r="I36" s="5" t="n"/>
    </row>
    <row r="37" ht="20" customHeight="1">
      <c r="A37" s="33" t="n">
        <v>3</v>
      </c>
      <c r="B37" s="30">
        <f>'Getting Started'!B31</f>
        <v/>
      </c>
      <c r="C37" s="34" t="inlineStr">
        <is>
          <t>Math</t>
        </is>
      </c>
      <c r="D37" s="31" t="inlineStr">
        <is>
          <t>—</t>
        </is>
      </c>
      <c r="E37" s="5" t="n"/>
      <c r="F37" s="32" t="inlineStr">
        <is>
          <t>pages</t>
        </is>
      </c>
      <c r="G37" s="32" t="n"/>
      <c r="H37" s="32" t="n"/>
      <c r="I37" s="5" t="n"/>
    </row>
    <row r="38" ht="20" customHeight="1">
      <c r="A38" s="29" t="n">
        <v>3</v>
      </c>
      <c r="B38" s="30">
        <f>'Getting Started'!B31</f>
        <v/>
      </c>
      <c r="C38" s="4" t="inlineStr">
        <is>
          <t>English / Language Arts</t>
        </is>
      </c>
      <c r="D38" s="31" t="inlineStr">
        <is>
          <t>—</t>
        </is>
      </c>
      <c r="E38" s="5" t="n"/>
      <c r="F38" s="32" t="inlineStr">
        <is>
          <t>pages</t>
        </is>
      </c>
      <c r="G38" s="32" t="n"/>
      <c r="H38" s="32" t="n"/>
      <c r="I38" s="5" t="n"/>
    </row>
    <row r="39" ht="20" customHeight="1">
      <c r="A39" s="33" t="n">
        <v>3</v>
      </c>
      <c r="B39" s="30">
        <f>'Getting Started'!B31</f>
        <v/>
      </c>
      <c r="C39" s="34" t="inlineStr">
        <is>
          <t>Reading</t>
        </is>
      </c>
      <c r="D39" s="31" t="inlineStr">
        <is>
          <t>—</t>
        </is>
      </c>
      <c r="E39" s="5" t="n"/>
      <c r="F39" s="32" t="inlineStr">
        <is>
          <t>pages</t>
        </is>
      </c>
      <c r="G39" s="32" t="n"/>
      <c r="H39" s="32" t="n"/>
      <c r="I39" s="5" t="n"/>
    </row>
    <row r="40" ht="20" customHeight="1">
      <c r="A40" s="29" t="n">
        <v>3</v>
      </c>
      <c r="B40" s="30">
        <f>'Getting Started'!B31</f>
        <v/>
      </c>
      <c r="C40" s="4" t="inlineStr">
        <is>
          <t>Writing / Composition</t>
        </is>
      </c>
      <c r="D40" s="31" t="inlineStr">
        <is>
          <t>—</t>
        </is>
      </c>
      <c r="E40" s="5" t="n"/>
      <c r="F40" s="32" t="inlineStr">
        <is>
          <t>pages</t>
        </is>
      </c>
      <c r="G40" s="32" t="n"/>
      <c r="H40" s="32" t="n"/>
      <c r="I40" s="5" t="n"/>
    </row>
    <row r="41" ht="20" customHeight="1">
      <c r="A41" s="33" t="n">
        <v>3</v>
      </c>
      <c r="B41" s="30">
        <f>'Getting Started'!B31</f>
        <v/>
      </c>
      <c r="C41" s="34" t="inlineStr">
        <is>
          <t>Science</t>
        </is>
      </c>
      <c r="D41" s="31" t="inlineStr">
        <is>
          <t>—</t>
        </is>
      </c>
      <c r="E41" s="5" t="n"/>
      <c r="F41" s="32" t="inlineStr">
        <is>
          <t>pages</t>
        </is>
      </c>
      <c r="G41" s="32" t="n"/>
      <c r="H41" s="32" t="n"/>
      <c r="I41" s="5" t="n"/>
    </row>
    <row r="42" ht="20" customHeight="1">
      <c r="A42" s="29" t="n">
        <v>3</v>
      </c>
      <c r="B42" s="30">
        <f>'Getting Started'!B31</f>
        <v/>
      </c>
      <c r="C42" s="4" t="inlineStr">
        <is>
          <t>Social Studies / History</t>
        </is>
      </c>
      <c r="D42" s="31" t="inlineStr">
        <is>
          <t>—</t>
        </is>
      </c>
      <c r="E42" s="5" t="n"/>
      <c r="F42" s="32" t="inlineStr">
        <is>
          <t>pages</t>
        </is>
      </c>
      <c r="G42" s="32" t="n"/>
      <c r="H42" s="32" t="n"/>
      <c r="I42" s="5" t="n"/>
    </row>
    <row r="43" ht="20" customHeight="1">
      <c r="A43" s="33" t="n">
        <v>3</v>
      </c>
      <c r="B43" s="30">
        <f>'Getting Started'!B31</f>
        <v/>
      </c>
      <c r="C43" s="34" t="inlineStr">
        <is>
          <t>Health</t>
        </is>
      </c>
      <c r="D43" s="31" t="inlineStr">
        <is>
          <t>—</t>
        </is>
      </c>
      <c r="E43" s="5" t="n"/>
      <c r="F43" s="32" t="inlineStr">
        <is>
          <t>pages</t>
        </is>
      </c>
      <c r="G43" s="32" t="n"/>
      <c r="H43" s="32" t="n"/>
      <c r="I43" s="5" t="n"/>
    </row>
    <row r="44" ht="20" customHeight="1">
      <c r="A44" s="29" t="n">
        <v>3</v>
      </c>
      <c r="B44" s="30">
        <f>'Getting Started'!B31</f>
        <v/>
      </c>
      <c r="C44" s="4" t="inlineStr">
        <is>
          <t>Physical Education</t>
        </is>
      </c>
      <c r="D44" s="31" t="inlineStr">
        <is>
          <t>—</t>
        </is>
      </c>
      <c r="E44" s="5" t="n"/>
      <c r="F44" s="32" t="inlineStr">
        <is>
          <t>pages</t>
        </is>
      </c>
      <c r="G44" s="32" t="n"/>
      <c r="H44" s="32" t="n"/>
      <c r="I44" s="5" t="n"/>
    </row>
    <row r="45" ht="20" customHeight="1">
      <c r="A45" s="33" t="n">
        <v>3</v>
      </c>
      <c r="B45" s="30">
        <f>'Getting Started'!B31</f>
        <v/>
      </c>
      <c r="C45" s="34" t="inlineStr">
        <is>
          <t>Art / Music</t>
        </is>
      </c>
      <c r="D45" s="31" t="inlineStr">
        <is>
          <t>—</t>
        </is>
      </c>
      <c r="E45" s="5" t="n"/>
      <c r="F45" s="32" t="inlineStr">
        <is>
          <t>pages</t>
        </is>
      </c>
      <c r="G45" s="32" t="n"/>
      <c r="H45" s="32" t="n"/>
      <c r="I45" s="5" t="n"/>
    </row>
    <row r="46" ht="20" customHeight="1">
      <c r="A46" s="29" t="n">
        <v>3</v>
      </c>
      <c r="B46" s="30">
        <f>'Getting Started'!B31</f>
        <v/>
      </c>
      <c r="C46" s="35" t="inlineStr">
        <is>
          <t>Elective / Other 1</t>
        </is>
      </c>
      <c r="D46" s="5" t="n"/>
      <c r="E46" s="5" t="n"/>
      <c r="F46" s="32" t="inlineStr">
        <is>
          <t>pages</t>
        </is>
      </c>
      <c r="G46" s="32" t="n"/>
      <c r="H46" s="32" t="n"/>
      <c r="I46" s="5" t="n"/>
    </row>
    <row r="47" ht="20" customHeight="1">
      <c r="A47" s="33" t="n">
        <v>3</v>
      </c>
      <c r="B47" s="30">
        <f>'Getting Started'!B31</f>
        <v/>
      </c>
      <c r="C47" s="36" t="inlineStr">
        <is>
          <t>Elective / Other 2</t>
        </is>
      </c>
      <c r="D47" s="5" t="n"/>
      <c r="E47" s="5" t="n"/>
      <c r="F47" s="32" t="inlineStr">
        <is>
          <t>pages</t>
        </is>
      </c>
      <c r="G47" s="32" t="n"/>
      <c r="H47" s="32" t="n"/>
      <c r="I47" s="5" t="n"/>
    </row>
    <row r="48" ht="20" customHeight="1">
      <c r="A48" s="29" t="n">
        <v>3</v>
      </c>
      <c r="B48" s="30">
        <f>'Getting Started'!B31</f>
        <v/>
      </c>
      <c r="C48" s="35" t="inlineStr">
        <is>
          <t>Elective / Other 3</t>
        </is>
      </c>
      <c r="D48" s="5" t="n"/>
      <c r="E48" s="5" t="n"/>
      <c r="F48" s="32" t="inlineStr">
        <is>
          <t>pages</t>
        </is>
      </c>
      <c r="G48" s="32" t="n"/>
      <c r="H48" s="32" t="n"/>
      <c r="I48" s="5" t="n"/>
    </row>
    <row r="49" ht="20" customHeight="1">
      <c r="A49" s="33" t="n">
        <v>3</v>
      </c>
      <c r="B49" s="30">
        <f>'Getting Started'!B31</f>
        <v/>
      </c>
      <c r="C49" s="36" t="inlineStr">
        <is>
          <t>Elective / Other 4</t>
        </is>
      </c>
      <c r="D49" s="5" t="n"/>
      <c r="E49" s="5" t="n"/>
      <c r="F49" s="32" t="inlineStr">
        <is>
          <t>pages</t>
        </is>
      </c>
      <c r="G49" s="32" t="n"/>
      <c r="H49" s="32" t="n"/>
      <c r="I49" s="5" t="n"/>
    </row>
    <row r="50" ht="20" customHeight="1">
      <c r="A50" s="29" t="n">
        <v>4</v>
      </c>
      <c r="B50" s="30">
        <f>'Getting Started'!B32</f>
        <v/>
      </c>
      <c r="C50" s="4" t="inlineStr">
        <is>
          <t>Bible</t>
        </is>
      </c>
      <c r="D50" s="31" t="inlineStr">
        <is>
          <t>—</t>
        </is>
      </c>
      <c r="E50" s="5" t="n"/>
      <c r="F50" s="32" t="inlineStr">
        <is>
          <t>pages</t>
        </is>
      </c>
      <c r="G50" s="32" t="n"/>
      <c r="H50" s="32" t="n"/>
      <c r="I50" s="5" t="n"/>
    </row>
    <row r="51" ht="20" customHeight="1">
      <c r="A51" s="33" t="n">
        <v>4</v>
      </c>
      <c r="B51" s="30">
        <f>'Getting Started'!B32</f>
        <v/>
      </c>
      <c r="C51" s="34" t="inlineStr">
        <is>
          <t>Math</t>
        </is>
      </c>
      <c r="D51" s="31" t="inlineStr">
        <is>
          <t>—</t>
        </is>
      </c>
      <c r="E51" s="5" t="n"/>
      <c r="F51" s="32" t="inlineStr">
        <is>
          <t>pages</t>
        </is>
      </c>
      <c r="G51" s="32" t="n"/>
      <c r="H51" s="32" t="n"/>
      <c r="I51" s="5" t="n"/>
    </row>
    <row r="52" ht="20" customHeight="1">
      <c r="A52" s="29" t="n">
        <v>4</v>
      </c>
      <c r="B52" s="30">
        <f>'Getting Started'!B32</f>
        <v/>
      </c>
      <c r="C52" s="4" t="inlineStr">
        <is>
          <t>English / Language Arts</t>
        </is>
      </c>
      <c r="D52" s="31" t="inlineStr">
        <is>
          <t>—</t>
        </is>
      </c>
      <c r="E52" s="5" t="n"/>
      <c r="F52" s="32" t="inlineStr">
        <is>
          <t>pages</t>
        </is>
      </c>
      <c r="G52" s="32" t="n"/>
      <c r="H52" s="32" t="n"/>
      <c r="I52" s="5" t="n"/>
    </row>
    <row r="53" ht="20" customHeight="1">
      <c r="A53" s="33" t="n">
        <v>4</v>
      </c>
      <c r="B53" s="30">
        <f>'Getting Started'!B32</f>
        <v/>
      </c>
      <c r="C53" s="34" t="inlineStr">
        <is>
          <t>Reading</t>
        </is>
      </c>
      <c r="D53" s="31" t="inlineStr">
        <is>
          <t>—</t>
        </is>
      </c>
      <c r="E53" s="5" t="n"/>
      <c r="F53" s="32" t="inlineStr">
        <is>
          <t>pages</t>
        </is>
      </c>
      <c r="G53" s="32" t="n"/>
      <c r="H53" s="32" t="n"/>
      <c r="I53" s="5" t="n"/>
    </row>
    <row r="54" ht="20" customHeight="1">
      <c r="A54" s="29" t="n">
        <v>4</v>
      </c>
      <c r="B54" s="30">
        <f>'Getting Started'!B32</f>
        <v/>
      </c>
      <c r="C54" s="4" t="inlineStr">
        <is>
          <t>Writing / Composition</t>
        </is>
      </c>
      <c r="D54" s="31" t="inlineStr">
        <is>
          <t>—</t>
        </is>
      </c>
      <c r="E54" s="5" t="n"/>
      <c r="F54" s="32" t="inlineStr">
        <is>
          <t>pages</t>
        </is>
      </c>
      <c r="G54" s="32" t="n"/>
      <c r="H54" s="32" t="n"/>
      <c r="I54" s="5" t="n"/>
    </row>
    <row r="55" ht="20" customHeight="1">
      <c r="A55" s="33" t="n">
        <v>4</v>
      </c>
      <c r="B55" s="30">
        <f>'Getting Started'!B32</f>
        <v/>
      </c>
      <c r="C55" s="34" t="inlineStr">
        <is>
          <t>Science</t>
        </is>
      </c>
      <c r="D55" s="31" t="inlineStr">
        <is>
          <t>—</t>
        </is>
      </c>
      <c r="E55" s="5" t="n"/>
      <c r="F55" s="32" t="inlineStr">
        <is>
          <t>pages</t>
        </is>
      </c>
      <c r="G55" s="32" t="n"/>
      <c r="H55" s="32" t="n"/>
      <c r="I55" s="5" t="n"/>
    </row>
    <row r="56" ht="20" customHeight="1">
      <c r="A56" s="29" t="n">
        <v>4</v>
      </c>
      <c r="B56" s="30">
        <f>'Getting Started'!B32</f>
        <v/>
      </c>
      <c r="C56" s="4" t="inlineStr">
        <is>
          <t>Social Studies / History</t>
        </is>
      </c>
      <c r="D56" s="31" t="inlineStr">
        <is>
          <t>—</t>
        </is>
      </c>
      <c r="E56" s="5" t="n"/>
      <c r="F56" s="32" t="inlineStr">
        <is>
          <t>pages</t>
        </is>
      </c>
      <c r="G56" s="32" t="n"/>
      <c r="H56" s="32" t="n"/>
      <c r="I56" s="5" t="n"/>
    </row>
    <row r="57" ht="20" customHeight="1">
      <c r="A57" s="33" t="n">
        <v>4</v>
      </c>
      <c r="B57" s="30">
        <f>'Getting Started'!B32</f>
        <v/>
      </c>
      <c r="C57" s="34" t="inlineStr">
        <is>
          <t>Health</t>
        </is>
      </c>
      <c r="D57" s="31" t="inlineStr">
        <is>
          <t>—</t>
        </is>
      </c>
      <c r="E57" s="5" t="n"/>
      <c r="F57" s="32" t="inlineStr">
        <is>
          <t>pages</t>
        </is>
      </c>
      <c r="G57" s="32" t="n"/>
      <c r="H57" s="32" t="n"/>
      <c r="I57" s="5" t="n"/>
    </row>
    <row r="58" ht="20" customHeight="1">
      <c r="A58" s="29" t="n">
        <v>4</v>
      </c>
      <c r="B58" s="30">
        <f>'Getting Started'!B32</f>
        <v/>
      </c>
      <c r="C58" s="4" t="inlineStr">
        <is>
          <t>Physical Education</t>
        </is>
      </c>
      <c r="D58" s="31" t="inlineStr">
        <is>
          <t>—</t>
        </is>
      </c>
      <c r="E58" s="5" t="n"/>
      <c r="F58" s="32" t="inlineStr">
        <is>
          <t>pages</t>
        </is>
      </c>
      <c r="G58" s="32" t="n"/>
      <c r="H58" s="32" t="n"/>
      <c r="I58" s="5" t="n"/>
    </row>
    <row r="59" ht="20" customHeight="1">
      <c r="A59" s="33" t="n">
        <v>4</v>
      </c>
      <c r="B59" s="30">
        <f>'Getting Started'!B32</f>
        <v/>
      </c>
      <c r="C59" s="34" t="inlineStr">
        <is>
          <t>Art / Music</t>
        </is>
      </c>
      <c r="D59" s="31" t="inlineStr">
        <is>
          <t>—</t>
        </is>
      </c>
      <c r="E59" s="5" t="n"/>
      <c r="F59" s="32" t="inlineStr">
        <is>
          <t>pages</t>
        </is>
      </c>
      <c r="G59" s="32" t="n"/>
      <c r="H59" s="32" t="n"/>
      <c r="I59" s="5" t="n"/>
    </row>
    <row r="60" ht="20" customHeight="1">
      <c r="A60" s="29" t="n">
        <v>4</v>
      </c>
      <c r="B60" s="30">
        <f>'Getting Started'!B32</f>
        <v/>
      </c>
      <c r="C60" s="35" t="inlineStr">
        <is>
          <t>Elective / Other 1</t>
        </is>
      </c>
      <c r="D60" s="5" t="n"/>
      <c r="E60" s="5" t="n"/>
      <c r="F60" s="32" t="inlineStr">
        <is>
          <t>pages</t>
        </is>
      </c>
      <c r="G60" s="32" t="n"/>
      <c r="H60" s="32" t="n"/>
      <c r="I60" s="5" t="n"/>
    </row>
    <row r="61" ht="20" customHeight="1">
      <c r="A61" s="33" t="n">
        <v>4</v>
      </c>
      <c r="B61" s="30">
        <f>'Getting Started'!B32</f>
        <v/>
      </c>
      <c r="C61" s="36" t="inlineStr">
        <is>
          <t>Elective / Other 2</t>
        </is>
      </c>
      <c r="D61" s="5" t="n"/>
      <c r="E61" s="5" t="n"/>
      <c r="F61" s="32" t="inlineStr">
        <is>
          <t>pages</t>
        </is>
      </c>
      <c r="G61" s="32" t="n"/>
      <c r="H61" s="32" t="n"/>
      <c r="I61" s="5" t="n"/>
    </row>
    <row r="62" ht="20" customHeight="1">
      <c r="A62" s="29" t="n">
        <v>4</v>
      </c>
      <c r="B62" s="30">
        <f>'Getting Started'!B32</f>
        <v/>
      </c>
      <c r="C62" s="35" t="inlineStr">
        <is>
          <t>Elective / Other 3</t>
        </is>
      </c>
      <c r="D62" s="5" t="n"/>
      <c r="E62" s="5" t="n"/>
      <c r="F62" s="32" t="inlineStr">
        <is>
          <t>pages</t>
        </is>
      </c>
      <c r="G62" s="32" t="n"/>
      <c r="H62" s="32" t="n"/>
      <c r="I62" s="5" t="n"/>
    </row>
    <row r="63" ht="20" customHeight="1">
      <c r="A63" s="33" t="n">
        <v>4</v>
      </c>
      <c r="B63" s="30">
        <f>'Getting Started'!B32</f>
        <v/>
      </c>
      <c r="C63" s="36" t="inlineStr">
        <is>
          <t>Elective / Other 4</t>
        </is>
      </c>
      <c r="D63" s="5" t="n"/>
      <c r="E63" s="5" t="n"/>
      <c r="F63" s="32" t="inlineStr">
        <is>
          <t>pages</t>
        </is>
      </c>
      <c r="G63" s="32" t="n"/>
      <c r="H63" s="32" t="n"/>
      <c r="I63" s="5" t="n"/>
    </row>
    <row r="64" ht="20" customHeight="1">
      <c r="A64" s="29" t="n">
        <v>5</v>
      </c>
      <c r="B64" s="30">
        <f>'Getting Started'!B33</f>
        <v/>
      </c>
      <c r="C64" s="4" t="inlineStr">
        <is>
          <t>Bible</t>
        </is>
      </c>
      <c r="D64" s="31" t="inlineStr">
        <is>
          <t>—</t>
        </is>
      </c>
      <c r="E64" s="5" t="n"/>
      <c r="F64" s="32" t="inlineStr">
        <is>
          <t>pages</t>
        </is>
      </c>
      <c r="G64" s="32" t="n"/>
      <c r="H64" s="32" t="n"/>
      <c r="I64" s="5" t="n"/>
    </row>
    <row r="65" ht="20" customHeight="1">
      <c r="A65" s="33" t="n">
        <v>5</v>
      </c>
      <c r="B65" s="30">
        <f>'Getting Started'!B33</f>
        <v/>
      </c>
      <c r="C65" s="34" t="inlineStr">
        <is>
          <t>Math</t>
        </is>
      </c>
      <c r="D65" s="31" t="inlineStr">
        <is>
          <t>—</t>
        </is>
      </c>
      <c r="E65" s="5" t="n"/>
      <c r="F65" s="32" t="inlineStr">
        <is>
          <t>pages</t>
        </is>
      </c>
      <c r="G65" s="32" t="n"/>
      <c r="H65" s="32" t="n"/>
      <c r="I65" s="5" t="n"/>
    </row>
    <row r="66" ht="20" customHeight="1">
      <c r="A66" s="29" t="n">
        <v>5</v>
      </c>
      <c r="B66" s="30">
        <f>'Getting Started'!B33</f>
        <v/>
      </c>
      <c r="C66" s="4" t="inlineStr">
        <is>
          <t>English / Language Arts</t>
        </is>
      </c>
      <c r="D66" s="31" t="inlineStr">
        <is>
          <t>—</t>
        </is>
      </c>
      <c r="E66" s="5" t="n"/>
      <c r="F66" s="32" t="inlineStr">
        <is>
          <t>pages</t>
        </is>
      </c>
      <c r="G66" s="32" t="n"/>
      <c r="H66" s="32" t="n"/>
      <c r="I66" s="5" t="n"/>
    </row>
    <row r="67" ht="20" customHeight="1">
      <c r="A67" s="33" t="n">
        <v>5</v>
      </c>
      <c r="B67" s="30">
        <f>'Getting Started'!B33</f>
        <v/>
      </c>
      <c r="C67" s="34" t="inlineStr">
        <is>
          <t>Reading</t>
        </is>
      </c>
      <c r="D67" s="31" t="inlineStr">
        <is>
          <t>—</t>
        </is>
      </c>
      <c r="E67" s="5" t="n"/>
      <c r="F67" s="32" t="inlineStr">
        <is>
          <t>pages</t>
        </is>
      </c>
      <c r="G67" s="32" t="n"/>
      <c r="H67" s="32" t="n"/>
      <c r="I67" s="5" t="n"/>
    </row>
    <row r="68" ht="20" customHeight="1">
      <c r="A68" s="29" t="n">
        <v>5</v>
      </c>
      <c r="B68" s="30">
        <f>'Getting Started'!B33</f>
        <v/>
      </c>
      <c r="C68" s="4" t="inlineStr">
        <is>
          <t>Writing / Composition</t>
        </is>
      </c>
      <c r="D68" s="31" t="inlineStr">
        <is>
          <t>—</t>
        </is>
      </c>
      <c r="E68" s="5" t="n"/>
      <c r="F68" s="32" t="inlineStr">
        <is>
          <t>pages</t>
        </is>
      </c>
      <c r="G68" s="32" t="n"/>
      <c r="H68" s="32" t="n"/>
      <c r="I68" s="5" t="n"/>
    </row>
    <row r="69" ht="20" customHeight="1">
      <c r="A69" s="33" t="n">
        <v>5</v>
      </c>
      <c r="B69" s="30">
        <f>'Getting Started'!B33</f>
        <v/>
      </c>
      <c r="C69" s="34" t="inlineStr">
        <is>
          <t>Science</t>
        </is>
      </c>
      <c r="D69" s="31" t="inlineStr">
        <is>
          <t>—</t>
        </is>
      </c>
      <c r="E69" s="5" t="n"/>
      <c r="F69" s="32" t="inlineStr">
        <is>
          <t>pages</t>
        </is>
      </c>
      <c r="G69" s="32" t="n"/>
      <c r="H69" s="32" t="n"/>
      <c r="I69" s="5" t="n"/>
    </row>
    <row r="70" ht="20" customHeight="1">
      <c r="A70" s="29" t="n">
        <v>5</v>
      </c>
      <c r="B70" s="30">
        <f>'Getting Started'!B33</f>
        <v/>
      </c>
      <c r="C70" s="4" t="inlineStr">
        <is>
          <t>Social Studies / History</t>
        </is>
      </c>
      <c r="D70" s="31" t="inlineStr">
        <is>
          <t>—</t>
        </is>
      </c>
      <c r="E70" s="5" t="n"/>
      <c r="F70" s="32" t="inlineStr">
        <is>
          <t>pages</t>
        </is>
      </c>
      <c r="G70" s="32" t="n"/>
      <c r="H70" s="32" t="n"/>
      <c r="I70" s="5" t="n"/>
    </row>
    <row r="71" ht="20" customHeight="1">
      <c r="A71" s="33" t="n">
        <v>5</v>
      </c>
      <c r="B71" s="30">
        <f>'Getting Started'!B33</f>
        <v/>
      </c>
      <c r="C71" s="34" t="inlineStr">
        <is>
          <t>Health</t>
        </is>
      </c>
      <c r="D71" s="31" t="inlineStr">
        <is>
          <t>—</t>
        </is>
      </c>
      <c r="E71" s="5" t="n"/>
      <c r="F71" s="32" t="inlineStr">
        <is>
          <t>pages</t>
        </is>
      </c>
      <c r="G71" s="32" t="n"/>
      <c r="H71" s="32" t="n"/>
      <c r="I71" s="5" t="n"/>
    </row>
    <row r="72" ht="20" customHeight="1">
      <c r="A72" s="29" t="n">
        <v>5</v>
      </c>
      <c r="B72" s="30">
        <f>'Getting Started'!B33</f>
        <v/>
      </c>
      <c r="C72" s="4" t="inlineStr">
        <is>
          <t>Physical Education</t>
        </is>
      </c>
      <c r="D72" s="31" t="inlineStr">
        <is>
          <t>—</t>
        </is>
      </c>
      <c r="E72" s="5" t="n"/>
      <c r="F72" s="32" t="inlineStr">
        <is>
          <t>pages</t>
        </is>
      </c>
      <c r="G72" s="32" t="n"/>
      <c r="H72" s="32" t="n"/>
      <c r="I72" s="5" t="n"/>
    </row>
    <row r="73" ht="20" customHeight="1">
      <c r="A73" s="33" t="n">
        <v>5</v>
      </c>
      <c r="B73" s="30">
        <f>'Getting Started'!B33</f>
        <v/>
      </c>
      <c r="C73" s="34" t="inlineStr">
        <is>
          <t>Art / Music</t>
        </is>
      </c>
      <c r="D73" s="31" t="inlineStr">
        <is>
          <t>—</t>
        </is>
      </c>
      <c r="E73" s="5" t="n"/>
      <c r="F73" s="32" t="inlineStr">
        <is>
          <t>pages</t>
        </is>
      </c>
      <c r="G73" s="32" t="n"/>
      <c r="H73" s="32" t="n"/>
      <c r="I73" s="5" t="n"/>
    </row>
    <row r="74" ht="20" customHeight="1">
      <c r="A74" s="29" t="n">
        <v>5</v>
      </c>
      <c r="B74" s="30">
        <f>'Getting Started'!B33</f>
        <v/>
      </c>
      <c r="C74" s="35" t="inlineStr">
        <is>
          <t>Elective / Other 1</t>
        </is>
      </c>
      <c r="D74" s="5" t="n"/>
      <c r="E74" s="5" t="n"/>
      <c r="F74" s="32" t="inlineStr">
        <is>
          <t>pages</t>
        </is>
      </c>
      <c r="G74" s="32" t="n"/>
      <c r="H74" s="32" t="n"/>
      <c r="I74" s="5" t="n"/>
    </row>
    <row r="75" ht="20" customHeight="1">
      <c r="A75" s="33" t="n">
        <v>5</v>
      </c>
      <c r="B75" s="30">
        <f>'Getting Started'!B33</f>
        <v/>
      </c>
      <c r="C75" s="36" t="inlineStr">
        <is>
          <t>Elective / Other 2</t>
        </is>
      </c>
      <c r="D75" s="5" t="n"/>
      <c r="E75" s="5" t="n"/>
      <c r="F75" s="32" t="inlineStr">
        <is>
          <t>pages</t>
        </is>
      </c>
      <c r="G75" s="32" t="n"/>
      <c r="H75" s="32" t="n"/>
      <c r="I75" s="5" t="n"/>
    </row>
    <row r="76" ht="20" customHeight="1">
      <c r="A76" s="29" t="n">
        <v>5</v>
      </c>
      <c r="B76" s="30">
        <f>'Getting Started'!B33</f>
        <v/>
      </c>
      <c r="C76" s="35" t="inlineStr">
        <is>
          <t>Elective / Other 3</t>
        </is>
      </c>
      <c r="D76" s="5" t="n"/>
      <c r="E76" s="5" t="n"/>
      <c r="F76" s="32" t="inlineStr">
        <is>
          <t>pages</t>
        </is>
      </c>
      <c r="G76" s="32" t="n"/>
      <c r="H76" s="32" t="n"/>
      <c r="I76" s="5" t="n"/>
    </row>
    <row r="77" ht="20" customHeight="1">
      <c r="A77" s="33" t="n">
        <v>5</v>
      </c>
      <c r="B77" s="30">
        <f>'Getting Started'!B33</f>
        <v/>
      </c>
      <c r="C77" s="36" t="inlineStr">
        <is>
          <t>Elective / Other 4</t>
        </is>
      </c>
      <c r="D77" s="5" t="n"/>
      <c r="E77" s="5" t="n"/>
      <c r="F77" s="32" t="inlineStr">
        <is>
          <t>pages</t>
        </is>
      </c>
      <c r="G77" s="32" t="n"/>
      <c r="H77" s="32" t="n"/>
      <c r="I77" s="5" t="n"/>
    </row>
    <row r="78" ht="20" customHeight="1">
      <c r="A78" s="29" t="n">
        <v>6</v>
      </c>
      <c r="B78" s="30">
        <f>'Getting Started'!B34</f>
        <v/>
      </c>
      <c r="C78" s="4" t="inlineStr">
        <is>
          <t>Bible</t>
        </is>
      </c>
      <c r="D78" s="31" t="inlineStr">
        <is>
          <t>—</t>
        </is>
      </c>
      <c r="E78" s="5" t="n"/>
      <c r="F78" s="32" t="inlineStr">
        <is>
          <t>pages</t>
        </is>
      </c>
      <c r="G78" s="32" t="n"/>
      <c r="H78" s="32" t="n"/>
      <c r="I78" s="5" t="n"/>
    </row>
    <row r="79" ht="20" customHeight="1">
      <c r="A79" s="33" t="n">
        <v>6</v>
      </c>
      <c r="B79" s="30">
        <f>'Getting Started'!B34</f>
        <v/>
      </c>
      <c r="C79" s="34" t="inlineStr">
        <is>
          <t>Math</t>
        </is>
      </c>
      <c r="D79" s="31" t="inlineStr">
        <is>
          <t>—</t>
        </is>
      </c>
      <c r="E79" s="5" t="n"/>
      <c r="F79" s="32" t="inlineStr">
        <is>
          <t>pages</t>
        </is>
      </c>
      <c r="G79" s="32" t="n"/>
      <c r="H79" s="32" t="n"/>
      <c r="I79" s="5" t="n"/>
    </row>
    <row r="80" ht="20" customHeight="1">
      <c r="A80" s="29" t="n">
        <v>6</v>
      </c>
      <c r="B80" s="30">
        <f>'Getting Started'!B34</f>
        <v/>
      </c>
      <c r="C80" s="4" t="inlineStr">
        <is>
          <t>English / Language Arts</t>
        </is>
      </c>
      <c r="D80" s="31" t="inlineStr">
        <is>
          <t>—</t>
        </is>
      </c>
      <c r="E80" s="5" t="n"/>
      <c r="F80" s="32" t="inlineStr">
        <is>
          <t>pages</t>
        </is>
      </c>
      <c r="G80" s="32" t="n"/>
      <c r="H80" s="32" t="n"/>
      <c r="I80" s="5" t="n"/>
    </row>
    <row r="81" ht="20" customHeight="1">
      <c r="A81" s="33" t="n">
        <v>6</v>
      </c>
      <c r="B81" s="30">
        <f>'Getting Started'!B34</f>
        <v/>
      </c>
      <c r="C81" s="34" t="inlineStr">
        <is>
          <t>Reading</t>
        </is>
      </c>
      <c r="D81" s="31" t="inlineStr">
        <is>
          <t>—</t>
        </is>
      </c>
      <c r="E81" s="5" t="n"/>
      <c r="F81" s="32" t="inlineStr">
        <is>
          <t>pages</t>
        </is>
      </c>
      <c r="G81" s="32" t="n"/>
      <c r="H81" s="32" t="n"/>
      <c r="I81" s="5" t="n"/>
    </row>
    <row r="82" ht="20" customHeight="1">
      <c r="A82" s="29" t="n">
        <v>6</v>
      </c>
      <c r="B82" s="30">
        <f>'Getting Started'!B34</f>
        <v/>
      </c>
      <c r="C82" s="4" t="inlineStr">
        <is>
          <t>Writing / Composition</t>
        </is>
      </c>
      <c r="D82" s="31" t="inlineStr">
        <is>
          <t>—</t>
        </is>
      </c>
      <c r="E82" s="5" t="n"/>
      <c r="F82" s="32" t="inlineStr">
        <is>
          <t>pages</t>
        </is>
      </c>
      <c r="G82" s="32" t="n"/>
      <c r="H82" s="32" t="n"/>
      <c r="I82" s="5" t="n"/>
    </row>
    <row r="83" ht="20" customHeight="1">
      <c r="A83" s="33" t="n">
        <v>6</v>
      </c>
      <c r="B83" s="30">
        <f>'Getting Started'!B34</f>
        <v/>
      </c>
      <c r="C83" s="34" t="inlineStr">
        <is>
          <t>Science</t>
        </is>
      </c>
      <c r="D83" s="31" t="inlineStr">
        <is>
          <t>—</t>
        </is>
      </c>
      <c r="E83" s="5" t="n"/>
      <c r="F83" s="32" t="inlineStr">
        <is>
          <t>pages</t>
        </is>
      </c>
      <c r="G83" s="32" t="n"/>
      <c r="H83" s="32" t="n"/>
      <c r="I83" s="5" t="n"/>
    </row>
    <row r="84" ht="20" customHeight="1">
      <c r="A84" s="29" t="n">
        <v>6</v>
      </c>
      <c r="B84" s="30">
        <f>'Getting Started'!B34</f>
        <v/>
      </c>
      <c r="C84" s="4" t="inlineStr">
        <is>
          <t>Social Studies / History</t>
        </is>
      </c>
      <c r="D84" s="31" t="inlineStr">
        <is>
          <t>—</t>
        </is>
      </c>
      <c r="E84" s="5" t="n"/>
      <c r="F84" s="32" t="inlineStr">
        <is>
          <t>pages</t>
        </is>
      </c>
      <c r="G84" s="32" t="n"/>
      <c r="H84" s="32" t="n"/>
      <c r="I84" s="5" t="n"/>
    </row>
    <row r="85" ht="20" customHeight="1">
      <c r="A85" s="33" t="n">
        <v>6</v>
      </c>
      <c r="B85" s="30">
        <f>'Getting Started'!B34</f>
        <v/>
      </c>
      <c r="C85" s="34" t="inlineStr">
        <is>
          <t>Health</t>
        </is>
      </c>
      <c r="D85" s="31" t="inlineStr">
        <is>
          <t>—</t>
        </is>
      </c>
      <c r="E85" s="5" t="n"/>
      <c r="F85" s="32" t="inlineStr">
        <is>
          <t>pages</t>
        </is>
      </c>
      <c r="G85" s="32" t="n"/>
      <c r="H85" s="32" t="n"/>
      <c r="I85" s="5" t="n"/>
    </row>
    <row r="86" ht="20" customHeight="1">
      <c r="A86" s="29" t="n">
        <v>6</v>
      </c>
      <c r="B86" s="30">
        <f>'Getting Started'!B34</f>
        <v/>
      </c>
      <c r="C86" s="4" t="inlineStr">
        <is>
          <t>Physical Education</t>
        </is>
      </c>
      <c r="D86" s="31" t="inlineStr">
        <is>
          <t>—</t>
        </is>
      </c>
      <c r="E86" s="5" t="n"/>
      <c r="F86" s="32" t="inlineStr">
        <is>
          <t>pages</t>
        </is>
      </c>
      <c r="G86" s="32" t="n"/>
      <c r="H86" s="32" t="n"/>
      <c r="I86" s="5" t="n"/>
    </row>
    <row r="87" ht="20" customHeight="1">
      <c r="A87" s="33" t="n">
        <v>6</v>
      </c>
      <c r="B87" s="30">
        <f>'Getting Started'!B34</f>
        <v/>
      </c>
      <c r="C87" s="34" t="inlineStr">
        <is>
          <t>Art / Music</t>
        </is>
      </c>
      <c r="D87" s="31" t="inlineStr">
        <is>
          <t>—</t>
        </is>
      </c>
      <c r="E87" s="5" t="n"/>
      <c r="F87" s="32" t="inlineStr">
        <is>
          <t>pages</t>
        </is>
      </c>
      <c r="G87" s="32" t="n"/>
      <c r="H87" s="32" t="n"/>
      <c r="I87" s="5" t="n"/>
    </row>
    <row r="88" ht="20" customHeight="1">
      <c r="A88" s="29" t="n">
        <v>6</v>
      </c>
      <c r="B88" s="30">
        <f>'Getting Started'!B34</f>
        <v/>
      </c>
      <c r="C88" s="35" t="inlineStr">
        <is>
          <t>Elective / Other 1</t>
        </is>
      </c>
      <c r="D88" s="5" t="n"/>
      <c r="E88" s="5" t="n"/>
      <c r="F88" s="32" t="inlineStr">
        <is>
          <t>pages</t>
        </is>
      </c>
      <c r="G88" s="32" t="n"/>
      <c r="H88" s="32" t="n"/>
      <c r="I88" s="5" t="n"/>
    </row>
    <row r="89" ht="20" customHeight="1">
      <c r="A89" s="33" t="n">
        <v>6</v>
      </c>
      <c r="B89" s="30">
        <f>'Getting Started'!B34</f>
        <v/>
      </c>
      <c r="C89" s="36" t="inlineStr">
        <is>
          <t>Elective / Other 2</t>
        </is>
      </c>
      <c r="D89" s="5" t="n"/>
      <c r="E89" s="5" t="n"/>
      <c r="F89" s="32" t="inlineStr">
        <is>
          <t>pages</t>
        </is>
      </c>
      <c r="G89" s="32" t="n"/>
      <c r="H89" s="32" t="n"/>
      <c r="I89" s="5" t="n"/>
    </row>
    <row r="90" ht="20" customHeight="1">
      <c r="A90" s="29" t="n">
        <v>6</v>
      </c>
      <c r="B90" s="30">
        <f>'Getting Started'!B34</f>
        <v/>
      </c>
      <c r="C90" s="35" t="inlineStr">
        <is>
          <t>Elective / Other 3</t>
        </is>
      </c>
      <c r="D90" s="5" t="n"/>
      <c r="E90" s="5" t="n"/>
      <c r="F90" s="32" t="inlineStr">
        <is>
          <t>pages</t>
        </is>
      </c>
      <c r="G90" s="32" t="n"/>
      <c r="H90" s="32" t="n"/>
      <c r="I90" s="5" t="n"/>
    </row>
    <row r="91" ht="20" customHeight="1">
      <c r="A91" s="33" t="n">
        <v>6</v>
      </c>
      <c r="B91" s="30">
        <f>'Getting Started'!B34</f>
        <v/>
      </c>
      <c r="C91" s="36" t="inlineStr">
        <is>
          <t>Elective / Other 4</t>
        </is>
      </c>
      <c r="D91" s="5" t="n"/>
      <c r="E91" s="5" t="n"/>
      <c r="F91" s="32" t="inlineStr">
        <is>
          <t>pages</t>
        </is>
      </c>
      <c r="G91" s="32" t="n"/>
      <c r="H91" s="32" t="n"/>
      <c r="I91" s="5" t="n"/>
    </row>
    <row r="92" ht="20" customHeight="1">
      <c r="A92" s="29" t="n">
        <v>7</v>
      </c>
      <c r="B92" s="30">
        <f>'Getting Started'!B35</f>
        <v/>
      </c>
      <c r="C92" s="4" t="inlineStr">
        <is>
          <t>Bible</t>
        </is>
      </c>
      <c r="D92" s="31" t="inlineStr">
        <is>
          <t>—</t>
        </is>
      </c>
      <c r="E92" s="5" t="n"/>
      <c r="F92" s="32" t="inlineStr">
        <is>
          <t>pages</t>
        </is>
      </c>
      <c r="G92" s="32" t="n"/>
      <c r="H92" s="32" t="n"/>
      <c r="I92" s="5" t="n"/>
    </row>
    <row r="93" ht="20" customHeight="1">
      <c r="A93" s="33" t="n">
        <v>7</v>
      </c>
      <c r="B93" s="30">
        <f>'Getting Started'!B35</f>
        <v/>
      </c>
      <c r="C93" s="34" t="inlineStr">
        <is>
          <t>Math</t>
        </is>
      </c>
      <c r="D93" s="31" t="inlineStr">
        <is>
          <t>—</t>
        </is>
      </c>
      <c r="E93" s="5" t="n"/>
      <c r="F93" s="32" t="inlineStr">
        <is>
          <t>pages</t>
        </is>
      </c>
      <c r="G93" s="32" t="n"/>
      <c r="H93" s="32" t="n"/>
      <c r="I93" s="5" t="n"/>
    </row>
    <row r="94" ht="20" customHeight="1">
      <c r="A94" s="29" t="n">
        <v>7</v>
      </c>
      <c r="B94" s="30">
        <f>'Getting Started'!B35</f>
        <v/>
      </c>
      <c r="C94" s="4" t="inlineStr">
        <is>
          <t>English / Language Arts</t>
        </is>
      </c>
      <c r="D94" s="31" t="inlineStr">
        <is>
          <t>—</t>
        </is>
      </c>
      <c r="E94" s="5" t="n"/>
      <c r="F94" s="32" t="inlineStr">
        <is>
          <t>pages</t>
        </is>
      </c>
      <c r="G94" s="32" t="n"/>
      <c r="H94" s="32" t="n"/>
      <c r="I94" s="5" t="n"/>
    </row>
    <row r="95" ht="20" customHeight="1">
      <c r="A95" s="33" t="n">
        <v>7</v>
      </c>
      <c r="B95" s="30">
        <f>'Getting Started'!B35</f>
        <v/>
      </c>
      <c r="C95" s="34" t="inlineStr">
        <is>
          <t>Reading</t>
        </is>
      </c>
      <c r="D95" s="31" t="inlineStr">
        <is>
          <t>—</t>
        </is>
      </c>
      <c r="E95" s="5" t="n"/>
      <c r="F95" s="32" t="inlineStr">
        <is>
          <t>pages</t>
        </is>
      </c>
      <c r="G95" s="32" t="n"/>
      <c r="H95" s="32" t="n"/>
      <c r="I95" s="5" t="n"/>
    </row>
    <row r="96" ht="20" customHeight="1">
      <c r="A96" s="29" t="n">
        <v>7</v>
      </c>
      <c r="B96" s="30">
        <f>'Getting Started'!B35</f>
        <v/>
      </c>
      <c r="C96" s="4" t="inlineStr">
        <is>
          <t>Writing / Composition</t>
        </is>
      </c>
      <c r="D96" s="31" t="inlineStr">
        <is>
          <t>—</t>
        </is>
      </c>
      <c r="E96" s="5" t="n"/>
      <c r="F96" s="32" t="inlineStr">
        <is>
          <t>pages</t>
        </is>
      </c>
      <c r="G96" s="32" t="n"/>
      <c r="H96" s="32" t="n"/>
      <c r="I96" s="5" t="n"/>
    </row>
    <row r="97" ht="20" customHeight="1">
      <c r="A97" s="33" t="n">
        <v>7</v>
      </c>
      <c r="B97" s="30">
        <f>'Getting Started'!B35</f>
        <v/>
      </c>
      <c r="C97" s="34" t="inlineStr">
        <is>
          <t>Science</t>
        </is>
      </c>
      <c r="D97" s="31" t="inlineStr">
        <is>
          <t>—</t>
        </is>
      </c>
      <c r="E97" s="5" t="n"/>
      <c r="F97" s="32" t="inlineStr">
        <is>
          <t>pages</t>
        </is>
      </c>
      <c r="G97" s="32" t="n"/>
      <c r="H97" s="32" t="n"/>
      <c r="I97" s="5" t="n"/>
    </row>
    <row r="98" ht="20" customHeight="1">
      <c r="A98" s="29" t="n">
        <v>7</v>
      </c>
      <c r="B98" s="30">
        <f>'Getting Started'!B35</f>
        <v/>
      </c>
      <c r="C98" s="4" t="inlineStr">
        <is>
          <t>Social Studies / History</t>
        </is>
      </c>
      <c r="D98" s="31" t="inlineStr">
        <is>
          <t>—</t>
        </is>
      </c>
      <c r="E98" s="5" t="n"/>
      <c r="F98" s="32" t="inlineStr">
        <is>
          <t>pages</t>
        </is>
      </c>
      <c r="G98" s="32" t="n"/>
      <c r="H98" s="32" t="n"/>
      <c r="I98" s="5" t="n"/>
    </row>
    <row r="99" ht="20" customHeight="1">
      <c r="A99" s="33" t="n">
        <v>7</v>
      </c>
      <c r="B99" s="30">
        <f>'Getting Started'!B35</f>
        <v/>
      </c>
      <c r="C99" s="34" t="inlineStr">
        <is>
          <t>Health</t>
        </is>
      </c>
      <c r="D99" s="31" t="inlineStr">
        <is>
          <t>—</t>
        </is>
      </c>
      <c r="E99" s="5" t="n"/>
      <c r="F99" s="32" t="inlineStr">
        <is>
          <t>pages</t>
        </is>
      </c>
      <c r="G99" s="32" t="n"/>
      <c r="H99" s="32" t="n"/>
      <c r="I99" s="5" t="n"/>
    </row>
    <row r="100" ht="20" customHeight="1">
      <c r="A100" s="29" t="n">
        <v>7</v>
      </c>
      <c r="B100" s="30">
        <f>'Getting Started'!B35</f>
        <v/>
      </c>
      <c r="C100" s="4" t="inlineStr">
        <is>
          <t>Physical Education</t>
        </is>
      </c>
      <c r="D100" s="31" t="inlineStr">
        <is>
          <t>—</t>
        </is>
      </c>
      <c r="E100" s="5" t="n"/>
      <c r="F100" s="32" t="inlineStr">
        <is>
          <t>pages</t>
        </is>
      </c>
      <c r="G100" s="32" t="n"/>
      <c r="H100" s="32" t="n"/>
      <c r="I100" s="5" t="n"/>
    </row>
    <row r="101" ht="20" customHeight="1">
      <c r="A101" s="33" t="n">
        <v>7</v>
      </c>
      <c r="B101" s="30">
        <f>'Getting Started'!B35</f>
        <v/>
      </c>
      <c r="C101" s="34" t="inlineStr">
        <is>
          <t>Art / Music</t>
        </is>
      </c>
      <c r="D101" s="31" t="inlineStr">
        <is>
          <t>—</t>
        </is>
      </c>
      <c r="E101" s="5" t="n"/>
      <c r="F101" s="32" t="inlineStr">
        <is>
          <t>pages</t>
        </is>
      </c>
      <c r="G101" s="32" t="n"/>
      <c r="H101" s="32" t="n"/>
      <c r="I101" s="5" t="n"/>
    </row>
    <row r="102" ht="20" customHeight="1">
      <c r="A102" s="29" t="n">
        <v>7</v>
      </c>
      <c r="B102" s="30">
        <f>'Getting Started'!B35</f>
        <v/>
      </c>
      <c r="C102" s="35" t="inlineStr">
        <is>
          <t>Elective / Other 1</t>
        </is>
      </c>
      <c r="D102" s="5" t="n"/>
      <c r="E102" s="5" t="n"/>
      <c r="F102" s="32" t="inlineStr">
        <is>
          <t>pages</t>
        </is>
      </c>
      <c r="G102" s="32" t="n"/>
      <c r="H102" s="32" t="n"/>
      <c r="I102" s="5" t="n"/>
    </row>
    <row r="103" ht="20" customHeight="1">
      <c r="A103" s="33" t="n">
        <v>7</v>
      </c>
      <c r="B103" s="30">
        <f>'Getting Started'!B35</f>
        <v/>
      </c>
      <c r="C103" s="36" t="inlineStr">
        <is>
          <t>Elective / Other 2</t>
        </is>
      </c>
      <c r="D103" s="5" t="n"/>
      <c r="E103" s="5" t="n"/>
      <c r="F103" s="32" t="inlineStr">
        <is>
          <t>pages</t>
        </is>
      </c>
      <c r="G103" s="32" t="n"/>
      <c r="H103" s="32" t="n"/>
      <c r="I103" s="5" t="n"/>
    </row>
    <row r="104" ht="20" customHeight="1">
      <c r="A104" s="29" t="n">
        <v>7</v>
      </c>
      <c r="B104" s="30">
        <f>'Getting Started'!B35</f>
        <v/>
      </c>
      <c r="C104" s="35" t="inlineStr">
        <is>
          <t>Elective / Other 3</t>
        </is>
      </c>
      <c r="D104" s="5" t="n"/>
      <c r="E104" s="5" t="n"/>
      <c r="F104" s="32" t="inlineStr">
        <is>
          <t>pages</t>
        </is>
      </c>
      <c r="G104" s="32" t="n"/>
      <c r="H104" s="32" t="n"/>
      <c r="I104" s="5" t="n"/>
    </row>
    <row r="105" ht="20" customHeight="1">
      <c r="A105" s="33" t="n">
        <v>7</v>
      </c>
      <c r="B105" s="30">
        <f>'Getting Started'!B35</f>
        <v/>
      </c>
      <c r="C105" s="36" t="inlineStr">
        <is>
          <t>Elective / Other 4</t>
        </is>
      </c>
      <c r="D105" s="5" t="n"/>
      <c r="E105" s="5" t="n"/>
      <c r="F105" s="32" t="inlineStr">
        <is>
          <t>pages</t>
        </is>
      </c>
      <c r="G105" s="32" t="n"/>
      <c r="H105" s="32" t="n"/>
      <c r="I105" s="5" t="n"/>
    </row>
    <row r="106" ht="20" customHeight="1">
      <c r="A106" s="29" t="n">
        <v>8</v>
      </c>
      <c r="B106" s="30">
        <f>'Getting Started'!B36</f>
        <v/>
      </c>
      <c r="C106" s="4" t="inlineStr">
        <is>
          <t>Bible</t>
        </is>
      </c>
      <c r="D106" s="31" t="inlineStr">
        <is>
          <t>—</t>
        </is>
      </c>
      <c r="E106" s="5" t="n"/>
      <c r="F106" s="32" t="inlineStr">
        <is>
          <t>pages</t>
        </is>
      </c>
      <c r="G106" s="32" t="n"/>
      <c r="H106" s="32" t="n"/>
      <c r="I106" s="5" t="n"/>
    </row>
    <row r="107" ht="20" customHeight="1">
      <c r="A107" s="33" t="n">
        <v>8</v>
      </c>
      <c r="B107" s="30">
        <f>'Getting Started'!B36</f>
        <v/>
      </c>
      <c r="C107" s="34" t="inlineStr">
        <is>
          <t>Math</t>
        </is>
      </c>
      <c r="D107" s="31" t="inlineStr">
        <is>
          <t>—</t>
        </is>
      </c>
      <c r="E107" s="5" t="n"/>
      <c r="F107" s="32" t="inlineStr">
        <is>
          <t>pages</t>
        </is>
      </c>
      <c r="G107" s="32" t="n"/>
      <c r="H107" s="32" t="n"/>
      <c r="I107" s="5" t="n"/>
    </row>
    <row r="108" ht="20" customHeight="1">
      <c r="A108" s="29" t="n">
        <v>8</v>
      </c>
      <c r="B108" s="30">
        <f>'Getting Started'!B36</f>
        <v/>
      </c>
      <c r="C108" s="4" t="inlineStr">
        <is>
          <t>English / Language Arts</t>
        </is>
      </c>
      <c r="D108" s="31" t="inlineStr">
        <is>
          <t>—</t>
        </is>
      </c>
      <c r="E108" s="5" t="n"/>
      <c r="F108" s="32" t="inlineStr">
        <is>
          <t>pages</t>
        </is>
      </c>
      <c r="G108" s="32" t="n"/>
      <c r="H108" s="32" t="n"/>
      <c r="I108" s="5" t="n"/>
    </row>
    <row r="109" ht="20" customHeight="1">
      <c r="A109" s="33" t="n">
        <v>8</v>
      </c>
      <c r="B109" s="30">
        <f>'Getting Started'!B36</f>
        <v/>
      </c>
      <c r="C109" s="34" t="inlineStr">
        <is>
          <t>Reading</t>
        </is>
      </c>
      <c r="D109" s="31" t="inlineStr">
        <is>
          <t>—</t>
        </is>
      </c>
      <c r="E109" s="5" t="n"/>
      <c r="F109" s="32" t="inlineStr">
        <is>
          <t>pages</t>
        </is>
      </c>
      <c r="G109" s="32" t="n"/>
      <c r="H109" s="32" t="n"/>
      <c r="I109" s="5" t="n"/>
    </row>
    <row r="110" ht="20" customHeight="1">
      <c r="A110" s="29" t="n">
        <v>8</v>
      </c>
      <c r="B110" s="30">
        <f>'Getting Started'!B36</f>
        <v/>
      </c>
      <c r="C110" s="4" t="inlineStr">
        <is>
          <t>Writing / Composition</t>
        </is>
      </c>
      <c r="D110" s="31" t="inlineStr">
        <is>
          <t>—</t>
        </is>
      </c>
      <c r="E110" s="5" t="n"/>
      <c r="F110" s="32" t="inlineStr">
        <is>
          <t>pages</t>
        </is>
      </c>
      <c r="G110" s="32" t="n"/>
      <c r="H110" s="32" t="n"/>
      <c r="I110" s="5" t="n"/>
    </row>
    <row r="111" ht="20" customHeight="1">
      <c r="A111" s="33" t="n">
        <v>8</v>
      </c>
      <c r="B111" s="30">
        <f>'Getting Started'!B36</f>
        <v/>
      </c>
      <c r="C111" s="34" t="inlineStr">
        <is>
          <t>Science</t>
        </is>
      </c>
      <c r="D111" s="31" t="inlineStr">
        <is>
          <t>—</t>
        </is>
      </c>
      <c r="E111" s="5" t="n"/>
      <c r="F111" s="32" t="inlineStr">
        <is>
          <t>pages</t>
        </is>
      </c>
      <c r="G111" s="32" t="n"/>
      <c r="H111" s="32" t="n"/>
      <c r="I111" s="5" t="n"/>
    </row>
    <row r="112" ht="20" customHeight="1">
      <c r="A112" s="29" t="n">
        <v>8</v>
      </c>
      <c r="B112" s="30">
        <f>'Getting Started'!B36</f>
        <v/>
      </c>
      <c r="C112" s="4" t="inlineStr">
        <is>
          <t>Social Studies / History</t>
        </is>
      </c>
      <c r="D112" s="31" t="inlineStr">
        <is>
          <t>—</t>
        </is>
      </c>
      <c r="E112" s="5" t="n"/>
      <c r="F112" s="32" t="inlineStr">
        <is>
          <t>pages</t>
        </is>
      </c>
      <c r="G112" s="32" t="n"/>
      <c r="H112" s="32" t="n"/>
      <c r="I112" s="5" t="n"/>
    </row>
    <row r="113" ht="20" customHeight="1">
      <c r="A113" s="33" t="n">
        <v>8</v>
      </c>
      <c r="B113" s="30">
        <f>'Getting Started'!B36</f>
        <v/>
      </c>
      <c r="C113" s="34" t="inlineStr">
        <is>
          <t>Health</t>
        </is>
      </c>
      <c r="D113" s="31" t="inlineStr">
        <is>
          <t>—</t>
        </is>
      </c>
      <c r="E113" s="5" t="n"/>
      <c r="F113" s="32" t="inlineStr">
        <is>
          <t>pages</t>
        </is>
      </c>
      <c r="G113" s="32" t="n"/>
      <c r="H113" s="32" t="n"/>
      <c r="I113" s="5" t="n"/>
    </row>
    <row r="114" ht="20" customHeight="1">
      <c r="A114" s="29" t="n">
        <v>8</v>
      </c>
      <c r="B114" s="30">
        <f>'Getting Started'!B36</f>
        <v/>
      </c>
      <c r="C114" s="4" t="inlineStr">
        <is>
          <t>Physical Education</t>
        </is>
      </c>
      <c r="D114" s="31" t="inlineStr">
        <is>
          <t>—</t>
        </is>
      </c>
      <c r="E114" s="5" t="n"/>
      <c r="F114" s="32" t="inlineStr">
        <is>
          <t>pages</t>
        </is>
      </c>
      <c r="G114" s="32" t="n"/>
      <c r="H114" s="32" t="n"/>
      <c r="I114" s="5" t="n"/>
    </row>
    <row r="115" ht="20" customHeight="1">
      <c r="A115" s="33" t="n">
        <v>8</v>
      </c>
      <c r="B115" s="30">
        <f>'Getting Started'!B36</f>
        <v/>
      </c>
      <c r="C115" s="34" t="inlineStr">
        <is>
          <t>Art / Music</t>
        </is>
      </c>
      <c r="D115" s="31" t="inlineStr">
        <is>
          <t>—</t>
        </is>
      </c>
      <c r="E115" s="5" t="n"/>
      <c r="F115" s="32" t="inlineStr">
        <is>
          <t>pages</t>
        </is>
      </c>
      <c r="G115" s="32" t="n"/>
      <c r="H115" s="32" t="n"/>
      <c r="I115" s="5" t="n"/>
    </row>
    <row r="116" ht="20" customHeight="1">
      <c r="A116" s="29" t="n">
        <v>8</v>
      </c>
      <c r="B116" s="30">
        <f>'Getting Started'!B36</f>
        <v/>
      </c>
      <c r="C116" s="35" t="inlineStr">
        <is>
          <t>Elective / Other 1</t>
        </is>
      </c>
      <c r="D116" s="5" t="n"/>
      <c r="E116" s="5" t="n"/>
      <c r="F116" s="32" t="inlineStr">
        <is>
          <t>pages</t>
        </is>
      </c>
      <c r="G116" s="32" t="n"/>
      <c r="H116" s="32" t="n"/>
      <c r="I116" s="5" t="n"/>
    </row>
    <row r="117" ht="20" customHeight="1">
      <c r="A117" s="33" t="n">
        <v>8</v>
      </c>
      <c r="B117" s="30">
        <f>'Getting Started'!B36</f>
        <v/>
      </c>
      <c r="C117" s="36" t="inlineStr">
        <is>
          <t>Elective / Other 2</t>
        </is>
      </c>
      <c r="D117" s="5" t="n"/>
      <c r="E117" s="5" t="n"/>
      <c r="F117" s="32" t="inlineStr">
        <is>
          <t>pages</t>
        </is>
      </c>
      <c r="G117" s="32" t="n"/>
      <c r="H117" s="32" t="n"/>
      <c r="I117" s="5" t="n"/>
    </row>
    <row r="118" ht="20" customHeight="1">
      <c r="A118" s="29" t="n">
        <v>8</v>
      </c>
      <c r="B118" s="30">
        <f>'Getting Started'!B36</f>
        <v/>
      </c>
      <c r="C118" s="35" t="inlineStr">
        <is>
          <t>Elective / Other 3</t>
        </is>
      </c>
      <c r="D118" s="5" t="n"/>
      <c r="E118" s="5" t="n"/>
      <c r="F118" s="32" t="inlineStr">
        <is>
          <t>pages</t>
        </is>
      </c>
      <c r="G118" s="32" t="n"/>
      <c r="H118" s="32" t="n"/>
      <c r="I118" s="5" t="n"/>
    </row>
    <row r="119" ht="20" customHeight="1">
      <c r="A119" s="33" t="n">
        <v>8</v>
      </c>
      <c r="B119" s="30">
        <f>'Getting Started'!B36</f>
        <v/>
      </c>
      <c r="C119" s="36" t="inlineStr">
        <is>
          <t>Elective / Other 4</t>
        </is>
      </c>
      <c r="D119" s="5" t="n"/>
      <c r="E119" s="5" t="n"/>
      <c r="F119" s="32" t="inlineStr">
        <is>
          <t>pages</t>
        </is>
      </c>
      <c r="G119" s="32" t="n"/>
      <c r="H119" s="32" t="n"/>
      <c r="I119" s="5" t="n"/>
    </row>
    <row r="120" ht="20" customHeight="1">
      <c r="A120" s="29" t="n">
        <v>9</v>
      </c>
      <c r="B120" s="30">
        <f>'Getting Started'!B37</f>
        <v/>
      </c>
      <c r="C120" s="4" t="inlineStr">
        <is>
          <t>Bible</t>
        </is>
      </c>
      <c r="D120" s="31" t="inlineStr">
        <is>
          <t>—</t>
        </is>
      </c>
      <c r="E120" s="5" t="n"/>
      <c r="F120" s="32" t="inlineStr">
        <is>
          <t>pages</t>
        </is>
      </c>
      <c r="G120" s="32" t="n"/>
      <c r="H120" s="32" t="n"/>
      <c r="I120" s="5" t="n"/>
    </row>
    <row r="121" ht="20" customHeight="1">
      <c r="A121" s="33" t="n">
        <v>9</v>
      </c>
      <c r="B121" s="30">
        <f>'Getting Started'!B37</f>
        <v/>
      </c>
      <c r="C121" s="34" t="inlineStr">
        <is>
          <t>Math</t>
        </is>
      </c>
      <c r="D121" s="31" t="inlineStr">
        <is>
          <t>—</t>
        </is>
      </c>
      <c r="E121" s="5" t="n"/>
      <c r="F121" s="32" t="inlineStr">
        <is>
          <t>pages</t>
        </is>
      </c>
      <c r="G121" s="32" t="n"/>
      <c r="H121" s="32" t="n"/>
      <c r="I121" s="5" t="n"/>
    </row>
    <row r="122" ht="20" customHeight="1">
      <c r="A122" s="29" t="n">
        <v>9</v>
      </c>
      <c r="B122" s="30">
        <f>'Getting Started'!B37</f>
        <v/>
      </c>
      <c r="C122" s="4" t="inlineStr">
        <is>
          <t>English / Language Arts</t>
        </is>
      </c>
      <c r="D122" s="31" t="inlineStr">
        <is>
          <t>—</t>
        </is>
      </c>
      <c r="E122" s="5" t="n"/>
      <c r="F122" s="32" t="inlineStr">
        <is>
          <t>pages</t>
        </is>
      </c>
      <c r="G122" s="32" t="n"/>
      <c r="H122" s="32" t="n"/>
      <c r="I122" s="5" t="n"/>
    </row>
    <row r="123" ht="20" customHeight="1">
      <c r="A123" s="33" t="n">
        <v>9</v>
      </c>
      <c r="B123" s="30">
        <f>'Getting Started'!B37</f>
        <v/>
      </c>
      <c r="C123" s="34" t="inlineStr">
        <is>
          <t>Reading</t>
        </is>
      </c>
      <c r="D123" s="31" t="inlineStr">
        <is>
          <t>—</t>
        </is>
      </c>
      <c r="E123" s="5" t="n"/>
      <c r="F123" s="32" t="inlineStr">
        <is>
          <t>pages</t>
        </is>
      </c>
      <c r="G123" s="32" t="n"/>
      <c r="H123" s="32" t="n"/>
      <c r="I123" s="5" t="n"/>
    </row>
    <row r="124" ht="20" customHeight="1">
      <c r="A124" s="29" t="n">
        <v>9</v>
      </c>
      <c r="B124" s="30">
        <f>'Getting Started'!B37</f>
        <v/>
      </c>
      <c r="C124" s="4" t="inlineStr">
        <is>
          <t>Writing / Composition</t>
        </is>
      </c>
      <c r="D124" s="31" t="inlineStr">
        <is>
          <t>—</t>
        </is>
      </c>
      <c r="E124" s="5" t="n"/>
      <c r="F124" s="32" t="inlineStr">
        <is>
          <t>pages</t>
        </is>
      </c>
      <c r="G124" s="32" t="n"/>
      <c r="H124" s="32" t="n"/>
      <c r="I124" s="5" t="n"/>
    </row>
    <row r="125" ht="20" customHeight="1">
      <c r="A125" s="33" t="n">
        <v>9</v>
      </c>
      <c r="B125" s="30">
        <f>'Getting Started'!B37</f>
        <v/>
      </c>
      <c r="C125" s="34" t="inlineStr">
        <is>
          <t>Science</t>
        </is>
      </c>
      <c r="D125" s="31" t="inlineStr">
        <is>
          <t>—</t>
        </is>
      </c>
      <c r="E125" s="5" t="n"/>
      <c r="F125" s="32" t="inlineStr">
        <is>
          <t>pages</t>
        </is>
      </c>
      <c r="G125" s="32" t="n"/>
      <c r="H125" s="32" t="n"/>
      <c r="I125" s="5" t="n"/>
    </row>
    <row r="126" ht="20" customHeight="1">
      <c r="A126" s="29" t="n">
        <v>9</v>
      </c>
      <c r="B126" s="30">
        <f>'Getting Started'!B37</f>
        <v/>
      </c>
      <c r="C126" s="4" t="inlineStr">
        <is>
          <t>Social Studies / History</t>
        </is>
      </c>
      <c r="D126" s="31" t="inlineStr">
        <is>
          <t>—</t>
        </is>
      </c>
      <c r="E126" s="5" t="n"/>
      <c r="F126" s="32" t="inlineStr">
        <is>
          <t>pages</t>
        </is>
      </c>
      <c r="G126" s="32" t="n"/>
      <c r="H126" s="32" t="n"/>
      <c r="I126" s="5" t="n"/>
    </row>
    <row r="127" ht="20" customHeight="1">
      <c r="A127" s="33" t="n">
        <v>9</v>
      </c>
      <c r="B127" s="30">
        <f>'Getting Started'!B37</f>
        <v/>
      </c>
      <c r="C127" s="34" t="inlineStr">
        <is>
          <t>Health</t>
        </is>
      </c>
      <c r="D127" s="31" t="inlineStr">
        <is>
          <t>—</t>
        </is>
      </c>
      <c r="E127" s="5" t="n"/>
      <c r="F127" s="32" t="inlineStr">
        <is>
          <t>pages</t>
        </is>
      </c>
      <c r="G127" s="32" t="n"/>
      <c r="H127" s="32" t="n"/>
      <c r="I127" s="5" t="n"/>
    </row>
    <row r="128" ht="20" customHeight="1">
      <c r="A128" s="29" t="n">
        <v>9</v>
      </c>
      <c r="B128" s="30">
        <f>'Getting Started'!B37</f>
        <v/>
      </c>
      <c r="C128" s="4" t="inlineStr">
        <is>
          <t>Physical Education</t>
        </is>
      </c>
      <c r="D128" s="31" t="inlineStr">
        <is>
          <t>—</t>
        </is>
      </c>
      <c r="E128" s="5" t="n"/>
      <c r="F128" s="32" t="inlineStr">
        <is>
          <t>pages</t>
        </is>
      </c>
      <c r="G128" s="32" t="n"/>
      <c r="H128" s="32" t="n"/>
      <c r="I128" s="5" t="n"/>
    </row>
    <row r="129" ht="20" customHeight="1">
      <c r="A129" s="33" t="n">
        <v>9</v>
      </c>
      <c r="B129" s="30">
        <f>'Getting Started'!B37</f>
        <v/>
      </c>
      <c r="C129" s="34" t="inlineStr">
        <is>
          <t>Art / Music</t>
        </is>
      </c>
      <c r="D129" s="31" t="inlineStr">
        <is>
          <t>—</t>
        </is>
      </c>
      <c r="E129" s="5" t="n"/>
      <c r="F129" s="32" t="inlineStr">
        <is>
          <t>pages</t>
        </is>
      </c>
      <c r="G129" s="32" t="n"/>
      <c r="H129" s="32" t="n"/>
      <c r="I129" s="5" t="n"/>
    </row>
    <row r="130" ht="20" customHeight="1">
      <c r="A130" s="29" t="n">
        <v>9</v>
      </c>
      <c r="B130" s="30">
        <f>'Getting Started'!B37</f>
        <v/>
      </c>
      <c r="C130" s="35" t="inlineStr">
        <is>
          <t>Elective / Other 1</t>
        </is>
      </c>
      <c r="D130" s="5" t="n"/>
      <c r="E130" s="5" t="n"/>
      <c r="F130" s="32" t="inlineStr">
        <is>
          <t>pages</t>
        </is>
      </c>
      <c r="G130" s="32" t="n"/>
      <c r="H130" s="32" t="n"/>
      <c r="I130" s="5" t="n"/>
    </row>
    <row r="131" ht="20" customHeight="1">
      <c r="A131" s="33" t="n">
        <v>9</v>
      </c>
      <c r="B131" s="30">
        <f>'Getting Started'!B37</f>
        <v/>
      </c>
      <c r="C131" s="36" t="inlineStr">
        <is>
          <t>Elective / Other 2</t>
        </is>
      </c>
      <c r="D131" s="5" t="n"/>
      <c r="E131" s="5" t="n"/>
      <c r="F131" s="32" t="inlineStr">
        <is>
          <t>pages</t>
        </is>
      </c>
      <c r="G131" s="32" t="n"/>
      <c r="H131" s="32" t="n"/>
      <c r="I131" s="5" t="n"/>
    </row>
    <row r="132" ht="20" customHeight="1">
      <c r="A132" s="29" t="n">
        <v>9</v>
      </c>
      <c r="B132" s="30">
        <f>'Getting Started'!B37</f>
        <v/>
      </c>
      <c r="C132" s="35" t="inlineStr">
        <is>
          <t>Elective / Other 3</t>
        </is>
      </c>
      <c r="D132" s="5" t="n"/>
      <c r="E132" s="5" t="n"/>
      <c r="F132" s="32" t="inlineStr">
        <is>
          <t>pages</t>
        </is>
      </c>
      <c r="G132" s="32" t="n"/>
      <c r="H132" s="32" t="n"/>
      <c r="I132" s="5" t="n"/>
    </row>
    <row r="133" ht="20" customHeight="1">
      <c r="A133" s="33" t="n">
        <v>9</v>
      </c>
      <c r="B133" s="30">
        <f>'Getting Started'!B37</f>
        <v/>
      </c>
      <c r="C133" s="36" t="inlineStr">
        <is>
          <t>Elective / Other 4</t>
        </is>
      </c>
      <c r="D133" s="5" t="n"/>
      <c r="E133" s="5" t="n"/>
      <c r="F133" s="32" t="inlineStr">
        <is>
          <t>pages</t>
        </is>
      </c>
      <c r="G133" s="32" t="n"/>
      <c r="H133" s="32" t="n"/>
      <c r="I133" s="5" t="n"/>
    </row>
    <row r="134" ht="20" customHeight="1">
      <c r="A134" s="29" t="n">
        <v>10</v>
      </c>
      <c r="B134" s="30">
        <f>'Getting Started'!B38</f>
        <v/>
      </c>
      <c r="C134" s="4" t="inlineStr">
        <is>
          <t>Bible</t>
        </is>
      </c>
      <c r="D134" s="31" t="inlineStr">
        <is>
          <t>—</t>
        </is>
      </c>
      <c r="E134" s="5" t="n"/>
      <c r="F134" s="32" t="inlineStr">
        <is>
          <t>pages</t>
        </is>
      </c>
      <c r="G134" s="32" t="n"/>
      <c r="H134" s="32" t="n"/>
      <c r="I134" s="5" t="n"/>
    </row>
    <row r="135" ht="20" customHeight="1">
      <c r="A135" s="33" t="n">
        <v>10</v>
      </c>
      <c r="B135" s="30">
        <f>'Getting Started'!B38</f>
        <v/>
      </c>
      <c r="C135" s="34" t="inlineStr">
        <is>
          <t>Math</t>
        </is>
      </c>
      <c r="D135" s="31" t="inlineStr">
        <is>
          <t>—</t>
        </is>
      </c>
      <c r="E135" s="5" t="n"/>
      <c r="F135" s="32" t="inlineStr">
        <is>
          <t>pages</t>
        </is>
      </c>
      <c r="G135" s="32" t="n"/>
      <c r="H135" s="32" t="n"/>
      <c r="I135" s="5" t="n"/>
    </row>
    <row r="136" ht="20" customHeight="1">
      <c r="A136" s="29" t="n">
        <v>10</v>
      </c>
      <c r="B136" s="30">
        <f>'Getting Started'!B38</f>
        <v/>
      </c>
      <c r="C136" s="4" t="inlineStr">
        <is>
          <t>English / Language Arts</t>
        </is>
      </c>
      <c r="D136" s="31" t="inlineStr">
        <is>
          <t>—</t>
        </is>
      </c>
      <c r="E136" s="5" t="n"/>
      <c r="F136" s="32" t="inlineStr">
        <is>
          <t>pages</t>
        </is>
      </c>
      <c r="G136" s="32" t="n"/>
      <c r="H136" s="32" t="n"/>
      <c r="I136" s="5" t="n"/>
    </row>
    <row r="137" ht="20" customHeight="1">
      <c r="A137" s="33" t="n">
        <v>10</v>
      </c>
      <c r="B137" s="30">
        <f>'Getting Started'!B38</f>
        <v/>
      </c>
      <c r="C137" s="34" t="inlineStr">
        <is>
          <t>Reading</t>
        </is>
      </c>
      <c r="D137" s="31" t="inlineStr">
        <is>
          <t>—</t>
        </is>
      </c>
      <c r="E137" s="5" t="n"/>
      <c r="F137" s="32" t="inlineStr">
        <is>
          <t>pages</t>
        </is>
      </c>
      <c r="G137" s="32" t="n"/>
      <c r="H137" s="32" t="n"/>
      <c r="I137" s="5" t="n"/>
    </row>
    <row r="138" ht="20" customHeight="1">
      <c r="A138" s="29" t="n">
        <v>10</v>
      </c>
      <c r="B138" s="30">
        <f>'Getting Started'!B38</f>
        <v/>
      </c>
      <c r="C138" s="4" t="inlineStr">
        <is>
          <t>Writing / Composition</t>
        </is>
      </c>
      <c r="D138" s="31" t="inlineStr">
        <is>
          <t>—</t>
        </is>
      </c>
      <c r="E138" s="5" t="n"/>
      <c r="F138" s="32" t="inlineStr">
        <is>
          <t>pages</t>
        </is>
      </c>
      <c r="G138" s="32" t="n"/>
      <c r="H138" s="32" t="n"/>
      <c r="I138" s="5" t="n"/>
    </row>
    <row r="139" ht="20" customHeight="1">
      <c r="A139" s="33" t="n">
        <v>10</v>
      </c>
      <c r="B139" s="30">
        <f>'Getting Started'!B38</f>
        <v/>
      </c>
      <c r="C139" s="34" t="inlineStr">
        <is>
          <t>Science</t>
        </is>
      </c>
      <c r="D139" s="31" t="inlineStr">
        <is>
          <t>—</t>
        </is>
      </c>
      <c r="E139" s="5" t="n"/>
      <c r="F139" s="32" t="inlineStr">
        <is>
          <t>pages</t>
        </is>
      </c>
      <c r="G139" s="32" t="n"/>
      <c r="H139" s="32" t="n"/>
      <c r="I139" s="5" t="n"/>
    </row>
    <row r="140" ht="20" customHeight="1">
      <c r="A140" s="29" t="n">
        <v>10</v>
      </c>
      <c r="B140" s="30">
        <f>'Getting Started'!B38</f>
        <v/>
      </c>
      <c r="C140" s="4" t="inlineStr">
        <is>
          <t>Social Studies / History</t>
        </is>
      </c>
      <c r="D140" s="31" t="inlineStr">
        <is>
          <t>—</t>
        </is>
      </c>
      <c r="E140" s="5" t="n"/>
      <c r="F140" s="32" t="inlineStr">
        <is>
          <t>pages</t>
        </is>
      </c>
      <c r="G140" s="32" t="n"/>
      <c r="H140" s="32" t="n"/>
      <c r="I140" s="5" t="n"/>
    </row>
    <row r="141" ht="20" customHeight="1">
      <c r="A141" s="33" t="n">
        <v>10</v>
      </c>
      <c r="B141" s="30">
        <f>'Getting Started'!B38</f>
        <v/>
      </c>
      <c r="C141" s="34" t="inlineStr">
        <is>
          <t>Health</t>
        </is>
      </c>
      <c r="D141" s="31" t="inlineStr">
        <is>
          <t>—</t>
        </is>
      </c>
      <c r="E141" s="5" t="n"/>
      <c r="F141" s="32" t="inlineStr">
        <is>
          <t>pages</t>
        </is>
      </c>
      <c r="G141" s="32" t="n"/>
      <c r="H141" s="32" t="n"/>
      <c r="I141" s="5" t="n"/>
    </row>
    <row r="142" ht="20" customHeight="1">
      <c r="A142" s="29" t="n">
        <v>10</v>
      </c>
      <c r="B142" s="30">
        <f>'Getting Started'!B38</f>
        <v/>
      </c>
      <c r="C142" s="4" t="inlineStr">
        <is>
          <t>Physical Education</t>
        </is>
      </c>
      <c r="D142" s="31" t="inlineStr">
        <is>
          <t>—</t>
        </is>
      </c>
      <c r="E142" s="5" t="n"/>
      <c r="F142" s="32" t="inlineStr">
        <is>
          <t>pages</t>
        </is>
      </c>
      <c r="G142" s="32" t="n"/>
      <c r="H142" s="32" t="n"/>
      <c r="I142" s="5" t="n"/>
    </row>
    <row r="143" ht="20" customHeight="1">
      <c r="A143" s="33" t="n">
        <v>10</v>
      </c>
      <c r="B143" s="30">
        <f>'Getting Started'!B38</f>
        <v/>
      </c>
      <c r="C143" s="34" t="inlineStr">
        <is>
          <t>Art / Music</t>
        </is>
      </c>
      <c r="D143" s="31" t="inlineStr">
        <is>
          <t>—</t>
        </is>
      </c>
      <c r="E143" s="5" t="n"/>
      <c r="F143" s="32" t="inlineStr">
        <is>
          <t>pages</t>
        </is>
      </c>
      <c r="G143" s="32" t="n"/>
      <c r="H143" s="32" t="n"/>
      <c r="I143" s="5" t="n"/>
    </row>
    <row r="144" ht="20" customHeight="1">
      <c r="A144" s="29" t="n">
        <v>10</v>
      </c>
      <c r="B144" s="30">
        <f>'Getting Started'!B38</f>
        <v/>
      </c>
      <c r="C144" s="35" t="inlineStr">
        <is>
          <t>Elective / Other 1</t>
        </is>
      </c>
      <c r="D144" s="5" t="n"/>
      <c r="E144" s="5" t="n"/>
      <c r="F144" s="32" t="inlineStr">
        <is>
          <t>pages</t>
        </is>
      </c>
      <c r="G144" s="32" t="n"/>
      <c r="H144" s="32" t="n"/>
      <c r="I144" s="5" t="n"/>
    </row>
    <row r="145" ht="20" customHeight="1">
      <c r="A145" s="33" t="n">
        <v>10</v>
      </c>
      <c r="B145" s="30">
        <f>'Getting Started'!B38</f>
        <v/>
      </c>
      <c r="C145" s="36" t="inlineStr">
        <is>
          <t>Elective / Other 2</t>
        </is>
      </c>
      <c r="D145" s="5" t="n"/>
      <c r="E145" s="5" t="n"/>
      <c r="F145" s="32" t="inlineStr">
        <is>
          <t>pages</t>
        </is>
      </c>
      <c r="G145" s="32" t="n"/>
      <c r="H145" s="32" t="n"/>
      <c r="I145" s="5" t="n"/>
    </row>
    <row r="146" ht="20" customHeight="1">
      <c r="A146" s="29" t="n">
        <v>10</v>
      </c>
      <c r="B146" s="30">
        <f>'Getting Started'!B38</f>
        <v/>
      </c>
      <c r="C146" s="35" t="inlineStr">
        <is>
          <t>Elective / Other 3</t>
        </is>
      </c>
      <c r="D146" s="5" t="n"/>
      <c r="E146" s="5" t="n"/>
      <c r="F146" s="32" t="inlineStr">
        <is>
          <t>pages</t>
        </is>
      </c>
      <c r="G146" s="32" t="n"/>
      <c r="H146" s="32" t="n"/>
      <c r="I146" s="5" t="n"/>
    </row>
    <row r="147" ht="20" customHeight="1">
      <c r="A147" s="33" t="n">
        <v>10</v>
      </c>
      <c r="B147" s="30">
        <f>'Getting Started'!B38</f>
        <v/>
      </c>
      <c r="C147" s="36" t="inlineStr">
        <is>
          <t>Elective / Other 4</t>
        </is>
      </c>
      <c r="D147" s="5" t="n"/>
      <c r="E147" s="5" t="n"/>
      <c r="F147" s="32" t="inlineStr">
        <is>
          <t>pages</t>
        </is>
      </c>
      <c r="G147" s="32" t="n"/>
      <c r="H147" s="32" t="n"/>
      <c r="I147" s="5" t="n"/>
    </row>
  </sheetData>
  <autoFilter ref="A7:I147"/>
  <mergeCells count="6">
    <mergeCell ref="A4:B4"/>
    <mergeCell ref="A2:I2"/>
    <mergeCell ref="F4:I4"/>
    <mergeCell ref="A1:I1"/>
    <mergeCell ref="D4:E4"/>
    <mergeCell ref="A6:I6"/>
  </mergeCells>
  <conditionalFormatting sqref="A8:I147">
    <cfRule type="expression" priority="1" dxfId="0">
      <formula>$A8=$C$4</formula>
    </cfRule>
  </conditionalFormatting>
  <dataValidations count="2">
    <dataValidation sqref="C4" showDropDown="0" showInputMessage="0" showErrorMessage="1" allowBlank="0" errorTitle="Invalid" error="Enter 1–10" type="whole" operator="between">
      <formula1>1</formula1>
      <formula2>10</formula2>
    </dataValidation>
    <dataValidation sqref="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showDropDown="0" showInputMessage="0" showErrorMessage="0" allowBlank="0" type="whole" operator="between">
      <formula1>1</formula1>
      <formula2>10</formula2>
    </dataValidation>
  </dataValidations>
  <pageMargins left="0.75" right="0.75" top="1" bottom="1" header="0.5" footer="0.5"/>
</worksheet>
</file>

<file path=xl/worksheets/sheet3.xml><?xml version="1.0" encoding="utf-8"?>
<worksheet xmlns="http://schemas.openxmlformats.org/spreadsheetml/2006/main">
  <sheetPr>
    <tabColor rgb="00C48B8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Started'!B29="","Student 1",'Getting Started'!B29)</f>
        <v/>
      </c>
    </row>
    <row r="2" ht="22" customHeight="1">
      <c r="A2" s="37">
        <f>IFERROR("Grade: "&amp;'Getting Started'!F29&amp;"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Content'!E8="","← enter on Course Content tab",'Course Content'!E8),"")</f>
        <v/>
      </c>
    </row>
    <row r="8" ht="22" customHeight="1">
      <c r="B8" s="46">
        <f>'Course Content'!G8</f>
        <v/>
      </c>
      <c r="C8" s="47">
        <f>IFERROR(IF(B8="","",ROUND(B8/'Getting Started'!C15,1)),"")</f>
        <v/>
      </c>
      <c r="D8" s="47">
        <f>IFERROR(IF(C8="","",ROUND(C8/'Getting Started'!C7,1)),"")</f>
        <v/>
      </c>
      <c r="E8" s="48">
        <f>IFERROR(IF(B8="","",TEXT('Getting Started'!C10+(B8/D8),"MMM D, YYYY")),"")</f>
        <v/>
      </c>
      <c r="F8" s="39" t="n"/>
      <c r="G8" s="49">
        <f>'Course Content'!H8</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Content'!I8="","",'Course Content'!I8),"")</f>
        <v/>
      </c>
    </row>
    <row r="18" ht="8" customHeight="1"/>
    <row r="19" ht="24" customHeight="1">
      <c r="A19" s="44" t="inlineStr">
        <is>
          <t xml:space="preserve">  MATH</t>
        </is>
      </c>
      <c r="E19" s="45">
        <f>IFERROR(IF('Course Content'!E9="","← enter on Course Content tab",'Course Content'!E9),"")</f>
        <v/>
      </c>
    </row>
    <row r="20" ht="22" customHeight="1">
      <c r="B20" s="46">
        <f>'Course Content'!G9</f>
        <v/>
      </c>
      <c r="C20" s="47">
        <f>IFERROR(IF(B20="","",ROUND(B20/'Getting Started'!C15,1)),"")</f>
        <v/>
      </c>
      <c r="D20" s="47">
        <f>IFERROR(IF(C20="","",ROUND(C20/'Getting Started'!C7,1)),"")</f>
        <v/>
      </c>
      <c r="E20" s="48">
        <f>IFERROR(IF(B20="","",TEXT('Getting Started'!C10+(B20/D20),"MMM D, YYYY")),"")</f>
        <v/>
      </c>
      <c r="F20" s="39" t="n"/>
      <c r="G20" s="49">
        <f>'Course Content'!H9</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Content'!I9="","",'Course Content'!I9),"")</f>
        <v/>
      </c>
    </row>
    <row r="30" ht="8" customHeight="1"/>
    <row r="31" ht="24" customHeight="1">
      <c r="A31" s="44" t="inlineStr">
        <is>
          <t xml:space="preserve">  ENGLISH / LANGUAGE ARTS</t>
        </is>
      </c>
      <c r="E31" s="45">
        <f>IFERROR(IF('Course Content'!E10="","← enter on Course Content tab",'Course Content'!E10),"")</f>
        <v/>
      </c>
    </row>
    <row r="32" ht="22" customHeight="1">
      <c r="B32" s="46">
        <f>'Course Content'!G10</f>
        <v/>
      </c>
      <c r="C32" s="47">
        <f>IFERROR(IF(B32="","",ROUND(B32/'Getting Started'!C15,1)),"")</f>
        <v/>
      </c>
      <c r="D32" s="47">
        <f>IFERROR(IF(C32="","",ROUND(C32/'Getting Started'!C7,1)),"")</f>
        <v/>
      </c>
      <c r="E32" s="48">
        <f>IFERROR(IF(B32="","",TEXT('Getting Started'!C10+(B32/D32),"MMM D, YYYY")),"")</f>
        <v/>
      </c>
      <c r="F32" s="39" t="n"/>
      <c r="G32" s="49">
        <f>'Course Content'!H10</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Content'!I10="","",'Course Content'!I10),"")</f>
        <v/>
      </c>
    </row>
    <row r="42" ht="8" customHeight="1"/>
    <row r="43" ht="24" customHeight="1">
      <c r="A43" s="44" t="inlineStr">
        <is>
          <t xml:space="preserve">  READING</t>
        </is>
      </c>
      <c r="E43" s="45">
        <f>IFERROR(IF('Course Content'!E11="","← enter on Course Content tab",'Course Content'!E11),"")</f>
        <v/>
      </c>
    </row>
    <row r="44" ht="22" customHeight="1">
      <c r="B44" s="46">
        <f>'Course Content'!G11</f>
        <v/>
      </c>
      <c r="C44" s="47">
        <f>IFERROR(IF(B44="","",ROUND(B44/'Getting Started'!C15,1)),"")</f>
        <v/>
      </c>
      <c r="D44" s="47">
        <f>IFERROR(IF(C44="","",ROUND(C44/'Getting Started'!C7,1)),"")</f>
        <v/>
      </c>
      <c r="E44" s="48">
        <f>IFERROR(IF(B44="","",TEXT('Getting Started'!C10+(B44/D44),"MMM D, YYYY")),"")</f>
        <v/>
      </c>
      <c r="F44" s="39" t="n"/>
      <c r="G44" s="49">
        <f>'Course Content'!H11</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Content'!I11="","",'Course Content'!I11),"")</f>
        <v/>
      </c>
    </row>
    <row r="54" ht="8" customHeight="1"/>
    <row r="55" ht="24" customHeight="1">
      <c r="A55" s="44" t="inlineStr">
        <is>
          <t xml:space="preserve">  WRITING / COMPOSITION</t>
        </is>
      </c>
      <c r="E55" s="45">
        <f>IFERROR(IF('Course Content'!E12="","← enter on Course Content tab",'Course Content'!E12),"")</f>
        <v/>
      </c>
    </row>
    <row r="56" ht="22" customHeight="1">
      <c r="B56" s="46">
        <f>'Course Content'!G12</f>
        <v/>
      </c>
      <c r="C56" s="47">
        <f>IFERROR(IF(B56="","",ROUND(B56/'Getting Started'!C15,1)),"")</f>
        <v/>
      </c>
      <c r="D56" s="47">
        <f>IFERROR(IF(C56="","",ROUND(C56/'Getting Started'!C7,1)),"")</f>
        <v/>
      </c>
      <c r="E56" s="48">
        <f>IFERROR(IF(B56="","",TEXT('Getting Started'!C10+(B56/D56),"MMM D, YYYY")),"")</f>
        <v/>
      </c>
      <c r="F56" s="39" t="n"/>
      <c r="G56" s="49">
        <f>'Course Content'!H12</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Content'!I12="","",'Course Content'!I12),"")</f>
        <v/>
      </c>
    </row>
    <row r="66" ht="8" customHeight="1"/>
    <row r="67" ht="24" customHeight="1">
      <c r="A67" s="44" t="inlineStr">
        <is>
          <t xml:space="preserve">  SCIENCE</t>
        </is>
      </c>
      <c r="E67" s="45">
        <f>IFERROR(IF('Course Content'!E13="","← enter on Course Content tab",'Course Content'!E13),"")</f>
        <v/>
      </c>
    </row>
    <row r="68" ht="22" customHeight="1">
      <c r="B68" s="46">
        <f>'Course Content'!G13</f>
        <v/>
      </c>
      <c r="C68" s="47">
        <f>IFERROR(IF(B68="","",ROUND(B68/'Getting Started'!C15,1)),"")</f>
        <v/>
      </c>
      <c r="D68" s="47">
        <f>IFERROR(IF(C68="","",ROUND(C68/'Getting Started'!C7,1)),"")</f>
        <v/>
      </c>
      <c r="E68" s="48">
        <f>IFERROR(IF(B68="","",TEXT('Getting Started'!C10+(B68/D68),"MMM D, YYYY")),"")</f>
        <v/>
      </c>
      <c r="F68" s="39" t="n"/>
      <c r="G68" s="49">
        <f>'Course Content'!H13</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Content'!I13="","",'Course Content'!I13),"")</f>
        <v/>
      </c>
    </row>
    <row r="78" ht="8" customHeight="1"/>
    <row r="79" ht="24" customHeight="1">
      <c r="A79" s="44" t="inlineStr">
        <is>
          <t xml:space="preserve">  SOCIAL STUDIES / HISTORY</t>
        </is>
      </c>
      <c r="E79" s="45">
        <f>IFERROR(IF('Course Content'!E14="","← enter on Course Content tab",'Course Content'!E14),"")</f>
        <v/>
      </c>
    </row>
    <row r="80" ht="22" customHeight="1">
      <c r="B80" s="46">
        <f>'Course Content'!G14</f>
        <v/>
      </c>
      <c r="C80" s="47">
        <f>IFERROR(IF(B80="","",ROUND(B80/'Getting Started'!C15,1)),"")</f>
        <v/>
      </c>
      <c r="D80" s="47">
        <f>IFERROR(IF(C80="","",ROUND(C80/'Getting Started'!C7,1)),"")</f>
        <v/>
      </c>
      <c r="E80" s="48">
        <f>IFERROR(IF(B80="","",TEXT('Getting Started'!C10+(B80/D80),"MMM D, YYYY")),"")</f>
        <v/>
      </c>
      <c r="F80" s="39" t="n"/>
      <c r="G80" s="49">
        <f>'Course Content'!H14</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Content'!I14="","",'Course Content'!I14),"")</f>
        <v/>
      </c>
    </row>
    <row r="90" ht="8" customHeight="1"/>
    <row r="91" ht="24" customHeight="1">
      <c r="A91" s="44" t="inlineStr">
        <is>
          <t xml:space="preserve">  HEALTH</t>
        </is>
      </c>
      <c r="E91" s="45">
        <f>IFERROR(IF('Course Content'!E15="","← enter on Course Content tab",'Course Content'!E15),"")</f>
        <v/>
      </c>
    </row>
    <row r="92" ht="22" customHeight="1">
      <c r="B92" s="46">
        <f>'Course Content'!G15</f>
        <v/>
      </c>
      <c r="C92" s="47">
        <f>IFERROR(IF(B92="","",ROUND(B92/'Getting Started'!C15,1)),"")</f>
        <v/>
      </c>
      <c r="D92" s="47">
        <f>IFERROR(IF(C92="","",ROUND(C92/'Getting Started'!C7,1)),"")</f>
        <v/>
      </c>
      <c r="E92" s="48">
        <f>IFERROR(IF(B92="","",TEXT('Getting Started'!C10+(B92/D92),"MMM D, YYYY")),"")</f>
        <v/>
      </c>
      <c r="F92" s="39" t="n"/>
      <c r="G92" s="49">
        <f>'Course Content'!H15</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Content'!I15="","",'Course Content'!I15),"")</f>
        <v/>
      </c>
    </row>
    <row r="102" ht="8" customHeight="1"/>
    <row r="103" ht="24" customHeight="1">
      <c r="A103" s="44" t="inlineStr">
        <is>
          <t xml:space="preserve">  PHYSICAL EDUCATION</t>
        </is>
      </c>
      <c r="E103" s="45">
        <f>IFERROR(IF('Course Content'!E16="","← enter on Course Content tab",'Course Content'!E16),"")</f>
        <v/>
      </c>
    </row>
    <row r="104" ht="22" customHeight="1">
      <c r="B104" s="46">
        <f>'Course Content'!G16</f>
        <v/>
      </c>
      <c r="C104" s="47">
        <f>IFERROR(IF(B104="","",ROUND(B104/'Getting Started'!C15,1)),"")</f>
        <v/>
      </c>
      <c r="D104" s="47">
        <f>IFERROR(IF(C104="","",ROUND(C104/'Getting Started'!C7,1)),"")</f>
        <v/>
      </c>
      <c r="E104" s="48">
        <f>IFERROR(IF(B104="","",TEXT('Getting Started'!C10+(B104/D104),"MMM D, YYYY")),"")</f>
        <v/>
      </c>
      <c r="F104" s="39" t="n"/>
      <c r="G104" s="49">
        <f>'Course Content'!H16</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Content'!I16="","",'Course Content'!I16),"")</f>
        <v/>
      </c>
    </row>
    <row r="114" ht="8" customHeight="1"/>
    <row r="115" ht="24" customHeight="1">
      <c r="A115" s="44" t="inlineStr">
        <is>
          <t xml:space="preserve">  ART / MUSIC</t>
        </is>
      </c>
      <c r="E115" s="45">
        <f>IFERROR(IF('Course Content'!E17="","← enter on Course Content tab",'Course Content'!E17),"")</f>
        <v/>
      </c>
    </row>
    <row r="116" ht="22" customHeight="1">
      <c r="B116" s="46">
        <f>'Course Content'!G17</f>
        <v/>
      </c>
      <c r="C116" s="47">
        <f>IFERROR(IF(B116="","",ROUND(B116/'Getting Started'!C15,1)),"")</f>
        <v/>
      </c>
      <c r="D116" s="47">
        <f>IFERROR(IF(C116="","",ROUND(C116/'Getting Started'!C7,1)),"")</f>
        <v/>
      </c>
      <c r="E116" s="48">
        <f>IFERROR(IF(B116="","",TEXT('Getting Started'!C10+(B116/D116),"MMM D, YYYY")),"")</f>
        <v/>
      </c>
      <c r="F116" s="39" t="n"/>
      <c r="G116" s="49">
        <f>'Course Content'!H17</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Content'!I17="","",'Course Content'!I17),"")</f>
        <v/>
      </c>
    </row>
    <row r="126" ht="8" customHeight="1"/>
    <row r="127" ht="24" customHeight="1">
      <c r="A127" s="44">
        <f>IF('Course Content'!D18="","  ELECTIVE / OTHER 1","  "&amp;UPPER('Course Content'!D18))</f>
        <v/>
      </c>
      <c r="E127" s="45">
        <f>IFERROR(IF('Course Content'!E18="","← enter on Course Content tab",'Course Content'!E18),"")</f>
        <v/>
      </c>
    </row>
    <row r="128" ht="22" customHeight="1">
      <c r="B128" s="46">
        <f>'Course Content'!G18</f>
        <v/>
      </c>
      <c r="C128" s="47">
        <f>IFERROR(IF(B128="","",ROUND(B128/'Getting Started'!C15,1)),"")</f>
        <v/>
      </c>
      <c r="D128" s="47">
        <f>IFERROR(IF(C128="","",ROUND(C128/'Getting Started'!C7,1)),"")</f>
        <v/>
      </c>
      <c r="E128" s="48">
        <f>IFERROR(IF(B128="","",TEXT('Getting Started'!C10+(B128/D128),"MMM D, YYYY")),"")</f>
        <v/>
      </c>
      <c r="F128" s="39" t="n"/>
      <c r="G128" s="49">
        <f>'Course Content'!H18</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Content'!I18="","",'Course Content'!I18),"")</f>
        <v/>
      </c>
    </row>
    <row r="138" ht="8" customHeight="1"/>
    <row r="139" ht="24" customHeight="1">
      <c r="A139" s="44">
        <f>IF('Course Content'!D19="","  ELECTIVE / OTHER 2","  "&amp;UPPER('Course Content'!D19))</f>
        <v/>
      </c>
      <c r="E139" s="45">
        <f>IFERROR(IF('Course Content'!E19="","← enter on Course Content tab",'Course Content'!E19),"")</f>
        <v/>
      </c>
    </row>
    <row r="140" ht="22" customHeight="1">
      <c r="B140" s="46">
        <f>'Course Content'!G19</f>
        <v/>
      </c>
      <c r="C140" s="47">
        <f>IFERROR(IF(B140="","",ROUND(B140/'Getting Started'!C15,1)),"")</f>
        <v/>
      </c>
      <c r="D140" s="47">
        <f>IFERROR(IF(C140="","",ROUND(C140/'Getting Started'!C7,1)),"")</f>
        <v/>
      </c>
      <c r="E140" s="48">
        <f>IFERROR(IF(B140="","",TEXT('Getting Started'!C10+(B140/D140),"MMM D, YYYY")),"")</f>
        <v/>
      </c>
      <c r="F140" s="39" t="n"/>
      <c r="G140" s="49">
        <f>'Course Content'!H19</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Content'!I19="","",'Course Content'!I19),"")</f>
        <v/>
      </c>
    </row>
    <row r="150" ht="8" customHeight="1"/>
    <row r="151" ht="24" customHeight="1">
      <c r="A151" s="44">
        <f>IF('Course Content'!D20="","  ELECTIVE / OTHER 3","  "&amp;UPPER('Course Content'!D20))</f>
        <v/>
      </c>
      <c r="E151" s="45">
        <f>IFERROR(IF('Course Content'!E20="","← enter on Course Content tab",'Course Content'!E20),"")</f>
        <v/>
      </c>
    </row>
    <row r="152" ht="22" customHeight="1">
      <c r="B152" s="46">
        <f>'Course Content'!G20</f>
        <v/>
      </c>
      <c r="C152" s="47">
        <f>IFERROR(IF(B152="","",ROUND(B152/'Getting Started'!C15,1)),"")</f>
        <v/>
      </c>
      <c r="D152" s="47">
        <f>IFERROR(IF(C152="","",ROUND(C152/'Getting Started'!C7,1)),"")</f>
        <v/>
      </c>
      <c r="E152" s="48">
        <f>IFERROR(IF(B152="","",TEXT('Getting Started'!C10+(B152/D152),"MMM D, YYYY")),"")</f>
        <v/>
      </c>
      <c r="F152" s="39" t="n"/>
      <c r="G152" s="49">
        <f>'Course Content'!H20</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Content'!I20="","",'Course Content'!I20),"")</f>
        <v/>
      </c>
    </row>
    <row r="162" ht="8" customHeight="1"/>
    <row r="163" ht="24" customHeight="1">
      <c r="A163" s="44">
        <f>IF('Course Content'!D21="","  ELECTIVE / OTHER 4","  "&amp;UPPER('Course Content'!D21))</f>
        <v/>
      </c>
      <c r="E163" s="45">
        <f>IFERROR(IF('Course Content'!E21="","← enter on Course Content tab",'Course Content'!E21),"")</f>
        <v/>
      </c>
    </row>
    <row r="164" ht="22" customHeight="1">
      <c r="B164" s="46">
        <f>'Course Content'!G21</f>
        <v/>
      </c>
      <c r="C164" s="47">
        <f>IFERROR(IF(B164="","",ROUND(B164/'Getting Started'!C15,1)),"")</f>
        <v/>
      </c>
      <c r="D164" s="47">
        <f>IFERROR(IF(C164="","",ROUND(C164/'Getting Started'!C7,1)),"")</f>
        <v/>
      </c>
      <c r="E164" s="48">
        <f>IFERROR(IF(B164="","",TEXT('Getting Started'!C10+(B164/D164),"MMM D, YYYY")),"")</f>
        <v/>
      </c>
      <c r="F164" s="39" t="n"/>
      <c r="G164" s="49">
        <f>'Course Content'!H21</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Content'!I21="","",'Course Content'!I21),"")</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4.xml><?xml version="1.0" encoding="utf-8"?>
<worksheet xmlns="http://schemas.openxmlformats.org/spreadsheetml/2006/main">
  <sheetPr>
    <tabColor rgb="00A87C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Started'!B30="","Student 2",'Getting Started'!B30)</f>
        <v/>
      </c>
    </row>
    <row r="2" ht="22" customHeight="1">
      <c r="A2" s="37">
        <f>IFERROR("Grade: "&amp;'Getting Started'!F30&amp;"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Content'!E22="","← enter on Course Content tab",'Course Content'!E22),"")</f>
        <v/>
      </c>
    </row>
    <row r="8" ht="22" customHeight="1">
      <c r="B8" s="46">
        <f>'Course Content'!G22</f>
        <v/>
      </c>
      <c r="C8" s="47">
        <f>IFERROR(IF(B8="","",ROUND(B8/'Getting Started'!C15,1)),"")</f>
        <v/>
      </c>
      <c r="D8" s="47">
        <f>IFERROR(IF(C8="","",ROUND(C8/'Getting Started'!C7,1)),"")</f>
        <v/>
      </c>
      <c r="E8" s="48">
        <f>IFERROR(IF(B8="","",TEXT('Getting Started'!C10+(B8/D8),"MMM D, YYYY")),"")</f>
        <v/>
      </c>
      <c r="F8" s="39" t="n"/>
      <c r="G8" s="49">
        <f>'Course Content'!H22</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Content'!I22="","",'Course Content'!I22),"")</f>
        <v/>
      </c>
    </row>
    <row r="18" ht="8" customHeight="1"/>
    <row r="19" ht="24" customHeight="1">
      <c r="A19" s="44" t="inlineStr">
        <is>
          <t xml:space="preserve">  MATH</t>
        </is>
      </c>
      <c r="E19" s="45">
        <f>IFERROR(IF('Course Content'!E23="","← enter on Course Content tab",'Course Content'!E23),"")</f>
        <v/>
      </c>
    </row>
    <row r="20" ht="22" customHeight="1">
      <c r="B20" s="46">
        <f>'Course Content'!G23</f>
        <v/>
      </c>
      <c r="C20" s="47">
        <f>IFERROR(IF(B20="","",ROUND(B20/'Getting Started'!C15,1)),"")</f>
        <v/>
      </c>
      <c r="D20" s="47">
        <f>IFERROR(IF(C20="","",ROUND(C20/'Getting Started'!C7,1)),"")</f>
        <v/>
      </c>
      <c r="E20" s="48">
        <f>IFERROR(IF(B20="","",TEXT('Getting Started'!C10+(B20/D20),"MMM D, YYYY")),"")</f>
        <v/>
      </c>
      <c r="F20" s="39" t="n"/>
      <c r="G20" s="49">
        <f>'Course Content'!H23</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Content'!I23="","",'Course Content'!I23),"")</f>
        <v/>
      </c>
    </row>
    <row r="30" ht="8" customHeight="1"/>
    <row r="31" ht="24" customHeight="1">
      <c r="A31" s="44" t="inlineStr">
        <is>
          <t xml:space="preserve">  ENGLISH / LANGUAGE ARTS</t>
        </is>
      </c>
      <c r="E31" s="45">
        <f>IFERROR(IF('Course Content'!E24="","← enter on Course Content tab",'Course Content'!E24),"")</f>
        <v/>
      </c>
    </row>
    <row r="32" ht="22" customHeight="1">
      <c r="B32" s="46">
        <f>'Course Content'!G24</f>
        <v/>
      </c>
      <c r="C32" s="47">
        <f>IFERROR(IF(B32="","",ROUND(B32/'Getting Started'!C15,1)),"")</f>
        <v/>
      </c>
      <c r="D32" s="47">
        <f>IFERROR(IF(C32="","",ROUND(C32/'Getting Started'!C7,1)),"")</f>
        <v/>
      </c>
      <c r="E32" s="48">
        <f>IFERROR(IF(B32="","",TEXT('Getting Started'!C10+(B32/D32),"MMM D, YYYY")),"")</f>
        <v/>
      </c>
      <c r="F32" s="39" t="n"/>
      <c r="G32" s="49">
        <f>'Course Content'!H24</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Content'!I24="","",'Course Content'!I24),"")</f>
        <v/>
      </c>
    </row>
    <row r="42" ht="8" customHeight="1"/>
    <row r="43" ht="24" customHeight="1">
      <c r="A43" s="44" t="inlineStr">
        <is>
          <t xml:space="preserve">  READING</t>
        </is>
      </c>
      <c r="E43" s="45">
        <f>IFERROR(IF('Course Content'!E25="","← enter on Course Content tab",'Course Content'!E25),"")</f>
        <v/>
      </c>
    </row>
    <row r="44" ht="22" customHeight="1">
      <c r="B44" s="46">
        <f>'Course Content'!G25</f>
        <v/>
      </c>
      <c r="C44" s="47">
        <f>IFERROR(IF(B44="","",ROUND(B44/'Getting Started'!C15,1)),"")</f>
        <v/>
      </c>
      <c r="D44" s="47">
        <f>IFERROR(IF(C44="","",ROUND(C44/'Getting Started'!C7,1)),"")</f>
        <v/>
      </c>
      <c r="E44" s="48">
        <f>IFERROR(IF(B44="","",TEXT('Getting Started'!C10+(B44/D44),"MMM D, YYYY")),"")</f>
        <v/>
      </c>
      <c r="F44" s="39" t="n"/>
      <c r="G44" s="49">
        <f>'Course Content'!H25</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Content'!I25="","",'Course Content'!I25),"")</f>
        <v/>
      </c>
    </row>
    <row r="54" ht="8" customHeight="1"/>
    <row r="55" ht="24" customHeight="1">
      <c r="A55" s="44" t="inlineStr">
        <is>
          <t xml:space="preserve">  WRITING / COMPOSITION</t>
        </is>
      </c>
      <c r="E55" s="45">
        <f>IFERROR(IF('Course Content'!E26="","← enter on Course Content tab",'Course Content'!E26),"")</f>
        <v/>
      </c>
    </row>
    <row r="56" ht="22" customHeight="1">
      <c r="B56" s="46">
        <f>'Course Content'!G26</f>
        <v/>
      </c>
      <c r="C56" s="47">
        <f>IFERROR(IF(B56="","",ROUND(B56/'Getting Started'!C15,1)),"")</f>
        <v/>
      </c>
      <c r="D56" s="47">
        <f>IFERROR(IF(C56="","",ROUND(C56/'Getting Started'!C7,1)),"")</f>
        <v/>
      </c>
      <c r="E56" s="48">
        <f>IFERROR(IF(B56="","",TEXT('Getting Started'!C10+(B56/D56),"MMM D, YYYY")),"")</f>
        <v/>
      </c>
      <c r="F56" s="39" t="n"/>
      <c r="G56" s="49">
        <f>'Course Content'!H26</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Content'!I26="","",'Course Content'!I26),"")</f>
        <v/>
      </c>
    </row>
    <row r="66" ht="8" customHeight="1"/>
    <row r="67" ht="24" customHeight="1">
      <c r="A67" s="44" t="inlineStr">
        <is>
          <t xml:space="preserve">  SCIENCE</t>
        </is>
      </c>
      <c r="E67" s="45">
        <f>IFERROR(IF('Course Content'!E27="","← enter on Course Content tab",'Course Content'!E27),"")</f>
        <v/>
      </c>
    </row>
    <row r="68" ht="22" customHeight="1">
      <c r="B68" s="46">
        <f>'Course Content'!G27</f>
        <v/>
      </c>
      <c r="C68" s="47">
        <f>IFERROR(IF(B68="","",ROUND(B68/'Getting Started'!C15,1)),"")</f>
        <v/>
      </c>
      <c r="D68" s="47">
        <f>IFERROR(IF(C68="","",ROUND(C68/'Getting Started'!C7,1)),"")</f>
        <v/>
      </c>
      <c r="E68" s="48">
        <f>IFERROR(IF(B68="","",TEXT('Getting Started'!C10+(B68/D68),"MMM D, YYYY")),"")</f>
        <v/>
      </c>
      <c r="F68" s="39" t="n"/>
      <c r="G68" s="49">
        <f>'Course Content'!H27</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Content'!I27="","",'Course Content'!I27),"")</f>
        <v/>
      </c>
    </row>
    <row r="78" ht="8" customHeight="1"/>
    <row r="79" ht="24" customHeight="1">
      <c r="A79" s="44" t="inlineStr">
        <is>
          <t xml:space="preserve">  SOCIAL STUDIES / HISTORY</t>
        </is>
      </c>
      <c r="E79" s="45">
        <f>IFERROR(IF('Course Content'!E28="","← enter on Course Content tab",'Course Content'!E28),"")</f>
        <v/>
      </c>
    </row>
    <row r="80" ht="22" customHeight="1">
      <c r="B80" s="46">
        <f>'Course Content'!G28</f>
        <v/>
      </c>
      <c r="C80" s="47">
        <f>IFERROR(IF(B80="","",ROUND(B80/'Getting Started'!C15,1)),"")</f>
        <v/>
      </c>
      <c r="D80" s="47">
        <f>IFERROR(IF(C80="","",ROUND(C80/'Getting Started'!C7,1)),"")</f>
        <v/>
      </c>
      <c r="E80" s="48">
        <f>IFERROR(IF(B80="","",TEXT('Getting Started'!C10+(B80/D80),"MMM D, YYYY")),"")</f>
        <v/>
      </c>
      <c r="F80" s="39" t="n"/>
      <c r="G80" s="49">
        <f>'Course Content'!H28</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Content'!I28="","",'Course Content'!I28),"")</f>
        <v/>
      </c>
    </row>
    <row r="90" ht="8" customHeight="1"/>
    <row r="91" ht="24" customHeight="1">
      <c r="A91" s="44" t="inlineStr">
        <is>
          <t xml:space="preserve">  HEALTH</t>
        </is>
      </c>
      <c r="E91" s="45">
        <f>IFERROR(IF('Course Content'!E29="","← enter on Course Content tab",'Course Content'!E29),"")</f>
        <v/>
      </c>
    </row>
    <row r="92" ht="22" customHeight="1">
      <c r="B92" s="46">
        <f>'Course Content'!G29</f>
        <v/>
      </c>
      <c r="C92" s="47">
        <f>IFERROR(IF(B92="","",ROUND(B92/'Getting Started'!C15,1)),"")</f>
        <v/>
      </c>
      <c r="D92" s="47">
        <f>IFERROR(IF(C92="","",ROUND(C92/'Getting Started'!C7,1)),"")</f>
        <v/>
      </c>
      <c r="E92" s="48">
        <f>IFERROR(IF(B92="","",TEXT('Getting Started'!C10+(B92/D92),"MMM D, YYYY")),"")</f>
        <v/>
      </c>
      <c r="F92" s="39" t="n"/>
      <c r="G92" s="49">
        <f>'Course Content'!H29</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Content'!I29="","",'Course Content'!I29),"")</f>
        <v/>
      </c>
    </row>
    <row r="102" ht="8" customHeight="1"/>
    <row r="103" ht="24" customHeight="1">
      <c r="A103" s="44" t="inlineStr">
        <is>
          <t xml:space="preserve">  PHYSICAL EDUCATION</t>
        </is>
      </c>
      <c r="E103" s="45">
        <f>IFERROR(IF('Course Content'!E30="","← enter on Course Content tab",'Course Content'!E30),"")</f>
        <v/>
      </c>
    </row>
    <row r="104" ht="22" customHeight="1">
      <c r="B104" s="46">
        <f>'Course Content'!G30</f>
        <v/>
      </c>
      <c r="C104" s="47">
        <f>IFERROR(IF(B104="","",ROUND(B104/'Getting Started'!C15,1)),"")</f>
        <v/>
      </c>
      <c r="D104" s="47">
        <f>IFERROR(IF(C104="","",ROUND(C104/'Getting Started'!C7,1)),"")</f>
        <v/>
      </c>
      <c r="E104" s="48">
        <f>IFERROR(IF(B104="","",TEXT('Getting Started'!C10+(B104/D104),"MMM D, YYYY")),"")</f>
        <v/>
      </c>
      <c r="F104" s="39" t="n"/>
      <c r="G104" s="49">
        <f>'Course Content'!H30</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Content'!I30="","",'Course Content'!I30),"")</f>
        <v/>
      </c>
    </row>
    <row r="114" ht="8" customHeight="1"/>
    <row r="115" ht="24" customHeight="1">
      <c r="A115" s="44" t="inlineStr">
        <is>
          <t xml:space="preserve">  ART / MUSIC</t>
        </is>
      </c>
      <c r="E115" s="45">
        <f>IFERROR(IF('Course Content'!E31="","← enter on Course Content tab",'Course Content'!E31),"")</f>
        <v/>
      </c>
    </row>
    <row r="116" ht="22" customHeight="1">
      <c r="B116" s="46">
        <f>'Course Content'!G31</f>
        <v/>
      </c>
      <c r="C116" s="47">
        <f>IFERROR(IF(B116="","",ROUND(B116/'Getting Started'!C15,1)),"")</f>
        <v/>
      </c>
      <c r="D116" s="47">
        <f>IFERROR(IF(C116="","",ROUND(C116/'Getting Started'!C7,1)),"")</f>
        <v/>
      </c>
      <c r="E116" s="48">
        <f>IFERROR(IF(B116="","",TEXT('Getting Started'!C10+(B116/D116),"MMM D, YYYY")),"")</f>
        <v/>
      </c>
      <c r="F116" s="39" t="n"/>
      <c r="G116" s="49">
        <f>'Course Content'!H31</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Content'!I31="","",'Course Content'!I31),"")</f>
        <v/>
      </c>
    </row>
    <row r="126" ht="8" customHeight="1"/>
    <row r="127" ht="24" customHeight="1">
      <c r="A127" s="44">
        <f>IF('Course Content'!D32="","  ELECTIVE / OTHER 1","  "&amp;UPPER('Course Content'!D32))</f>
        <v/>
      </c>
      <c r="E127" s="45">
        <f>IFERROR(IF('Course Content'!E32="","← enter on Course Content tab",'Course Content'!E32),"")</f>
        <v/>
      </c>
    </row>
    <row r="128" ht="22" customHeight="1">
      <c r="B128" s="46">
        <f>'Course Content'!G32</f>
        <v/>
      </c>
      <c r="C128" s="47">
        <f>IFERROR(IF(B128="","",ROUND(B128/'Getting Started'!C15,1)),"")</f>
        <v/>
      </c>
      <c r="D128" s="47">
        <f>IFERROR(IF(C128="","",ROUND(C128/'Getting Started'!C7,1)),"")</f>
        <v/>
      </c>
      <c r="E128" s="48">
        <f>IFERROR(IF(B128="","",TEXT('Getting Started'!C10+(B128/D128),"MMM D, YYYY")),"")</f>
        <v/>
      </c>
      <c r="F128" s="39" t="n"/>
      <c r="G128" s="49">
        <f>'Course Content'!H32</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Content'!I32="","",'Course Content'!I32),"")</f>
        <v/>
      </c>
    </row>
    <row r="138" ht="8" customHeight="1"/>
    <row r="139" ht="24" customHeight="1">
      <c r="A139" s="44">
        <f>IF('Course Content'!D33="","  ELECTIVE / OTHER 2","  "&amp;UPPER('Course Content'!D33))</f>
        <v/>
      </c>
      <c r="E139" s="45">
        <f>IFERROR(IF('Course Content'!E33="","← enter on Course Content tab",'Course Content'!E33),"")</f>
        <v/>
      </c>
    </row>
    <row r="140" ht="22" customHeight="1">
      <c r="B140" s="46">
        <f>'Course Content'!G33</f>
        <v/>
      </c>
      <c r="C140" s="47">
        <f>IFERROR(IF(B140="","",ROUND(B140/'Getting Started'!C15,1)),"")</f>
        <v/>
      </c>
      <c r="D140" s="47">
        <f>IFERROR(IF(C140="","",ROUND(C140/'Getting Started'!C7,1)),"")</f>
        <v/>
      </c>
      <c r="E140" s="48">
        <f>IFERROR(IF(B140="","",TEXT('Getting Started'!C10+(B140/D140),"MMM D, YYYY")),"")</f>
        <v/>
      </c>
      <c r="F140" s="39" t="n"/>
      <c r="G140" s="49">
        <f>'Course Content'!H33</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Content'!I33="","",'Course Content'!I33),"")</f>
        <v/>
      </c>
    </row>
    <row r="150" ht="8" customHeight="1"/>
    <row r="151" ht="24" customHeight="1">
      <c r="A151" s="44">
        <f>IF('Course Content'!D34="","  ELECTIVE / OTHER 3","  "&amp;UPPER('Course Content'!D34))</f>
        <v/>
      </c>
      <c r="E151" s="45">
        <f>IFERROR(IF('Course Content'!E34="","← enter on Course Content tab",'Course Content'!E34),"")</f>
        <v/>
      </c>
    </row>
    <row r="152" ht="22" customHeight="1">
      <c r="B152" s="46">
        <f>'Course Content'!G34</f>
        <v/>
      </c>
      <c r="C152" s="47">
        <f>IFERROR(IF(B152="","",ROUND(B152/'Getting Started'!C15,1)),"")</f>
        <v/>
      </c>
      <c r="D152" s="47">
        <f>IFERROR(IF(C152="","",ROUND(C152/'Getting Started'!C7,1)),"")</f>
        <v/>
      </c>
      <c r="E152" s="48">
        <f>IFERROR(IF(B152="","",TEXT('Getting Started'!C10+(B152/D152),"MMM D, YYYY")),"")</f>
        <v/>
      </c>
      <c r="F152" s="39" t="n"/>
      <c r="G152" s="49">
        <f>'Course Content'!H34</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Content'!I34="","",'Course Content'!I34),"")</f>
        <v/>
      </c>
    </row>
    <row r="162" ht="8" customHeight="1"/>
    <row r="163" ht="24" customHeight="1">
      <c r="A163" s="44">
        <f>IF('Course Content'!D35="","  ELECTIVE / OTHER 4","  "&amp;UPPER('Course Content'!D35))</f>
        <v/>
      </c>
      <c r="E163" s="45">
        <f>IFERROR(IF('Course Content'!E35="","← enter on Course Content tab",'Course Content'!E35),"")</f>
        <v/>
      </c>
    </row>
    <row r="164" ht="22" customHeight="1">
      <c r="B164" s="46">
        <f>'Course Content'!G35</f>
        <v/>
      </c>
      <c r="C164" s="47">
        <f>IFERROR(IF(B164="","",ROUND(B164/'Getting Started'!C15,1)),"")</f>
        <v/>
      </c>
      <c r="D164" s="47">
        <f>IFERROR(IF(C164="","",ROUND(C164/'Getting Started'!C7,1)),"")</f>
        <v/>
      </c>
      <c r="E164" s="48">
        <f>IFERROR(IF(B164="","",TEXT('Getting Started'!C10+(B164/D164),"MMM D, YYYY")),"")</f>
        <v/>
      </c>
      <c r="F164" s="39" t="n"/>
      <c r="G164" s="49">
        <f>'Course Content'!H35</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Content'!I35="","",'Course Content'!I35),"")</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5.xml><?xml version="1.0" encoding="utf-8"?>
<worksheet xmlns="http://schemas.openxmlformats.org/spreadsheetml/2006/main">
  <sheetPr>
    <tabColor rgb="007A6E5F"/>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Started'!B31="","Student 3",'Getting Started'!B31)</f>
        <v/>
      </c>
    </row>
    <row r="2" ht="22" customHeight="1">
      <c r="A2" s="37">
        <f>IFERROR("Grade: "&amp;'Getting Started'!F31&amp;"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Content'!E36="","← enter on Course Content tab",'Course Content'!E36),"")</f>
        <v/>
      </c>
    </row>
    <row r="8" ht="22" customHeight="1">
      <c r="B8" s="46">
        <f>'Course Content'!G36</f>
        <v/>
      </c>
      <c r="C8" s="47">
        <f>IFERROR(IF(B8="","",ROUND(B8/'Getting Started'!C15,1)),"")</f>
        <v/>
      </c>
      <c r="D8" s="47">
        <f>IFERROR(IF(C8="","",ROUND(C8/'Getting Started'!C7,1)),"")</f>
        <v/>
      </c>
      <c r="E8" s="48">
        <f>IFERROR(IF(B8="","",TEXT('Getting Started'!C10+(B8/D8),"MMM D, YYYY")),"")</f>
        <v/>
      </c>
      <c r="F8" s="39" t="n"/>
      <c r="G8" s="49">
        <f>'Course Content'!H36</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Content'!I36="","",'Course Content'!I36),"")</f>
        <v/>
      </c>
    </row>
    <row r="18" ht="8" customHeight="1"/>
    <row r="19" ht="24" customHeight="1">
      <c r="A19" s="44" t="inlineStr">
        <is>
          <t xml:space="preserve">  MATH</t>
        </is>
      </c>
      <c r="E19" s="45">
        <f>IFERROR(IF('Course Content'!E37="","← enter on Course Content tab",'Course Content'!E37),"")</f>
        <v/>
      </c>
    </row>
    <row r="20" ht="22" customHeight="1">
      <c r="B20" s="46">
        <f>'Course Content'!G37</f>
        <v/>
      </c>
      <c r="C20" s="47">
        <f>IFERROR(IF(B20="","",ROUND(B20/'Getting Started'!C15,1)),"")</f>
        <v/>
      </c>
      <c r="D20" s="47">
        <f>IFERROR(IF(C20="","",ROUND(C20/'Getting Started'!C7,1)),"")</f>
        <v/>
      </c>
      <c r="E20" s="48">
        <f>IFERROR(IF(B20="","",TEXT('Getting Started'!C10+(B20/D20),"MMM D, YYYY")),"")</f>
        <v/>
      </c>
      <c r="F20" s="39" t="n"/>
      <c r="G20" s="49">
        <f>'Course Content'!H37</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Content'!I37="","",'Course Content'!I37),"")</f>
        <v/>
      </c>
    </row>
    <row r="30" ht="8" customHeight="1"/>
    <row r="31" ht="24" customHeight="1">
      <c r="A31" s="44" t="inlineStr">
        <is>
          <t xml:space="preserve">  ENGLISH / LANGUAGE ARTS</t>
        </is>
      </c>
      <c r="E31" s="45">
        <f>IFERROR(IF('Course Content'!E38="","← enter on Course Content tab",'Course Content'!E38),"")</f>
        <v/>
      </c>
    </row>
    <row r="32" ht="22" customHeight="1">
      <c r="B32" s="46">
        <f>'Course Content'!G38</f>
        <v/>
      </c>
      <c r="C32" s="47">
        <f>IFERROR(IF(B32="","",ROUND(B32/'Getting Started'!C15,1)),"")</f>
        <v/>
      </c>
      <c r="D32" s="47">
        <f>IFERROR(IF(C32="","",ROUND(C32/'Getting Started'!C7,1)),"")</f>
        <v/>
      </c>
      <c r="E32" s="48">
        <f>IFERROR(IF(B32="","",TEXT('Getting Started'!C10+(B32/D32),"MMM D, YYYY")),"")</f>
        <v/>
      </c>
      <c r="F32" s="39" t="n"/>
      <c r="G32" s="49">
        <f>'Course Content'!H38</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Content'!I38="","",'Course Content'!I38),"")</f>
        <v/>
      </c>
    </row>
    <row r="42" ht="8" customHeight="1"/>
    <row r="43" ht="24" customHeight="1">
      <c r="A43" s="44" t="inlineStr">
        <is>
          <t xml:space="preserve">  READING</t>
        </is>
      </c>
      <c r="E43" s="45">
        <f>IFERROR(IF('Course Content'!E39="","← enter on Course Content tab",'Course Content'!E39),"")</f>
        <v/>
      </c>
    </row>
    <row r="44" ht="22" customHeight="1">
      <c r="B44" s="46">
        <f>'Course Content'!G39</f>
        <v/>
      </c>
      <c r="C44" s="47">
        <f>IFERROR(IF(B44="","",ROUND(B44/'Getting Started'!C15,1)),"")</f>
        <v/>
      </c>
      <c r="D44" s="47">
        <f>IFERROR(IF(C44="","",ROUND(C44/'Getting Started'!C7,1)),"")</f>
        <v/>
      </c>
      <c r="E44" s="48">
        <f>IFERROR(IF(B44="","",TEXT('Getting Started'!C10+(B44/D44),"MMM D, YYYY")),"")</f>
        <v/>
      </c>
      <c r="F44" s="39" t="n"/>
      <c r="G44" s="49">
        <f>'Course Content'!H39</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Content'!I39="","",'Course Content'!I39),"")</f>
        <v/>
      </c>
    </row>
    <row r="54" ht="8" customHeight="1"/>
    <row r="55" ht="24" customHeight="1">
      <c r="A55" s="44" t="inlineStr">
        <is>
          <t xml:space="preserve">  WRITING / COMPOSITION</t>
        </is>
      </c>
      <c r="E55" s="45">
        <f>IFERROR(IF('Course Content'!E40="","← enter on Course Content tab",'Course Content'!E40),"")</f>
        <v/>
      </c>
    </row>
    <row r="56" ht="22" customHeight="1">
      <c r="B56" s="46">
        <f>'Course Content'!G40</f>
        <v/>
      </c>
      <c r="C56" s="47">
        <f>IFERROR(IF(B56="","",ROUND(B56/'Getting Started'!C15,1)),"")</f>
        <v/>
      </c>
      <c r="D56" s="47">
        <f>IFERROR(IF(C56="","",ROUND(C56/'Getting Started'!C7,1)),"")</f>
        <v/>
      </c>
      <c r="E56" s="48">
        <f>IFERROR(IF(B56="","",TEXT('Getting Started'!C10+(B56/D56),"MMM D, YYYY")),"")</f>
        <v/>
      </c>
      <c r="F56" s="39" t="n"/>
      <c r="G56" s="49">
        <f>'Course Content'!H40</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Content'!I40="","",'Course Content'!I40),"")</f>
        <v/>
      </c>
    </row>
    <row r="66" ht="8" customHeight="1"/>
    <row r="67" ht="24" customHeight="1">
      <c r="A67" s="44" t="inlineStr">
        <is>
          <t xml:space="preserve">  SCIENCE</t>
        </is>
      </c>
      <c r="E67" s="45">
        <f>IFERROR(IF('Course Content'!E41="","← enter on Course Content tab",'Course Content'!E41),"")</f>
        <v/>
      </c>
    </row>
    <row r="68" ht="22" customHeight="1">
      <c r="B68" s="46">
        <f>'Course Content'!G41</f>
        <v/>
      </c>
      <c r="C68" s="47">
        <f>IFERROR(IF(B68="","",ROUND(B68/'Getting Started'!C15,1)),"")</f>
        <v/>
      </c>
      <c r="D68" s="47">
        <f>IFERROR(IF(C68="","",ROUND(C68/'Getting Started'!C7,1)),"")</f>
        <v/>
      </c>
      <c r="E68" s="48">
        <f>IFERROR(IF(B68="","",TEXT('Getting Started'!C10+(B68/D68),"MMM D, YYYY")),"")</f>
        <v/>
      </c>
      <c r="F68" s="39" t="n"/>
      <c r="G68" s="49">
        <f>'Course Content'!H41</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Content'!I41="","",'Course Content'!I41),"")</f>
        <v/>
      </c>
    </row>
    <row r="78" ht="8" customHeight="1"/>
    <row r="79" ht="24" customHeight="1">
      <c r="A79" s="44" t="inlineStr">
        <is>
          <t xml:space="preserve">  SOCIAL STUDIES / HISTORY</t>
        </is>
      </c>
      <c r="E79" s="45">
        <f>IFERROR(IF('Course Content'!E42="","← enter on Course Content tab",'Course Content'!E42),"")</f>
        <v/>
      </c>
    </row>
    <row r="80" ht="22" customHeight="1">
      <c r="B80" s="46">
        <f>'Course Content'!G42</f>
        <v/>
      </c>
      <c r="C80" s="47">
        <f>IFERROR(IF(B80="","",ROUND(B80/'Getting Started'!C15,1)),"")</f>
        <v/>
      </c>
      <c r="D80" s="47">
        <f>IFERROR(IF(C80="","",ROUND(C80/'Getting Started'!C7,1)),"")</f>
        <v/>
      </c>
      <c r="E80" s="48">
        <f>IFERROR(IF(B80="","",TEXT('Getting Started'!C10+(B80/D80),"MMM D, YYYY")),"")</f>
        <v/>
      </c>
      <c r="F80" s="39" t="n"/>
      <c r="G80" s="49">
        <f>'Course Content'!H42</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Content'!I42="","",'Course Content'!I42),"")</f>
        <v/>
      </c>
    </row>
    <row r="90" ht="8" customHeight="1"/>
    <row r="91" ht="24" customHeight="1">
      <c r="A91" s="44" t="inlineStr">
        <is>
          <t xml:space="preserve">  HEALTH</t>
        </is>
      </c>
      <c r="E91" s="45">
        <f>IFERROR(IF('Course Content'!E43="","← enter on Course Content tab",'Course Content'!E43),"")</f>
        <v/>
      </c>
    </row>
    <row r="92" ht="22" customHeight="1">
      <c r="B92" s="46">
        <f>'Course Content'!G43</f>
        <v/>
      </c>
      <c r="C92" s="47">
        <f>IFERROR(IF(B92="","",ROUND(B92/'Getting Started'!C15,1)),"")</f>
        <v/>
      </c>
      <c r="D92" s="47">
        <f>IFERROR(IF(C92="","",ROUND(C92/'Getting Started'!C7,1)),"")</f>
        <v/>
      </c>
      <c r="E92" s="48">
        <f>IFERROR(IF(B92="","",TEXT('Getting Started'!C10+(B92/D92),"MMM D, YYYY")),"")</f>
        <v/>
      </c>
      <c r="F92" s="39" t="n"/>
      <c r="G92" s="49">
        <f>'Course Content'!H43</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Content'!I43="","",'Course Content'!I43),"")</f>
        <v/>
      </c>
    </row>
    <row r="102" ht="8" customHeight="1"/>
    <row r="103" ht="24" customHeight="1">
      <c r="A103" s="44" t="inlineStr">
        <is>
          <t xml:space="preserve">  PHYSICAL EDUCATION</t>
        </is>
      </c>
      <c r="E103" s="45">
        <f>IFERROR(IF('Course Content'!E44="","← enter on Course Content tab",'Course Content'!E44),"")</f>
        <v/>
      </c>
    </row>
    <row r="104" ht="22" customHeight="1">
      <c r="B104" s="46">
        <f>'Course Content'!G44</f>
        <v/>
      </c>
      <c r="C104" s="47">
        <f>IFERROR(IF(B104="","",ROUND(B104/'Getting Started'!C15,1)),"")</f>
        <v/>
      </c>
      <c r="D104" s="47">
        <f>IFERROR(IF(C104="","",ROUND(C104/'Getting Started'!C7,1)),"")</f>
        <v/>
      </c>
      <c r="E104" s="48">
        <f>IFERROR(IF(B104="","",TEXT('Getting Started'!C10+(B104/D104),"MMM D, YYYY")),"")</f>
        <v/>
      </c>
      <c r="F104" s="39" t="n"/>
      <c r="G104" s="49">
        <f>'Course Content'!H44</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Content'!I44="","",'Course Content'!I44),"")</f>
        <v/>
      </c>
    </row>
    <row r="114" ht="8" customHeight="1"/>
    <row r="115" ht="24" customHeight="1">
      <c r="A115" s="44" t="inlineStr">
        <is>
          <t xml:space="preserve">  ART / MUSIC</t>
        </is>
      </c>
      <c r="E115" s="45">
        <f>IFERROR(IF('Course Content'!E45="","← enter on Course Content tab",'Course Content'!E45),"")</f>
        <v/>
      </c>
    </row>
    <row r="116" ht="22" customHeight="1">
      <c r="B116" s="46">
        <f>'Course Content'!G45</f>
        <v/>
      </c>
      <c r="C116" s="47">
        <f>IFERROR(IF(B116="","",ROUND(B116/'Getting Started'!C15,1)),"")</f>
        <v/>
      </c>
      <c r="D116" s="47">
        <f>IFERROR(IF(C116="","",ROUND(C116/'Getting Started'!C7,1)),"")</f>
        <v/>
      </c>
      <c r="E116" s="48">
        <f>IFERROR(IF(B116="","",TEXT('Getting Started'!C10+(B116/D116),"MMM D, YYYY")),"")</f>
        <v/>
      </c>
      <c r="F116" s="39" t="n"/>
      <c r="G116" s="49">
        <f>'Course Content'!H45</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Content'!I45="","",'Course Content'!I45),"")</f>
        <v/>
      </c>
    </row>
    <row r="126" ht="8" customHeight="1"/>
    <row r="127" ht="24" customHeight="1">
      <c r="A127" s="44">
        <f>IF('Course Content'!D46="","  ELECTIVE / OTHER 1","  "&amp;UPPER('Course Content'!D46))</f>
        <v/>
      </c>
      <c r="E127" s="45">
        <f>IFERROR(IF('Course Content'!E46="","← enter on Course Content tab",'Course Content'!E46),"")</f>
        <v/>
      </c>
    </row>
    <row r="128" ht="22" customHeight="1">
      <c r="B128" s="46">
        <f>'Course Content'!G46</f>
        <v/>
      </c>
      <c r="C128" s="47">
        <f>IFERROR(IF(B128="","",ROUND(B128/'Getting Started'!C15,1)),"")</f>
        <v/>
      </c>
      <c r="D128" s="47">
        <f>IFERROR(IF(C128="","",ROUND(C128/'Getting Started'!C7,1)),"")</f>
        <v/>
      </c>
      <c r="E128" s="48">
        <f>IFERROR(IF(B128="","",TEXT('Getting Started'!C10+(B128/D128),"MMM D, YYYY")),"")</f>
        <v/>
      </c>
      <c r="F128" s="39" t="n"/>
      <c r="G128" s="49">
        <f>'Course Content'!H46</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Content'!I46="","",'Course Content'!I46),"")</f>
        <v/>
      </c>
    </row>
    <row r="138" ht="8" customHeight="1"/>
    <row r="139" ht="24" customHeight="1">
      <c r="A139" s="44">
        <f>IF('Course Content'!D47="","  ELECTIVE / OTHER 2","  "&amp;UPPER('Course Content'!D47))</f>
        <v/>
      </c>
      <c r="E139" s="45">
        <f>IFERROR(IF('Course Content'!E47="","← enter on Course Content tab",'Course Content'!E47),"")</f>
        <v/>
      </c>
    </row>
    <row r="140" ht="22" customHeight="1">
      <c r="B140" s="46">
        <f>'Course Content'!G47</f>
        <v/>
      </c>
      <c r="C140" s="47">
        <f>IFERROR(IF(B140="","",ROUND(B140/'Getting Started'!C15,1)),"")</f>
        <v/>
      </c>
      <c r="D140" s="47">
        <f>IFERROR(IF(C140="","",ROUND(C140/'Getting Started'!C7,1)),"")</f>
        <v/>
      </c>
      <c r="E140" s="48">
        <f>IFERROR(IF(B140="","",TEXT('Getting Started'!C10+(B140/D140),"MMM D, YYYY")),"")</f>
        <v/>
      </c>
      <c r="F140" s="39" t="n"/>
      <c r="G140" s="49">
        <f>'Course Content'!H47</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Content'!I47="","",'Course Content'!I47),"")</f>
        <v/>
      </c>
    </row>
    <row r="150" ht="8" customHeight="1"/>
    <row r="151" ht="24" customHeight="1">
      <c r="A151" s="44">
        <f>IF('Course Content'!D48="","  ELECTIVE / OTHER 3","  "&amp;UPPER('Course Content'!D48))</f>
        <v/>
      </c>
      <c r="E151" s="45">
        <f>IFERROR(IF('Course Content'!E48="","← enter on Course Content tab",'Course Content'!E48),"")</f>
        <v/>
      </c>
    </row>
    <row r="152" ht="22" customHeight="1">
      <c r="B152" s="46">
        <f>'Course Content'!G48</f>
        <v/>
      </c>
      <c r="C152" s="47">
        <f>IFERROR(IF(B152="","",ROUND(B152/'Getting Started'!C15,1)),"")</f>
        <v/>
      </c>
      <c r="D152" s="47">
        <f>IFERROR(IF(C152="","",ROUND(C152/'Getting Started'!C7,1)),"")</f>
        <v/>
      </c>
      <c r="E152" s="48">
        <f>IFERROR(IF(B152="","",TEXT('Getting Started'!C10+(B152/D152),"MMM D, YYYY")),"")</f>
        <v/>
      </c>
      <c r="F152" s="39" t="n"/>
      <c r="G152" s="49">
        <f>'Course Content'!H48</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Content'!I48="","",'Course Content'!I48),"")</f>
        <v/>
      </c>
    </row>
    <row r="162" ht="8" customHeight="1"/>
    <row r="163" ht="24" customHeight="1">
      <c r="A163" s="44">
        <f>IF('Course Content'!D49="","  ELECTIVE / OTHER 4","  "&amp;UPPER('Course Content'!D49))</f>
        <v/>
      </c>
      <c r="E163" s="45">
        <f>IFERROR(IF('Course Content'!E49="","← enter on Course Content tab",'Course Content'!E49),"")</f>
        <v/>
      </c>
    </row>
    <row r="164" ht="22" customHeight="1">
      <c r="B164" s="46">
        <f>'Course Content'!G49</f>
        <v/>
      </c>
      <c r="C164" s="47">
        <f>IFERROR(IF(B164="","",ROUND(B164/'Getting Started'!C15,1)),"")</f>
        <v/>
      </c>
      <c r="D164" s="47">
        <f>IFERROR(IF(C164="","",ROUND(C164/'Getting Started'!C7,1)),"")</f>
        <v/>
      </c>
      <c r="E164" s="48">
        <f>IFERROR(IF(B164="","",TEXT('Getting Started'!C10+(B164/D164),"MMM D, YYYY")),"")</f>
        <v/>
      </c>
      <c r="F164" s="39" t="n"/>
      <c r="G164" s="49">
        <f>'Course Content'!H49</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Content'!I49="","",'Course Content'!I49),"")</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6.xml><?xml version="1.0" encoding="utf-8"?>
<worksheet xmlns="http://schemas.openxmlformats.org/spreadsheetml/2006/main">
  <sheetPr>
    <tabColor rgb="006B8A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Started'!B32="","Student 4",'Getting Started'!B32)</f>
        <v/>
      </c>
    </row>
    <row r="2" ht="22" customHeight="1">
      <c r="A2" s="37">
        <f>IFERROR("Grade: "&amp;'Getting Started'!F32&amp;"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Content'!E50="","← enter on Course Content tab",'Course Content'!E50),"")</f>
        <v/>
      </c>
    </row>
    <row r="8" ht="22" customHeight="1">
      <c r="B8" s="46">
        <f>'Course Content'!G50</f>
        <v/>
      </c>
      <c r="C8" s="47">
        <f>IFERROR(IF(B8="","",ROUND(B8/'Getting Started'!C15,1)),"")</f>
        <v/>
      </c>
      <c r="D8" s="47">
        <f>IFERROR(IF(C8="","",ROUND(C8/'Getting Started'!C7,1)),"")</f>
        <v/>
      </c>
      <c r="E8" s="48">
        <f>IFERROR(IF(B8="","",TEXT('Getting Started'!C10+(B8/D8),"MMM D, YYYY")),"")</f>
        <v/>
      </c>
      <c r="F8" s="39" t="n"/>
      <c r="G8" s="49">
        <f>'Course Content'!H50</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Content'!I50="","",'Course Content'!I50),"")</f>
        <v/>
      </c>
    </row>
    <row r="18" ht="8" customHeight="1"/>
    <row r="19" ht="24" customHeight="1">
      <c r="A19" s="44" t="inlineStr">
        <is>
          <t xml:space="preserve">  MATH</t>
        </is>
      </c>
      <c r="E19" s="45">
        <f>IFERROR(IF('Course Content'!E51="","← enter on Course Content tab",'Course Content'!E51),"")</f>
        <v/>
      </c>
    </row>
    <row r="20" ht="22" customHeight="1">
      <c r="B20" s="46">
        <f>'Course Content'!G51</f>
        <v/>
      </c>
      <c r="C20" s="47">
        <f>IFERROR(IF(B20="","",ROUND(B20/'Getting Started'!C15,1)),"")</f>
        <v/>
      </c>
      <c r="D20" s="47">
        <f>IFERROR(IF(C20="","",ROUND(C20/'Getting Started'!C7,1)),"")</f>
        <v/>
      </c>
      <c r="E20" s="48">
        <f>IFERROR(IF(B20="","",TEXT('Getting Started'!C10+(B20/D20),"MMM D, YYYY")),"")</f>
        <v/>
      </c>
      <c r="F20" s="39" t="n"/>
      <c r="G20" s="49">
        <f>'Course Content'!H51</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Content'!I51="","",'Course Content'!I51),"")</f>
        <v/>
      </c>
    </row>
    <row r="30" ht="8" customHeight="1"/>
    <row r="31" ht="24" customHeight="1">
      <c r="A31" s="44" t="inlineStr">
        <is>
          <t xml:space="preserve">  ENGLISH / LANGUAGE ARTS</t>
        </is>
      </c>
      <c r="E31" s="45">
        <f>IFERROR(IF('Course Content'!E52="","← enter on Course Content tab",'Course Content'!E52),"")</f>
        <v/>
      </c>
    </row>
    <row r="32" ht="22" customHeight="1">
      <c r="B32" s="46">
        <f>'Course Content'!G52</f>
        <v/>
      </c>
      <c r="C32" s="47">
        <f>IFERROR(IF(B32="","",ROUND(B32/'Getting Started'!C15,1)),"")</f>
        <v/>
      </c>
      <c r="D32" s="47">
        <f>IFERROR(IF(C32="","",ROUND(C32/'Getting Started'!C7,1)),"")</f>
        <v/>
      </c>
      <c r="E32" s="48">
        <f>IFERROR(IF(B32="","",TEXT('Getting Started'!C10+(B32/D32),"MMM D, YYYY")),"")</f>
        <v/>
      </c>
      <c r="F32" s="39" t="n"/>
      <c r="G32" s="49">
        <f>'Course Content'!H52</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Content'!I52="","",'Course Content'!I52),"")</f>
        <v/>
      </c>
    </row>
    <row r="42" ht="8" customHeight="1"/>
    <row r="43" ht="24" customHeight="1">
      <c r="A43" s="44" t="inlineStr">
        <is>
          <t xml:space="preserve">  READING</t>
        </is>
      </c>
      <c r="E43" s="45">
        <f>IFERROR(IF('Course Content'!E53="","← enter on Course Content tab",'Course Content'!E53),"")</f>
        <v/>
      </c>
    </row>
    <row r="44" ht="22" customHeight="1">
      <c r="B44" s="46">
        <f>'Course Content'!G53</f>
        <v/>
      </c>
      <c r="C44" s="47">
        <f>IFERROR(IF(B44="","",ROUND(B44/'Getting Started'!C15,1)),"")</f>
        <v/>
      </c>
      <c r="D44" s="47">
        <f>IFERROR(IF(C44="","",ROUND(C44/'Getting Started'!C7,1)),"")</f>
        <v/>
      </c>
      <c r="E44" s="48">
        <f>IFERROR(IF(B44="","",TEXT('Getting Started'!C10+(B44/D44),"MMM D, YYYY")),"")</f>
        <v/>
      </c>
      <c r="F44" s="39" t="n"/>
      <c r="G44" s="49">
        <f>'Course Content'!H53</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Content'!I53="","",'Course Content'!I53),"")</f>
        <v/>
      </c>
    </row>
    <row r="54" ht="8" customHeight="1"/>
    <row r="55" ht="24" customHeight="1">
      <c r="A55" s="44" t="inlineStr">
        <is>
          <t xml:space="preserve">  WRITING / COMPOSITION</t>
        </is>
      </c>
      <c r="E55" s="45">
        <f>IFERROR(IF('Course Content'!E54="","← enter on Course Content tab",'Course Content'!E54),"")</f>
        <v/>
      </c>
    </row>
    <row r="56" ht="22" customHeight="1">
      <c r="B56" s="46">
        <f>'Course Content'!G54</f>
        <v/>
      </c>
      <c r="C56" s="47">
        <f>IFERROR(IF(B56="","",ROUND(B56/'Getting Started'!C15,1)),"")</f>
        <v/>
      </c>
      <c r="D56" s="47">
        <f>IFERROR(IF(C56="","",ROUND(C56/'Getting Started'!C7,1)),"")</f>
        <v/>
      </c>
      <c r="E56" s="48">
        <f>IFERROR(IF(B56="","",TEXT('Getting Started'!C10+(B56/D56),"MMM D, YYYY")),"")</f>
        <v/>
      </c>
      <c r="F56" s="39" t="n"/>
      <c r="G56" s="49">
        <f>'Course Content'!H54</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Content'!I54="","",'Course Content'!I54),"")</f>
        <v/>
      </c>
    </row>
    <row r="66" ht="8" customHeight="1"/>
    <row r="67" ht="24" customHeight="1">
      <c r="A67" s="44" t="inlineStr">
        <is>
          <t xml:space="preserve">  SCIENCE</t>
        </is>
      </c>
      <c r="E67" s="45">
        <f>IFERROR(IF('Course Content'!E55="","← enter on Course Content tab",'Course Content'!E55),"")</f>
        <v/>
      </c>
    </row>
    <row r="68" ht="22" customHeight="1">
      <c r="B68" s="46">
        <f>'Course Content'!G55</f>
        <v/>
      </c>
      <c r="C68" s="47">
        <f>IFERROR(IF(B68="","",ROUND(B68/'Getting Started'!C15,1)),"")</f>
        <v/>
      </c>
      <c r="D68" s="47">
        <f>IFERROR(IF(C68="","",ROUND(C68/'Getting Started'!C7,1)),"")</f>
        <v/>
      </c>
      <c r="E68" s="48">
        <f>IFERROR(IF(B68="","",TEXT('Getting Started'!C10+(B68/D68),"MMM D, YYYY")),"")</f>
        <v/>
      </c>
      <c r="F68" s="39" t="n"/>
      <c r="G68" s="49">
        <f>'Course Content'!H55</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Content'!I55="","",'Course Content'!I55),"")</f>
        <v/>
      </c>
    </row>
    <row r="78" ht="8" customHeight="1"/>
    <row r="79" ht="24" customHeight="1">
      <c r="A79" s="44" t="inlineStr">
        <is>
          <t xml:space="preserve">  SOCIAL STUDIES / HISTORY</t>
        </is>
      </c>
      <c r="E79" s="45">
        <f>IFERROR(IF('Course Content'!E56="","← enter on Course Content tab",'Course Content'!E56),"")</f>
        <v/>
      </c>
    </row>
    <row r="80" ht="22" customHeight="1">
      <c r="B80" s="46">
        <f>'Course Content'!G56</f>
        <v/>
      </c>
      <c r="C80" s="47">
        <f>IFERROR(IF(B80="","",ROUND(B80/'Getting Started'!C15,1)),"")</f>
        <v/>
      </c>
      <c r="D80" s="47">
        <f>IFERROR(IF(C80="","",ROUND(C80/'Getting Started'!C7,1)),"")</f>
        <v/>
      </c>
      <c r="E80" s="48">
        <f>IFERROR(IF(B80="","",TEXT('Getting Started'!C10+(B80/D80),"MMM D, YYYY")),"")</f>
        <v/>
      </c>
      <c r="F80" s="39" t="n"/>
      <c r="G80" s="49">
        <f>'Course Content'!H56</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Content'!I56="","",'Course Content'!I56),"")</f>
        <v/>
      </c>
    </row>
    <row r="90" ht="8" customHeight="1"/>
    <row r="91" ht="24" customHeight="1">
      <c r="A91" s="44" t="inlineStr">
        <is>
          <t xml:space="preserve">  HEALTH</t>
        </is>
      </c>
      <c r="E91" s="45">
        <f>IFERROR(IF('Course Content'!E57="","← enter on Course Content tab",'Course Content'!E57),"")</f>
        <v/>
      </c>
    </row>
    <row r="92" ht="22" customHeight="1">
      <c r="B92" s="46">
        <f>'Course Content'!G57</f>
        <v/>
      </c>
      <c r="C92" s="47">
        <f>IFERROR(IF(B92="","",ROUND(B92/'Getting Started'!C15,1)),"")</f>
        <v/>
      </c>
      <c r="D92" s="47">
        <f>IFERROR(IF(C92="","",ROUND(C92/'Getting Started'!C7,1)),"")</f>
        <v/>
      </c>
      <c r="E92" s="48">
        <f>IFERROR(IF(B92="","",TEXT('Getting Started'!C10+(B92/D92),"MMM D, YYYY")),"")</f>
        <v/>
      </c>
      <c r="F92" s="39" t="n"/>
      <c r="G92" s="49">
        <f>'Course Content'!H57</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Content'!I57="","",'Course Content'!I57),"")</f>
        <v/>
      </c>
    </row>
    <row r="102" ht="8" customHeight="1"/>
    <row r="103" ht="24" customHeight="1">
      <c r="A103" s="44" t="inlineStr">
        <is>
          <t xml:space="preserve">  PHYSICAL EDUCATION</t>
        </is>
      </c>
      <c r="E103" s="45">
        <f>IFERROR(IF('Course Content'!E58="","← enter on Course Content tab",'Course Content'!E58),"")</f>
        <v/>
      </c>
    </row>
    <row r="104" ht="22" customHeight="1">
      <c r="B104" s="46">
        <f>'Course Content'!G58</f>
        <v/>
      </c>
      <c r="C104" s="47">
        <f>IFERROR(IF(B104="","",ROUND(B104/'Getting Started'!C15,1)),"")</f>
        <v/>
      </c>
      <c r="D104" s="47">
        <f>IFERROR(IF(C104="","",ROUND(C104/'Getting Started'!C7,1)),"")</f>
        <v/>
      </c>
      <c r="E104" s="48">
        <f>IFERROR(IF(B104="","",TEXT('Getting Started'!C10+(B104/D104),"MMM D, YYYY")),"")</f>
        <v/>
      </c>
      <c r="F104" s="39" t="n"/>
      <c r="G104" s="49">
        <f>'Course Content'!H58</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Content'!I58="","",'Course Content'!I58),"")</f>
        <v/>
      </c>
    </row>
    <row r="114" ht="8" customHeight="1"/>
    <row r="115" ht="24" customHeight="1">
      <c r="A115" s="44" t="inlineStr">
        <is>
          <t xml:space="preserve">  ART / MUSIC</t>
        </is>
      </c>
      <c r="E115" s="45">
        <f>IFERROR(IF('Course Content'!E59="","← enter on Course Content tab",'Course Content'!E59),"")</f>
        <v/>
      </c>
    </row>
    <row r="116" ht="22" customHeight="1">
      <c r="B116" s="46">
        <f>'Course Content'!G59</f>
        <v/>
      </c>
      <c r="C116" s="47">
        <f>IFERROR(IF(B116="","",ROUND(B116/'Getting Started'!C15,1)),"")</f>
        <v/>
      </c>
      <c r="D116" s="47">
        <f>IFERROR(IF(C116="","",ROUND(C116/'Getting Started'!C7,1)),"")</f>
        <v/>
      </c>
      <c r="E116" s="48">
        <f>IFERROR(IF(B116="","",TEXT('Getting Started'!C10+(B116/D116),"MMM D, YYYY")),"")</f>
        <v/>
      </c>
      <c r="F116" s="39" t="n"/>
      <c r="G116" s="49">
        <f>'Course Content'!H59</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Content'!I59="","",'Course Content'!I59),"")</f>
        <v/>
      </c>
    </row>
    <row r="126" ht="8" customHeight="1"/>
    <row r="127" ht="24" customHeight="1">
      <c r="A127" s="44">
        <f>IF('Course Content'!D60="","  ELECTIVE / OTHER 1","  "&amp;UPPER('Course Content'!D60))</f>
        <v/>
      </c>
      <c r="E127" s="45">
        <f>IFERROR(IF('Course Content'!E60="","← enter on Course Content tab",'Course Content'!E60),"")</f>
        <v/>
      </c>
    </row>
    <row r="128" ht="22" customHeight="1">
      <c r="B128" s="46">
        <f>'Course Content'!G60</f>
        <v/>
      </c>
      <c r="C128" s="47">
        <f>IFERROR(IF(B128="","",ROUND(B128/'Getting Started'!C15,1)),"")</f>
        <v/>
      </c>
      <c r="D128" s="47">
        <f>IFERROR(IF(C128="","",ROUND(C128/'Getting Started'!C7,1)),"")</f>
        <v/>
      </c>
      <c r="E128" s="48">
        <f>IFERROR(IF(B128="","",TEXT('Getting Started'!C10+(B128/D128),"MMM D, YYYY")),"")</f>
        <v/>
      </c>
      <c r="F128" s="39" t="n"/>
      <c r="G128" s="49">
        <f>'Course Content'!H60</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Content'!I60="","",'Course Content'!I60),"")</f>
        <v/>
      </c>
    </row>
    <row r="138" ht="8" customHeight="1"/>
    <row r="139" ht="24" customHeight="1">
      <c r="A139" s="44">
        <f>IF('Course Content'!D61="","  ELECTIVE / OTHER 2","  "&amp;UPPER('Course Content'!D61))</f>
        <v/>
      </c>
      <c r="E139" s="45">
        <f>IFERROR(IF('Course Content'!E61="","← enter on Course Content tab",'Course Content'!E61),"")</f>
        <v/>
      </c>
    </row>
    <row r="140" ht="22" customHeight="1">
      <c r="B140" s="46">
        <f>'Course Content'!G61</f>
        <v/>
      </c>
      <c r="C140" s="47">
        <f>IFERROR(IF(B140="","",ROUND(B140/'Getting Started'!C15,1)),"")</f>
        <v/>
      </c>
      <c r="D140" s="47">
        <f>IFERROR(IF(C140="","",ROUND(C140/'Getting Started'!C7,1)),"")</f>
        <v/>
      </c>
      <c r="E140" s="48">
        <f>IFERROR(IF(B140="","",TEXT('Getting Started'!C10+(B140/D140),"MMM D, YYYY")),"")</f>
        <v/>
      </c>
      <c r="F140" s="39" t="n"/>
      <c r="G140" s="49">
        <f>'Course Content'!H61</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Content'!I61="","",'Course Content'!I61),"")</f>
        <v/>
      </c>
    </row>
    <row r="150" ht="8" customHeight="1"/>
    <row r="151" ht="24" customHeight="1">
      <c r="A151" s="44">
        <f>IF('Course Content'!D62="","  ELECTIVE / OTHER 3","  "&amp;UPPER('Course Content'!D62))</f>
        <v/>
      </c>
      <c r="E151" s="45">
        <f>IFERROR(IF('Course Content'!E62="","← enter on Course Content tab",'Course Content'!E62),"")</f>
        <v/>
      </c>
    </row>
    <row r="152" ht="22" customHeight="1">
      <c r="B152" s="46">
        <f>'Course Content'!G62</f>
        <v/>
      </c>
      <c r="C152" s="47">
        <f>IFERROR(IF(B152="","",ROUND(B152/'Getting Started'!C15,1)),"")</f>
        <v/>
      </c>
      <c r="D152" s="47">
        <f>IFERROR(IF(C152="","",ROUND(C152/'Getting Started'!C7,1)),"")</f>
        <v/>
      </c>
      <c r="E152" s="48">
        <f>IFERROR(IF(B152="","",TEXT('Getting Started'!C10+(B152/D152),"MMM D, YYYY")),"")</f>
        <v/>
      </c>
      <c r="F152" s="39" t="n"/>
      <c r="G152" s="49">
        <f>'Course Content'!H62</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Content'!I62="","",'Course Content'!I62),"")</f>
        <v/>
      </c>
    </row>
    <row r="162" ht="8" customHeight="1"/>
    <row r="163" ht="24" customHeight="1">
      <c r="A163" s="44">
        <f>IF('Course Content'!D63="","  ELECTIVE / OTHER 4","  "&amp;UPPER('Course Content'!D63))</f>
        <v/>
      </c>
      <c r="E163" s="45">
        <f>IFERROR(IF('Course Content'!E63="","← enter on Course Content tab",'Course Content'!E63),"")</f>
        <v/>
      </c>
    </row>
    <row r="164" ht="22" customHeight="1">
      <c r="B164" s="46">
        <f>'Course Content'!G63</f>
        <v/>
      </c>
      <c r="C164" s="47">
        <f>IFERROR(IF(B164="","",ROUND(B164/'Getting Started'!C15,1)),"")</f>
        <v/>
      </c>
      <c r="D164" s="47">
        <f>IFERROR(IF(C164="","",ROUND(C164/'Getting Started'!C7,1)),"")</f>
        <v/>
      </c>
      <c r="E164" s="48">
        <f>IFERROR(IF(B164="","",TEXT('Getting Started'!C10+(B164/D164),"MMM D, YYYY")),"")</f>
        <v/>
      </c>
      <c r="F164" s="39" t="n"/>
      <c r="G164" s="49">
        <f>'Course Content'!H63</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Content'!I63="","",'Course Content'!I63),"")</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7.xml><?xml version="1.0" encoding="utf-8"?>
<worksheet xmlns="http://schemas.openxmlformats.org/spreadsheetml/2006/main">
  <sheetPr>
    <tabColor rgb="005C8A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Started'!B33="","Student 5",'Getting Started'!B33)</f>
        <v/>
      </c>
    </row>
    <row r="2" ht="22" customHeight="1">
      <c r="A2" s="37">
        <f>IFERROR("Grade: "&amp;'Getting Started'!F33&amp;"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Content'!E64="","← enter on Course Content tab",'Course Content'!E64),"")</f>
        <v/>
      </c>
    </row>
    <row r="8" ht="22" customHeight="1">
      <c r="B8" s="46">
        <f>'Course Content'!G64</f>
        <v/>
      </c>
      <c r="C8" s="47">
        <f>IFERROR(IF(B8="","",ROUND(B8/'Getting Started'!C15,1)),"")</f>
        <v/>
      </c>
      <c r="D8" s="47">
        <f>IFERROR(IF(C8="","",ROUND(C8/'Getting Started'!C7,1)),"")</f>
        <v/>
      </c>
      <c r="E8" s="48">
        <f>IFERROR(IF(B8="","",TEXT('Getting Started'!C10+(B8/D8),"MMM D, YYYY")),"")</f>
        <v/>
      </c>
      <c r="F8" s="39" t="n"/>
      <c r="G8" s="49">
        <f>'Course Content'!H64</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Content'!I64="","",'Course Content'!I64),"")</f>
        <v/>
      </c>
    </row>
    <row r="18" ht="8" customHeight="1"/>
    <row r="19" ht="24" customHeight="1">
      <c r="A19" s="44" t="inlineStr">
        <is>
          <t xml:space="preserve">  MATH</t>
        </is>
      </c>
      <c r="E19" s="45">
        <f>IFERROR(IF('Course Content'!E65="","← enter on Course Content tab",'Course Content'!E65),"")</f>
        <v/>
      </c>
    </row>
    <row r="20" ht="22" customHeight="1">
      <c r="B20" s="46">
        <f>'Course Content'!G65</f>
        <v/>
      </c>
      <c r="C20" s="47">
        <f>IFERROR(IF(B20="","",ROUND(B20/'Getting Started'!C15,1)),"")</f>
        <v/>
      </c>
      <c r="D20" s="47">
        <f>IFERROR(IF(C20="","",ROUND(C20/'Getting Started'!C7,1)),"")</f>
        <v/>
      </c>
      <c r="E20" s="48">
        <f>IFERROR(IF(B20="","",TEXT('Getting Started'!C10+(B20/D20),"MMM D, YYYY")),"")</f>
        <v/>
      </c>
      <c r="F20" s="39" t="n"/>
      <c r="G20" s="49">
        <f>'Course Content'!H65</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Content'!I65="","",'Course Content'!I65),"")</f>
        <v/>
      </c>
    </row>
    <row r="30" ht="8" customHeight="1"/>
    <row r="31" ht="24" customHeight="1">
      <c r="A31" s="44" t="inlineStr">
        <is>
          <t xml:space="preserve">  ENGLISH / LANGUAGE ARTS</t>
        </is>
      </c>
      <c r="E31" s="45">
        <f>IFERROR(IF('Course Content'!E66="","← enter on Course Content tab",'Course Content'!E66),"")</f>
        <v/>
      </c>
    </row>
    <row r="32" ht="22" customHeight="1">
      <c r="B32" s="46">
        <f>'Course Content'!G66</f>
        <v/>
      </c>
      <c r="C32" s="47">
        <f>IFERROR(IF(B32="","",ROUND(B32/'Getting Started'!C15,1)),"")</f>
        <v/>
      </c>
      <c r="D32" s="47">
        <f>IFERROR(IF(C32="","",ROUND(C32/'Getting Started'!C7,1)),"")</f>
        <v/>
      </c>
      <c r="E32" s="48">
        <f>IFERROR(IF(B32="","",TEXT('Getting Started'!C10+(B32/D32),"MMM D, YYYY")),"")</f>
        <v/>
      </c>
      <c r="F32" s="39" t="n"/>
      <c r="G32" s="49">
        <f>'Course Content'!H66</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Content'!I66="","",'Course Content'!I66),"")</f>
        <v/>
      </c>
    </row>
    <row r="42" ht="8" customHeight="1"/>
    <row r="43" ht="24" customHeight="1">
      <c r="A43" s="44" t="inlineStr">
        <is>
          <t xml:space="preserve">  READING</t>
        </is>
      </c>
      <c r="E43" s="45">
        <f>IFERROR(IF('Course Content'!E67="","← enter on Course Content tab",'Course Content'!E67),"")</f>
        <v/>
      </c>
    </row>
    <row r="44" ht="22" customHeight="1">
      <c r="B44" s="46">
        <f>'Course Content'!G67</f>
        <v/>
      </c>
      <c r="C44" s="47">
        <f>IFERROR(IF(B44="","",ROUND(B44/'Getting Started'!C15,1)),"")</f>
        <v/>
      </c>
      <c r="D44" s="47">
        <f>IFERROR(IF(C44="","",ROUND(C44/'Getting Started'!C7,1)),"")</f>
        <v/>
      </c>
      <c r="E44" s="48">
        <f>IFERROR(IF(B44="","",TEXT('Getting Started'!C10+(B44/D44),"MMM D, YYYY")),"")</f>
        <v/>
      </c>
      <c r="F44" s="39" t="n"/>
      <c r="G44" s="49">
        <f>'Course Content'!H67</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Content'!I67="","",'Course Content'!I67),"")</f>
        <v/>
      </c>
    </row>
    <row r="54" ht="8" customHeight="1"/>
    <row r="55" ht="24" customHeight="1">
      <c r="A55" s="44" t="inlineStr">
        <is>
          <t xml:space="preserve">  WRITING / COMPOSITION</t>
        </is>
      </c>
      <c r="E55" s="45">
        <f>IFERROR(IF('Course Content'!E68="","← enter on Course Content tab",'Course Content'!E68),"")</f>
        <v/>
      </c>
    </row>
    <row r="56" ht="22" customHeight="1">
      <c r="B56" s="46">
        <f>'Course Content'!G68</f>
        <v/>
      </c>
      <c r="C56" s="47">
        <f>IFERROR(IF(B56="","",ROUND(B56/'Getting Started'!C15,1)),"")</f>
        <v/>
      </c>
      <c r="D56" s="47">
        <f>IFERROR(IF(C56="","",ROUND(C56/'Getting Started'!C7,1)),"")</f>
        <v/>
      </c>
      <c r="E56" s="48">
        <f>IFERROR(IF(B56="","",TEXT('Getting Started'!C10+(B56/D56),"MMM D, YYYY")),"")</f>
        <v/>
      </c>
      <c r="F56" s="39" t="n"/>
      <c r="G56" s="49">
        <f>'Course Content'!H68</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Content'!I68="","",'Course Content'!I68),"")</f>
        <v/>
      </c>
    </row>
    <row r="66" ht="8" customHeight="1"/>
    <row r="67" ht="24" customHeight="1">
      <c r="A67" s="44" t="inlineStr">
        <is>
          <t xml:space="preserve">  SCIENCE</t>
        </is>
      </c>
      <c r="E67" s="45">
        <f>IFERROR(IF('Course Content'!E69="","← enter on Course Content tab",'Course Content'!E69),"")</f>
        <v/>
      </c>
    </row>
    <row r="68" ht="22" customHeight="1">
      <c r="B68" s="46">
        <f>'Course Content'!G69</f>
        <v/>
      </c>
      <c r="C68" s="47">
        <f>IFERROR(IF(B68="","",ROUND(B68/'Getting Started'!C15,1)),"")</f>
        <v/>
      </c>
      <c r="D68" s="47">
        <f>IFERROR(IF(C68="","",ROUND(C68/'Getting Started'!C7,1)),"")</f>
        <v/>
      </c>
      <c r="E68" s="48">
        <f>IFERROR(IF(B68="","",TEXT('Getting Started'!C10+(B68/D68),"MMM D, YYYY")),"")</f>
        <v/>
      </c>
      <c r="F68" s="39" t="n"/>
      <c r="G68" s="49">
        <f>'Course Content'!H69</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Content'!I69="","",'Course Content'!I69),"")</f>
        <v/>
      </c>
    </row>
    <row r="78" ht="8" customHeight="1"/>
    <row r="79" ht="24" customHeight="1">
      <c r="A79" s="44" t="inlineStr">
        <is>
          <t xml:space="preserve">  SOCIAL STUDIES / HISTORY</t>
        </is>
      </c>
      <c r="E79" s="45">
        <f>IFERROR(IF('Course Content'!E70="","← enter on Course Content tab",'Course Content'!E70),"")</f>
        <v/>
      </c>
    </row>
    <row r="80" ht="22" customHeight="1">
      <c r="B80" s="46">
        <f>'Course Content'!G70</f>
        <v/>
      </c>
      <c r="C80" s="47">
        <f>IFERROR(IF(B80="","",ROUND(B80/'Getting Started'!C15,1)),"")</f>
        <v/>
      </c>
      <c r="D80" s="47">
        <f>IFERROR(IF(C80="","",ROUND(C80/'Getting Started'!C7,1)),"")</f>
        <v/>
      </c>
      <c r="E80" s="48">
        <f>IFERROR(IF(B80="","",TEXT('Getting Started'!C10+(B80/D80),"MMM D, YYYY")),"")</f>
        <v/>
      </c>
      <c r="F80" s="39" t="n"/>
      <c r="G80" s="49">
        <f>'Course Content'!H70</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Content'!I70="","",'Course Content'!I70),"")</f>
        <v/>
      </c>
    </row>
    <row r="90" ht="8" customHeight="1"/>
    <row r="91" ht="24" customHeight="1">
      <c r="A91" s="44" t="inlineStr">
        <is>
          <t xml:space="preserve">  HEALTH</t>
        </is>
      </c>
      <c r="E91" s="45">
        <f>IFERROR(IF('Course Content'!E71="","← enter on Course Content tab",'Course Content'!E71),"")</f>
        <v/>
      </c>
    </row>
    <row r="92" ht="22" customHeight="1">
      <c r="B92" s="46">
        <f>'Course Content'!G71</f>
        <v/>
      </c>
      <c r="C92" s="47">
        <f>IFERROR(IF(B92="","",ROUND(B92/'Getting Started'!C15,1)),"")</f>
        <v/>
      </c>
      <c r="D92" s="47">
        <f>IFERROR(IF(C92="","",ROUND(C92/'Getting Started'!C7,1)),"")</f>
        <v/>
      </c>
      <c r="E92" s="48">
        <f>IFERROR(IF(B92="","",TEXT('Getting Started'!C10+(B92/D92),"MMM D, YYYY")),"")</f>
        <v/>
      </c>
      <c r="F92" s="39" t="n"/>
      <c r="G92" s="49">
        <f>'Course Content'!H71</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Content'!I71="","",'Course Content'!I71),"")</f>
        <v/>
      </c>
    </row>
    <row r="102" ht="8" customHeight="1"/>
    <row r="103" ht="24" customHeight="1">
      <c r="A103" s="44" t="inlineStr">
        <is>
          <t xml:space="preserve">  PHYSICAL EDUCATION</t>
        </is>
      </c>
      <c r="E103" s="45">
        <f>IFERROR(IF('Course Content'!E72="","← enter on Course Content tab",'Course Content'!E72),"")</f>
        <v/>
      </c>
    </row>
    <row r="104" ht="22" customHeight="1">
      <c r="B104" s="46">
        <f>'Course Content'!G72</f>
        <v/>
      </c>
      <c r="C104" s="47">
        <f>IFERROR(IF(B104="","",ROUND(B104/'Getting Started'!C15,1)),"")</f>
        <v/>
      </c>
      <c r="D104" s="47">
        <f>IFERROR(IF(C104="","",ROUND(C104/'Getting Started'!C7,1)),"")</f>
        <v/>
      </c>
      <c r="E104" s="48">
        <f>IFERROR(IF(B104="","",TEXT('Getting Started'!C10+(B104/D104),"MMM D, YYYY")),"")</f>
        <v/>
      </c>
      <c r="F104" s="39" t="n"/>
      <c r="G104" s="49">
        <f>'Course Content'!H72</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Content'!I72="","",'Course Content'!I72),"")</f>
        <v/>
      </c>
    </row>
    <row r="114" ht="8" customHeight="1"/>
    <row r="115" ht="24" customHeight="1">
      <c r="A115" s="44" t="inlineStr">
        <is>
          <t xml:space="preserve">  ART / MUSIC</t>
        </is>
      </c>
      <c r="E115" s="45">
        <f>IFERROR(IF('Course Content'!E73="","← enter on Course Content tab",'Course Content'!E73),"")</f>
        <v/>
      </c>
    </row>
    <row r="116" ht="22" customHeight="1">
      <c r="B116" s="46">
        <f>'Course Content'!G73</f>
        <v/>
      </c>
      <c r="C116" s="47">
        <f>IFERROR(IF(B116="","",ROUND(B116/'Getting Started'!C15,1)),"")</f>
        <v/>
      </c>
      <c r="D116" s="47">
        <f>IFERROR(IF(C116="","",ROUND(C116/'Getting Started'!C7,1)),"")</f>
        <v/>
      </c>
      <c r="E116" s="48">
        <f>IFERROR(IF(B116="","",TEXT('Getting Started'!C10+(B116/D116),"MMM D, YYYY")),"")</f>
        <v/>
      </c>
      <c r="F116" s="39" t="n"/>
      <c r="G116" s="49">
        <f>'Course Content'!H73</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Content'!I73="","",'Course Content'!I73),"")</f>
        <v/>
      </c>
    </row>
    <row r="126" ht="8" customHeight="1"/>
    <row r="127" ht="24" customHeight="1">
      <c r="A127" s="44">
        <f>IF('Course Content'!D74="","  ELECTIVE / OTHER 1","  "&amp;UPPER('Course Content'!D74))</f>
        <v/>
      </c>
      <c r="E127" s="45">
        <f>IFERROR(IF('Course Content'!E74="","← enter on Course Content tab",'Course Content'!E74),"")</f>
        <v/>
      </c>
    </row>
    <row r="128" ht="22" customHeight="1">
      <c r="B128" s="46">
        <f>'Course Content'!G74</f>
        <v/>
      </c>
      <c r="C128" s="47">
        <f>IFERROR(IF(B128="","",ROUND(B128/'Getting Started'!C15,1)),"")</f>
        <v/>
      </c>
      <c r="D128" s="47">
        <f>IFERROR(IF(C128="","",ROUND(C128/'Getting Started'!C7,1)),"")</f>
        <v/>
      </c>
      <c r="E128" s="48">
        <f>IFERROR(IF(B128="","",TEXT('Getting Started'!C10+(B128/D128),"MMM D, YYYY")),"")</f>
        <v/>
      </c>
      <c r="F128" s="39" t="n"/>
      <c r="G128" s="49">
        <f>'Course Content'!H74</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Content'!I74="","",'Course Content'!I74),"")</f>
        <v/>
      </c>
    </row>
    <row r="138" ht="8" customHeight="1"/>
    <row r="139" ht="24" customHeight="1">
      <c r="A139" s="44">
        <f>IF('Course Content'!D75="","  ELECTIVE / OTHER 2","  "&amp;UPPER('Course Content'!D75))</f>
        <v/>
      </c>
      <c r="E139" s="45">
        <f>IFERROR(IF('Course Content'!E75="","← enter on Course Content tab",'Course Content'!E75),"")</f>
        <v/>
      </c>
    </row>
    <row r="140" ht="22" customHeight="1">
      <c r="B140" s="46">
        <f>'Course Content'!G75</f>
        <v/>
      </c>
      <c r="C140" s="47">
        <f>IFERROR(IF(B140="","",ROUND(B140/'Getting Started'!C15,1)),"")</f>
        <v/>
      </c>
      <c r="D140" s="47">
        <f>IFERROR(IF(C140="","",ROUND(C140/'Getting Started'!C7,1)),"")</f>
        <v/>
      </c>
      <c r="E140" s="48">
        <f>IFERROR(IF(B140="","",TEXT('Getting Started'!C10+(B140/D140),"MMM D, YYYY")),"")</f>
        <v/>
      </c>
      <c r="F140" s="39" t="n"/>
      <c r="G140" s="49">
        <f>'Course Content'!H75</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Content'!I75="","",'Course Content'!I75),"")</f>
        <v/>
      </c>
    </row>
    <row r="150" ht="8" customHeight="1"/>
    <row r="151" ht="24" customHeight="1">
      <c r="A151" s="44">
        <f>IF('Course Content'!D76="","  ELECTIVE / OTHER 3","  "&amp;UPPER('Course Content'!D76))</f>
        <v/>
      </c>
      <c r="E151" s="45">
        <f>IFERROR(IF('Course Content'!E76="","← enter on Course Content tab",'Course Content'!E76),"")</f>
        <v/>
      </c>
    </row>
    <row r="152" ht="22" customHeight="1">
      <c r="B152" s="46">
        <f>'Course Content'!G76</f>
        <v/>
      </c>
      <c r="C152" s="47">
        <f>IFERROR(IF(B152="","",ROUND(B152/'Getting Started'!C15,1)),"")</f>
        <v/>
      </c>
      <c r="D152" s="47">
        <f>IFERROR(IF(C152="","",ROUND(C152/'Getting Started'!C7,1)),"")</f>
        <v/>
      </c>
      <c r="E152" s="48">
        <f>IFERROR(IF(B152="","",TEXT('Getting Started'!C10+(B152/D152),"MMM D, YYYY")),"")</f>
        <v/>
      </c>
      <c r="F152" s="39" t="n"/>
      <c r="G152" s="49">
        <f>'Course Content'!H76</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Content'!I76="","",'Course Content'!I76),"")</f>
        <v/>
      </c>
    </row>
    <row r="162" ht="8" customHeight="1"/>
    <row r="163" ht="24" customHeight="1">
      <c r="A163" s="44">
        <f>IF('Course Content'!D77="","  ELECTIVE / OTHER 4","  "&amp;UPPER('Course Content'!D77))</f>
        <v/>
      </c>
      <c r="E163" s="45">
        <f>IFERROR(IF('Course Content'!E77="","← enter on Course Content tab",'Course Content'!E77),"")</f>
        <v/>
      </c>
    </row>
    <row r="164" ht="22" customHeight="1">
      <c r="B164" s="46">
        <f>'Course Content'!G77</f>
        <v/>
      </c>
      <c r="C164" s="47">
        <f>IFERROR(IF(B164="","",ROUND(B164/'Getting Started'!C15,1)),"")</f>
        <v/>
      </c>
      <c r="D164" s="47">
        <f>IFERROR(IF(C164="","",ROUND(C164/'Getting Started'!C7,1)),"")</f>
        <v/>
      </c>
      <c r="E164" s="48">
        <f>IFERROR(IF(B164="","",TEXT('Getting Started'!C10+(B164/D164),"MMM D, YYYY")),"")</f>
        <v/>
      </c>
      <c r="F164" s="39" t="n"/>
      <c r="G164" s="49">
        <f>'Course Content'!H77</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Content'!I77="","",'Course Content'!I77),"")</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8.xml><?xml version="1.0" encoding="utf-8"?>
<worksheet xmlns="http://schemas.openxmlformats.org/spreadsheetml/2006/main">
  <sheetPr>
    <tabColor rgb="008A7A5C"/>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Started'!B34="","Student 6",'Getting Started'!B34)</f>
        <v/>
      </c>
    </row>
    <row r="2" ht="22" customHeight="1">
      <c r="A2" s="37">
        <f>IFERROR("Grade: "&amp;'Getting Started'!F34&amp;"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Content'!E78="","← enter on Course Content tab",'Course Content'!E78),"")</f>
        <v/>
      </c>
    </row>
    <row r="8" ht="22" customHeight="1">
      <c r="B8" s="46">
        <f>'Course Content'!G78</f>
        <v/>
      </c>
      <c r="C8" s="47">
        <f>IFERROR(IF(B8="","",ROUND(B8/'Getting Started'!C15,1)),"")</f>
        <v/>
      </c>
      <c r="D8" s="47">
        <f>IFERROR(IF(C8="","",ROUND(C8/'Getting Started'!C7,1)),"")</f>
        <v/>
      </c>
      <c r="E8" s="48">
        <f>IFERROR(IF(B8="","",TEXT('Getting Started'!C10+(B8/D8),"MMM D, YYYY")),"")</f>
        <v/>
      </c>
      <c r="F8" s="39" t="n"/>
      <c r="G8" s="49">
        <f>'Course Content'!H78</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Content'!I78="","",'Course Content'!I78),"")</f>
        <v/>
      </c>
    </row>
    <row r="18" ht="8" customHeight="1"/>
    <row r="19" ht="24" customHeight="1">
      <c r="A19" s="44" t="inlineStr">
        <is>
          <t xml:space="preserve">  MATH</t>
        </is>
      </c>
      <c r="E19" s="45">
        <f>IFERROR(IF('Course Content'!E79="","← enter on Course Content tab",'Course Content'!E79),"")</f>
        <v/>
      </c>
    </row>
    <row r="20" ht="22" customHeight="1">
      <c r="B20" s="46">
        <f>'Course Content'!G79</f>
        <v/>
      </c>
      <c r="C20" s="47">
        <f>IFERROR(IF(B20="","",ROUND(B20/'Getting Started'!C15,1)),"")</f>
        <v/>
      </c>
      <c r="D20" s="47">
        <f>IFERROR(IF(C20="","",ROUND(C20/'Getting Started'!C7,1)),"")</f>
        <v/>
      </c>
      <c r="E20" s="48">
        <f>IFERROR(IF(B20="","",TEXT('Getting Started'!C10+(B20/D20),"MMM D, YYYY")),"")</f>
        <v/>
      </c>
      <c r="F20" s="39" t="n"/>
      <c r="G20" s="49">
        <f>'Course Content'!H79</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Content'!I79="","",'Course Content'!I79),"")</f>
        <v/>
      </c>
    </row>
    <row r="30" ht="8" customHeight="1"/>
    <row r="31" ht="24" customHeight="1">
      <c r="A31" s="44" t="inlineStr">
        <is>
          <t xml:space="preserve">  ENGLISH / LANGUAGE ARTS</t>
        </is>
      </c>
      <c r="E31" s="45">
        <f>IFERROR(IF('Course Content'!E80="","← enter on Course Content tab",'Course Content'!E80),"")</f>
        <v/>
      </c>
    </row>
    <row r="32" ht="22" customHeight="1">
      <c r="B32" s="46">
        <f>'Course Content'!G80</f>
        <v/>
      </c>
      <c r="C32" s="47">
        <f>IFERROR(IF(B32="","",ROUND(B32/'Getting Started'!C15,1)),"")</f>
        <v/>
      </c>
      <c r="D32" s="47">
        <f>IFERROR(IF(C32="","",ROUND(C32/'Getting Started'!C7,1)),"")</f>
        <v/>
      </c>
      <c r="E32" s="48">
        <f>IFERROR(IF(B32="","",TEXT('Getting Started'!C10+(B32/D32),"MMM D, YYYY")),"")</f>
        <v/>
      </c>
      <c r="F32" s="39" t="n"/>
      <c r="G32" s="49">
        <f>'Course Content'!H80</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Content'!I80="","",'Course Content'!I80),"")</f>
        <v/>
      </c>
    </row>
    <row r="42" ht="8" customHeight="1"/>
    <row r="43" ht="24" customHeight="1">
      <c r="A43" s="44" t="inlineStr">
        <is>
          <t xml:space="preserve">  READING</t>
        </is>
      </c>
      <c r="E43" s="45">
        <f>IFERROR(IF('Course Content'!E81="","← enter on Course Content tab",'Course Content'!E81),"")</f>
        <v/>
      </c>
    </row>
    <row r="44" ht="22" customHeight="1">
      <c r="B44" s="46">
        <f>'Course Content'!G81</f>
        <v/>
      </c>
      <c r="C44" s="47">
        <f>IFERROR(IF(B44="","",ROUND(B44/'Getting Started'!C15,1)),"")</f>
        <v/>
      </c>
      <c r="D44" s="47">
        <f>IFERROR(IF(C44="","",ROUND(C44/'Getting Started'!C7,1)),"")</f>
        <v/>
      </c>
      <c r="E44" s="48">
        <f>IFERROR(IF(B44="","",TEXT('Getting Started'!C10+(B44/D44),"MMM D, YYYY")),"")</f>
        <v/>
      </c>
      <c r="F44" s="39" t="n"/>
      <c r="G44" s="49">
        <f>'Course Content'!H81</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Content'!I81="","",'Course Content'!I81),"")</f>
        <v/>
      </c>
    </row>
    <row r="54" ht="8" customHeight="1"/>
    <row r="55" ht="24" customHeight="1">
      <c r="A55" s="44" t="inlineStr">
        <is>
          <t xml:space="preserve">  WRITING / COMPOSITION</t>
        </is>
      </c>
      <c r="E55" s="45">
        <f>IFERROR(IF('Course Content'!E82="","← enter on Course Content tab",'Course Content'!E82),"")</f>
        <v/>
      </c>
    </row>
    <row r="56" ht="22" customHeight="1">
      <c r="B56" s="46">
        <f>'Course Content'!G82</f>
        <v/>
      </c>
      <c r="C56" s="47">
        <f>IFERROR(IF(B56="","",ROUND(B56/'Getting Started'!C15,1)),"")</f>
        <v/>
      </c>
      <c r="D56" s="47">
        <f>IFERROR(IF(C56="","",ROUND(C56/'Getting Started'!C7,1)),"")</f>
        <v/>
      </c>
      <c r="E56" s="48">
        <f>IFERROR(IF(B56="","",TEXT('Getting Started'!C10+(B56/D56),"MMM D, YYYY")),"")</f>
        <v/>
      </c>
      <c r="F56" s="39" t="n"/>
      <c r="G56" s="49">
        <f>'Course Content'!H82</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Content'!I82="","",'Course Content'!I82),"")</f>
        <v/>
      </c>
    </row>
    <row r="66" ht="8" customHeight="1"/>
    <row r="67" ht="24" customHeight="1">
      <c r="A67" s="44" t="inlineStr">
        <is>
          <t xml:space="preserve">  SCIENCE</t>
        </is>
      </c>
      <c r="E67" s="45">
        <f>IFERROR(IF('Course Content'!E83="","← enter on Course Content tab",'Course Content'!E83),"")</f>
        <v/>
      </c>
    </row>
    <row r="68" ht="22" customHeight="1">
      <c r="B68" s="46">
        <f>'Course Content'!G83</f>
        <v/>
      </c>
      <c r="C68" s="47">
        <f>IFERROR(IF(B68="","",ROUND(B68/'Getting Started'!C15,1)),"")</f>
        <v/>
      </c>
      <c r="D68" s="47">
        <f>IFERROR(IF(C68="","",ROUND(C68/'Getting Started'!C7,1)),"")</f>
        <v/>
      </c>
      <c r="E68" s="48">
        <f>IFERROR(IF(B68="","",TEXT('Getting Started'!C10+(B68/D68),"MMM D, YYYY")),"")</f>
        <v/>
      </c>
      <c r="F68" s="39" t="n"/>
      <c r="G68" s="49">
        <f>'Course Content'!H83</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Content'!I83="","",'Course Content'!I83),"")</f>
        <v/>
      </c>
    </row>
    <row r="78" ht="8" customHeight="1"/>
    <row r="79" ht="24" customHeight="1">
      <c r="A79" s="44" t="inlineStr">
        <is>
          <t xml:space="preserve">  SOCIAL STUDIES / HISTORY</t>
        </is>
      </c>
      <c r="E79" s="45">
        <f>IFERROR(IF('Course Content'!E84="","← enter on Course Content tab",'Course Content'!E84),"")</f>
        <v/>
      </c>
    </row>
    <row r="80" ht="22" customHeight="1">
      <c r="B80" s="46">
        <f>'Course Content'!G84</f>
        <v/>
      </c>
      <c r="C80" s="47">
        <f>IFERROR(IF(B80="","",ROUND(B80/'Getting Started'!C15,1)),"")</f>
        <v/>
      </c>
      <c r="D80" s="47">
        <f>IFERROR(IF(C80="","",ROUND(C80/'Getting Started'!C7,1)),"")</f>
        <v/>
      </c>
      <c r="E80" s="48">
        <f>IFERROR(IF(B80="","",TEXT('Getting Started'!C10+(B80/D80),"MMM D, YYYY")),"")</f>
        <v/>
      </c>
      <c r="F80" s="39" t="n"/>
      <c r="G80" s="49">
        <f>'Course Content'!H84</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Content'!I84="","",'Course Content'!I84),"")</f>
        <v/>
      </c>
    </row>
    <row r="90" ht="8" customHeight="1"/>
    <row r="91" ht="24" customHeight="1">
      <c r="A91" s="44" t="inlineStr">
        <is>
          <t xml:space="preserve">  HEALTH</t>
        </is>
      </c>
      <c r="E91" s="45">
        <f>IFERROR(IF('Course Content'!E85="","← enter on Course Content tab",'Course Content'!E85),"")</f>
        <v/>
      </c>
    </row>
    <row r="92" ht="22" customHeight="1">
      <c r="B92" s="46">
        <f>'Course Content'!G85</f>
        <v/>
      </c>
      <c r="C92" s="47">
        <f>IFERROR(IF(B92="","",ROUND(B92/'Getting Started'!C15,1)),"")</f>
        <v/>
      </c>
      <c r="D92" s="47">
        <f>IFERROR(IF(C92="","",ROUND(C92/'Getting Started'!C7,1)),"")</f>
        <v/>
      </c>
      <c r="E92" s="48">
        <f>IFERROR(IF(B92="","",TEXT('Getting Started'!C10+(B92/D92),"MMM D, YYYY")),"")</f>
        <v/>
      </c>
      <c r="F92" s="39" t="n"/>
      <c r="G92" s="49">
        <f>'Course Content'!H85</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Content'!I85="","",'Course Content'!I85),"")</f>
        <v/>
      </c>
    </row>
    <row r="102" ht="8" customHeight="1"/>
    <row r="103" ht="24" customHeight="1">
      <c r="A103" s="44" t="inlineStr">
        <is>
          <t xml:space="preserve">  PHYSICAL EDUCATION</t>
        </is>
      </c>
      <c r="E103" s="45">
        <f>IFERROR(IF('Course Content'!E86="","← enter on Course Content tab",'Course Content'!E86),"")</f>
        <v/>
      </c>
    </row>
    <row r="104" ht="22" customHeight="1">
      <c r="B104" s="46">
        <f>'Course Content'!G86</f>
        <v/>
      </c>
      <c r="C104" s="47">
        <f>IFERROR(IF(B104="","",ROUND(B104/'Getting Started'!C15,1)),"")</f>
        <v/>
      </c>
      <c r="D104" s="47">
        <f>IFERROR(IF(C104="","",ROUND(C104/'Getting Started'!C7,1)),"")</f>
        <v/>
      </c>
      <c r="E104" s="48">
        <f>IFERROR(IF(B104="","",TEXT('Getting Started'!C10+(B104/D104),"MMM D, YYYY")),"")</f>
        <v/>
      </c>
      <c r="F104" s="39" t="n"/>
      <c r="G104" s="49">
        <f>'Course Content'!H86</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Content'!I86="","",'Course Content'!I86),"")</f>
        <v/>
      </c>
    </row>
    <row r="114" ht="8" customHeight="1"/>
    <row r="115" ht="24" customHeight="1">
      <c r="A115" s="44" t="inlineStr">
        <is>
          <t xml:space="preserve">  ART / MUSIC</t>
        </is>
      </c>
      <c r="E115" s="45">
        <f>IFERROR(IF('Course Content'!E87="","← enter on Course Content tab",'Course Content'!E87),"")</f>
        <v/>
      </c>
    </row>
    <row r="116" ht="22" customHeight="1">
      <c r="B116" s="46">
        <f>'Course Content'!G87</f>
        <v/>
      </c>
      <c r="C116" s="47">
        <f>IFERROR(IF(B116="","",ROUND(B116/'Getting Started'!C15,1)),"")</f>
        <v/>
      </c>
      <c r="D116" s="47">
        <f>IFERROR(IF(C116="","",ROUND(C116/'Getting Started'!C7,1)),"")</f>
        <v/>
      </c>
      <c r="E116" s="48">
        <f>IFERROR(IF(B116="","",TEXT('Getting Started'!C10+(B116/D116),"MMM D, YYYY")),"")</f>
        <v/>
      </c>
      <c r="F116" s="39" t="n"/>
      <c r="G116" s="49">
        <f>'Course Content'!H87</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Content'!I87="","",'Course Content'!I87),"")</f>
        <v/>
      </c>
    </row>
    <row r="126" ht="8" customHeight="1"/>
    <row r="127" ht="24" customHeight="1">
      <c r="A127" s="44">
        <f>IF('Course Content'!D88="","  ELECTIVE / OTHER 1","  "&amp;UPPER('Course Content'!D88))</f>
        <v/>
      </c>
      <c r="E127" s="45">
        <f>IFERROR(IF('Course Content'!E88="","← enter on Course Content tab",'Course Content'!E88),"")</f>
        <v/>
      </c>
    </row>
    <row r="128" ht="22" customHeight="1">
      <c r="B128" s="46">
        <f>'Course Content'!G88</f>
        <v/>
      </c>
      <c r="C128" s="47">
        <f>IFERROR(IF(B128="","",ROUND(B128/'Getting Started'!C15,1)),"")</f>
        <v/>
      </c>
      <c r="D128" s="47">
        <f>IFERROR(IF(C128="","",ROUND(C128/'Getting Started'!C7,1)),"")</f>
        <v/>
      </c>
      <c r="E128" s="48">
        <f>IFERROR(IF(B128="","",TEXT('Getting Started'!C10+(B128/D128),"MMM D, YYYY")),"")</f>
        <v/>
      </c>
      <c r="F128" s="39" t="n"/>
      <c r="G128" s="49">
        <f>'Course Content'!H88</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Content'!I88="","",'Course Content'!I88),"")</f>
        <v/>
      </c>
    </row>
    <row r="138" ht="8" customHeight="1"/>
    <row r="139" ht="24" customHeight="1">
      <c r="A139" s="44">
        <f>IF('Course Content'!D89="","  ELECTIVE / OTHER 2","  "&amp;UPPER('Course Content'!D89))</f>
        <v/>
      </c>
      <c r="E139" s="45">
        <f>IFERROR(IF('Course Content'!E89="","← enter on Course Content tab",'Course Content'!E89),"")</f>
        <v/>
      </c>
    </row>
    <row r="140" ht="22" customHeight="1">
      <c r="B140" s="46">
        <f>'Course Content'!G89</f>
        <v/>
      </c>
      <c r="C140" s="47">
        <f>IFERROR(IF(B140="","",ROUND(B140/'Getting Started'!C15,1)),"")</f>
        <v/>
      </c>
      <c r="D140" s="47">
        <f>IFERROR(IF(C140="","",ROUND(C140/'Getting Started'!C7,1)),"")</f>
        <v/>
      </c>
      <c r="E140" s="48">
        <f>IFERROR(IF(B140="","",TEXT('Getting Started'!C10+(B140/D140),"MMM D, YYYY")),"")</f>
        <v/>
      </c>
      <c r="F140" s="39" t="n"/>
      <c r="G140" s="49">
        <f>'Course Content'!H89</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Content'!I89="","",'Course Content'!I89),"")</f>
        <v/>
      </c>
    </row>
    <row r="150" ht="8" customHeight="1"/>
    <row r="151" ht="24" customHeight="1">
      <c r="A151" s="44">
        <f>IF('Course Content'!D90="","  ELECTIVE / OTHER 3","  "&amp;UPPER('Course Content'!D90))</f>
        <v/>
      </c>
      <c r="E151" s="45">
        <f>IFERROR(IF('Course Content'!E90="","← enter on Course Content tab",'Course Content'!E90),"")</f>
        <v/>
      </c>
    </row>
    <row r="152" ht="22" customHeight="1">
      <c r="B152" s="46">
        <f>'Course Content'!G90</f>
        <v/>
      </c>
      <c r="C152" s="47">
        <f>IFERROR(IF(B152="","",ROUND(B152/'Getting Started'!C15,1)),"")</f>
        <v/>
      </c>
      <c r="D152" s="47">
        <f>IFERROR(IF(C152="","",ROUND(C152/'Getting Started'!C7,1)),"")</f>
        <v/>
      </c>
      <c r="E152" s="48">
        <f>IFERROR(IF(B152="","",TEXT('Getting Started'!C10+(B152/D152),"MMM D, YYYY")),"")</f>
        <v/>
      </c>
      <c r="F152" s="39" t="n"/>
      <c r="G152" s="49">
        <f>'Course Content'!H90</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Content'!I90="","",'Course Content'!I90),"")</f>
        <v/>
      </c>
    </row>
    <row r="162" ht="8" customHeight="1"/>
    <row r="163" ht="24" customHeight="1">
      <c r="A163" s="44">
        <f>IF('Course Content'!D91="","  ELECTIVE / OTHER 4","  "&amp;UPPER('Course Content'!D91))</f>
        <v/>
      </c>
      <c r="E163" s="45">
        <f>IFERROR(IF('Course Content'!E91="","← enter on Course Content tab",'Course Content'!E91),"")</f>
        <v/>
      </c>
    </row>
    <row r="164" ht="22" customHeight="1">
      <c r="B164" s="46">
        <f>'Course Content'!G91</f>
        <v/>
      </c>
      <c r="C164" s="47">
        <f>IFERROR(IF(B164="","",ROUND(B164/'Getting Started'!C15,1)),"")</f>
        <v/>
      </c>
      <c r="D164" s="47">
        <f>IFERROR(IF(C164="","",ROUND(C164/'Getting Started'!C7,1)),"")</f>
        <v/>
      </c>
      <c r="E164" s="48">
        <f>IFERROR(IF(B164="","",TEXT('Getting Started'!C10+(B164/D164),"MMM D, YYYY")),"")</f>
        <v/>
      </c>
      <c r="F164" s="39" t="n"/>
      <c r="G164" s="49">
        <f>'Course Content'!H91</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Content'!I91="","",'Course Content'!I91),"")</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9.xml><?xml version="1.0" encoding="utf-8"?>
<worksheet xmlns="http://schemas.openxmlformats.org/spreadsheetml/2006/main">
  <sheetPr>
    <tabColor rgb="008A5C5C"/>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Started'!B35="","Student 7",'Getting Started'!B35)</f>
        <v/>
      </c>
    </row>
    <row r="2" ht="22" customHeight="1">
      <c r="A2" s="37">
        <f>IFERROR("Grade: "&amp;'Getting Started'!F35&amp;"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Content'!E92="","← enter on Course Content tab",'Course Content'!E92),"")</f>
        <v/>
      </c>
    </row>
    <row r="8" ht="22" customHeight="1">
      <c r="B8" s="46">
        <f>'Course Content'!G92</f>
        <v/>
      </c>
      <c r="C8" s="47">
        <f>IFERROR(IF(B8="","",ROUND(B8/'Getting Started'!C15,1)),"")</f>
        <v/>
      </c>
      <c r="D8" s="47">
        <f>IFERROR(IF(C8="","",ROUND(C8/'Getting Started'!C7,1)),"")</f>
        <v/>
      </c>
      <c r="E8" s="48">
        <f>IFERROR(IF(B8="","",TEXT('Getting Started'!C10+(B8/D8),"MMM D, YYYY")),"")</f>
        <v/>
      </c>
      <c r="F8" s="39" t="n"/>
      <c r="G8" s="49">
        <f>'Course Content'!H92</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Content'!I92="","",'Course Content'!I92),"")</f>
        <v/>
      </c>
    </row>
    <row r="18" ht="8" customHeight="1"/>
    <row r="19" ht="24" customHeight="1">
      <c r="A19" s="44" t="inlineStr">
        <is>
          <t xml:space="preserve">  MATH</t>
        </is>
      </c>
      <c r="E19" s="45">
        <f>IFERROR(IF('Course Content'!E93="","← enter on Course Content tab",'Course Content'!E93),"")</f>
        <v/>
      </c>
    </row>
    <row r="20" ht="22" customHeight="1">
      <c r="B20" s="46">
        <f>'Course Content'!G93</f>
        <v/>
      </c>
      <c r="C20" s="47">
        <f>IFERROR(IF(B20="","",ROUND(B20/'Getting Started'!C15,1)),"")</f>
        <v/>
      </c>
      <c r="D20" s="47">
        <f>IFERROR(IF(C20="","",ROUND(C20/'Getting Started'!C7,1)),"")</f>
        <v/>
      </c>
      <c r="E20" s="48">
        <f>IFERROR(IF(B20="","",TEXT('Getting Started'!C10+(B20/D20),"MMM D, YYYY")),"")</f>
        <v/>
      </c>
      <c r="F20" s="39" t="n"/>
      <c r="G20" s="49">
        <f>'Course Content'!H93</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Content'!I93="","",'Course Content'!I93),"")</f>
        <v/>
      </c>
    </row>
    <row r="30" ht="8" customHeight="1"/>
    <row r="31" ht="24" customHeight="1">
      <c r="A31" s="44" t="inlineStr">
        <is>
          <t xml:space="preserve">  ENGLISH / LANGUAGE ARTS</t>
        </is>
      </c>
      <c r="E31" s="45">
        <f>IFERROR(IF('Course Content'!E94="","← enter on Course Content tab",'Course Content'!E94),"")</f>
        <v/>
      </c>
    </row>
    <row r="32" ht="22" customHeight="1">
      <c r="B32" s="46">
        <f>'Course Content'!G94</f>
        <v/>
      </c>
      <c r="C32" s="47">
        <f>IFERROR(IF(B32="","",ROUND(B32/'Getting Started'!C15,1)),"")</f>
        <v/>
      </c>
      <c r="D32" s="47">
        <f>IFERROR(IF(C32="","",ROUND(C32/'Getting Started'!C7,1)),"")</f>
        <v/>
      </c>
      <c r="E32" s="48">
        <f>IFERROR(IF(B32="","",TEXT('Getting Started'!C10+(B32/D32),"MMM D, YYYY")),"")</f>
        <v/>
      </c>
      <c r="F32" s="39" t="n"/>
      <c r="G32" s="49">
        <f>'Course Content'!H94</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Content'!I94="","",'Course Content'!I94),"")</f>
        <v/>
      </c>
    </row>
    <row r="42" ht="8" customHeight="1"/>
    <row r="43" ht="24" customHeight="1">
      <c r="A43" s="44" t="inlineStr">
        <is>
          <t xml:space="preserve">  READING</t>
        </is>
      </c>
      <c r="E43" s="45">
        <f>IFERROR(IF('Course Content'!E95="","← enter on Course Content tab",'Course Content'!E95),"")</f>
        <v/>
      </c>
    </row>
    <row r="44" ht="22" customHeight="1">
      <c r="B44" s="46">
        <f>'Course Content'!G95</f>
        <v/>
      </c>
      <c r="C44" s="47">
        <f>IFERROR(IF(B44="","",ROUND(B44/'Getting Started'!C15,1)),"")</f>
        <v/>
      </c>
      <c r="D44" s="47">
        <f>IFERROR(IF(C44="","",ROUND(C44/'Getting Started'!C7,1)),"")</f>
        <v/>
      </c>
      <c r="E44" s="48">
        <f>IFERROR(IF(B44="","",TEXT('Getting Started'!C10+(B44/D44),"MMM D, YYYY")),"")</f>
        <v/>
      </c>
      <c r="F44" s="39" t="n"/>
      <c r="G44" s="49">
        <f>'Course Content'!H95</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Content'!I95="","",'Course Content'!I95),"")</f>
        <v/>
      </c>
    </row>
    <row r="54" ht="8" customHeight="1"/>
    <row r="55" ht="24" customHeight="1">
      <c r="A55" s="44" t="inlineStr">
        <is>
          <t xml:space="preserve">  WRITING / COMPOSITION</t>
        </is>
      </c>
      <c r="E55" s="45">
        <f>IFERROR(IF('Course Content'!E96="","← enter on Course Content tab",'Course Content'!E96),"")</f>
        <v/>
      </c>
    </row>
    <row r="56" ht="22" customHeight="1">
      <c r="B56" s="46">
        <f>'Course Content'!G96</f>
        <v/>
      </c>
      <c r="C56" s="47">
        <f>IFERROR(IF(B56="","",ROUND(B56/'Getting Started'!C15,1)),"")</f>
        <v/>
      </c>
      <c r="D56" s="47">
        <f>IFERROR(IF(C56="","",ROUND(C56/'Getting Started'!C7,1)),"")</f>
        <v/>
      </c>
      <c r="E56" s="48">
        <f>IFERROR(IF(B56="","",TEXT('Getting Started'!C10+(B56/D56),"MMM D, YYYY")),"")</f>
        <v/>
      </c>
      <c r="F56" s="39" t="n"/>
      <c r="G56" s="49">
        <f>'Course Content'!H96</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Content'!I96="","",'Course Content'!I96),"")</f>
        <v/>
      </c>
    </row>
    <row r="66" ht="8" customHeight="1"/>
    <row r="67" ht="24" customHeight="1">
      <c r="A67" s="44" t="inlineStr">
        <is>
          <t xml:space="preserve">  SCIENCE</t>
        </is>
      </c>
      <c r="E67" s="45">
        <f>IFERROR(IF('Course Content'!E97="","← enter on Course Content tab",'Course Content'!E97),"")</f>
        <v/>
      </c>
    </row>
    <row r="68" ht="22" customHeight="1">
      <c r="B68" s="46">
        <f>'Course Content'!G97</f>
        <v/>
      </c>
      <c r="C68" s="47">
        <f>IFERROR(IF(B68="","",ROUND(B68/'Getting Started'!C15,1)),"")</f>
        <v/>
      </c>
      <c r="D68" s="47">
        <f>IFERROR(IF(C68="","",ROUND(C68/'Getting Started'!C7,1)),"")</f>
        <v/>
      </c>
      <c r="E68" s="48">
        <f>IFERROR(IF(B68="","",TEXT('Getting Started'!C10+(B68/D68),"MMM D, YYYY")),"")</f>
        <v/>
      </c>
      <c r="F68" s="39" t="n"/>
      <c r="G68" s="49">
        <f>'Course Content'!H97</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Content'!I97="","",'Course Content'!I97),"")</f>
        <v/>
      </c>
    </row>
    <row r="78" ht="8" customHeight="1"/>
    <row r="79" ht="24" customHeight="1">
      <c r="A79" s="44" t="inlineStr">
        <is>
          <t xml:space="preserve">  SOCIAL STUDIES / HISTORY</t>
        </is>
      </c>
      <c r="E79" s="45">
        <f>IFERROR(IF('Course Content'!E98="","← enter on Course Content tab",'Course Content'!E98),"")</f>
        <v/>
      </c>
    </row>
    <row r="80" ht="22" customHeight="1">
      <c r="B80" s="46">
        <f>'Course Content'!G98</f>
        <v/>
      </c>
      <c r="C80" s="47">
        <f>IFERROR(IF(B80="","",ROUND(B80/'Getting Started'!C15,1)),"")</f>
        <v/>
      </c>
      <c r="D80" s="47">
        <f>IFERROR(IF(C80="","",ROUND(C80/'Getting Started'!C7,1)),"")</f>
        <v/>
      </c>
      <c r="E80" s="48">
        <f>IFERROR(IF(B80="","",TEXT('Getting Started'!C10+(B80/D80),"MMM D, YYYY")),"")</f>
        <v/>
      </c>
      <c r="F80" s="39" t="n"/>
      <c r="G80" s="49">
        <f>'Course Content'!H98</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Content'!I98="","",'Course Content'!I98),"")</f>
        <v/>
      </c>
    </row>
    <row r="90" ht="8" customHeight="1"/>
    <row r="91" ht="24" customHeight="1">
      <c r="A91" s="44" t="inlineStr">
        <is>
          <t xml:space="preserve">  HEALTH</t>
        </is>
      </c>
      <c r="E91" s="45">
        <f>IFERROR(IF('Course Content'!E99="","← enter on Course Content tab",'Course Content'!E99),"")</f>
        <v/>
      </c>
    </row>
    <row r="92" ht="22" customHeight="1">
      <c r="B92" s="46">
        <f>'Course Content'!G99</f>
        <v/>
      </c>
      <c r="C92" s="47">
        <f>IFERROR(IF(B92="","",ROUND(B92/'Getting Started'!C15,1)),"")</f>
        <v/>
      </c>
      <c r="D92" s="47">
        <f>IFERROR(IF(C92="","",ROUND(C92/'Getting Started'!C7,1)),"")</f>
        <v/>
      </c>
      <c r="E92" s="48">
        <f>IFERROR(IF(B92="","",TEXT('Getting Started'!C10+(B92/D92),"MMM D, YYYY")),"")</f>
        <v/>
      </c>
      <c r="F92" s="39" t="n"/>
      <c r="G92" s="49">
        <f>'Course Content'!H99</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Content'!I99="","",'Course Content'!I99),"")</f>
        <v/>
      </c>
    </row>
    <row r="102" ht="8" customHeight="1"/>
    <row r="103" ht="24" customHeight="1">
      <c r="A103" s="44" t="inlineStr">
        <is>
          <t xml:space="preserve">  PHYSICAL EDUCATION</t>
        </is>
      </c>
      <c r="E103" s="45">
        <f>IFERROR(IF('Course Content'!E100="","← enter on Course Content tab",'Course Content'!E100),"")</f>
        <v/>
      </c>
    </row>
    <row r="104" ht="22" customHeight="1">
      <c r="B104" s="46">
        <f>'Course Content'!G100</f>
        <v/>
      </c>
      <c r="C104" s="47">
        <f>IFERROR(IF(B104="","",ROUND(B104/'Getting Started'!C15,1)),"")</f>
        <v/>
      </c>
      <c r="D104" s="47">
        <f>IFERROR(IF(C104="","",ROUND(C104/'Getting Started'!C7,1)),"")</f>
        <v/>
      </c>
      <c r="E104" s="48">
        <f>IFERROR(IF(B104="","",TEXT('Getting Started'!C10+(B104/D104),"MMM D, YYYY")),"")</f>
        <v/>
      </c>
      <c r="F104" s="39" t="n"/>
      <c r="G104" s="49">
        <f>'Course Content'!H100</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Content'!I100="","",'Course Content'!I100),"")</f>
        <v/>
      </c>
    </row>
    <row r="114" ht="8" customHeight="1"/>
    <row r="115" ht="24" customHeight="1">
      <c r="A115" s="44" t="inlineStr">
        <is>
          <t xml:space="preserve">  ART / MUSIC</t>
        </is>
      </c>
      <c r="E115" s="45">
        <f>IFERROR(IF('Course Content'!E101="","← enter on Course Content tab",'Course Content'!E101),"")</f>
        <v/>
      </c>
    </row>
    <row r="116" ht="22" customHeight="1">
      <c r="B116" s="46">
        <f>'Course Content'!G101</f>
        <v/>
      </c>
      <c r="C116" s="47">
        <f>IFERROR(IF(B116="","",ROUND(B116/'Getting Started'!C15,1)),"")</f>
        <v/>
      </c>
      <c r="D116" s="47">
        <f>IFERROR(IF(C116="","",ROUND(C116/'Getting Started'!C7,1)),"")</f>
        <v/>
      </c>
      <c r="E116" s="48">
        <f>IFERROR(IF(B116="","",TEXT('Getting Started'!C10+(B116/D116),"MMM D, YYYY")),"")</f>
        <v/>
      </c>
      <c r="F116" s="39" t="n"/>
      <c r="G116" s="49">
        <f>'Course Content'!H101</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Content'!I101="","",'Course Content'!I101),"")</f>
        <v/>
      </c>
    </row>
    <row r="126" ht="8" customHeight="1"/>
    <row r="127" ht="24" customHeight="1">
      <c r="A127" s="44">
        <f>IF('Course Content'!D102="","  ELECTIVE / OTHER 1","  "&amp;UPPER('Course Content'!D102))</f>
        <v/>
      </c>
      <c r="E127" s="45">
        <f>IFERROR(IF('Course Content'!E102="","← enter on Course Content tab",'Course Content'!E102),"")</f>
        <v/>
      </c>
    </row>
    <row r="128" ht="22" customHeight="1">
      <c r="B128" s="46">
        <f>'Course Content'!G102</f>
        <v/>
      </c>
      <c r="C128" s="47">
        <f>IFERROR(IF(B128="","",ROUND(B128/'Getting Started'!C15,1)),"")</f>
        <v/>
      </c>
      <c r="D128" s="47">
        <f>IFERROR(IF(C128="","",ROUND(C128/'Getting Started'!C7,1)),"")</f>
        <v/>
      </c>
      <c r="E128" s="48">
        <f>IFERROR(IF(B128="","",TEXT('Getting Started'!C10+(B128/D128),"MMM D, YYYY")),"")</f>
        <v/>
      </c>
      <c r="F128" s="39" t="n"/>
      <c r="G128" s="49">
        <f>'Course Content'!H102</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Content'!I102="","",'Course Content'!I102),"")</f>
        <v/>
      </c>
    </row>
    <row r="138" ht="8" customHeight="1"/>
    <row r="139" ht="24" customHeight="1">
      <c r="A139" s="44">
        <f>IF('Course Content'!D103="","  ELECTIVE / OTHER 2","  "&amp;UPPER('Course Content'!D103))</f>
        <v/>
      </c>
      <c r="E139" s="45">
        <f>IFERROR(IF('Course Content'!E103="","← enter on Course Content tab",'Course Content'!E103),"")</f>
        <v/>
      </c>
    </row>
    <row r="140" ht="22" customHeight="1">
      <c r="B140" s="46">
        <f>'Course Content'!G103</f>
        <v/>
      </c>
      <c r="C140" s="47">
        <f>IFERROR(IF(B140="","",ROUND(B140/'Getting Started'!C15,1)),"")</f>
        <v/>
      </c>
      <c r="D140" s="47">
        <f>IFERROR(IF(C140="","",ROUND(C140/'Getting Started'!C7,1)),"")</f>
        <v/>
      </c>
      <c r="E140" s="48">
        <f>IFERROR(IF(B140="","",TEXT('Getting Started'!C10+(B140/D140),"MMM D, YYYY")),"")</f>
        <v/>
      </c>
      <c r="F140" s="39" t="n"/>
      <c r="G140" s="49">
        <f>'Course Content'!H103</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Content'!I103="","",'Course Content'!I103),"")</f>
        <v/>
      </c>
    </row>
    <row r="150" ht="8" customHeight="1"/>
    <row r="151" ht="24" customHeight="1">
      <c r="A151" s="44">
        <f>IF('Course Content'!D104="","  ELECTIVE / OTHER 3","  "&amp;UPPER('Course Content'!D104))</f>
        <v/>
      </c>
      <c r="E151" s="45">
        <f>IFERROR(IF('Course Content'!E104="","← enter on Course Content tab",'Course Content'!E104),"")</f>
        <v/>
      </c>
    </row>
    <row r="152" ht="22" customHeight="1">
      <c r="B152" s="46">
        <f>'Course Content'!G104</f>
        <v/>
      </c>
      <c r="C152" s="47">
        <f>IFERROR(IF(B152="","",ROUND(B152/'Getting Started'!C15,1)),"")</f>
        <v/>
      </c>
      <c r="D152" s="47">
        <f>IFERROR(IF(C152="","",ROUND(C152/'Getting Started'!C7,1)),"")</f>
        <v/>
      </c>
      <c r="E152" s="48">
        <f>IFERROR(IF(B152="","",TEXT('Getting Started'!C10+(B152/D152),"MMM D, YYYY")),"")</f>
        <v/>
      </c>
      <c r="F152" s="39" t="n"/>
      <c r="G152" s="49">
        <f>'Course Content'!H104</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Content'!I104="","",'Course Content'!I104),"")</f>
        <v/>
      </c>
    </row>
    <row r="162" ht="8" customHeight="1"/>
    <row r="163" ht="24" customHeight="1">
      <c r="A163" s="44">
        <f>IF('Course Content'!D105="","  ELECTIVE / OTHER 4","  "&amp;UPPER('Course Content'!D105))</f>
        <v/>
      </c>
      <c r="E163" s="45">
        <f>IFERROR(IF('Course Content'!E105="","← enter on Course Content tab",'Course Content'!E105),"")</f>
        <v/>
      </c>
    </row>
    <row r="164" ht="22" customHeight="1">
      <c r="B164" s="46">
        <f>'Course Content'!G105</f>
        <v/>
      </c>
      <c r="C164" s="47">
        <f>IFERROR(IF(B164="","",ROUND(B164/'Getting Started'!C15,1)),"")</f>
        <v/>
      </c>
      <c r="D164" s="47">
        <f>IFERROR(IF(C164="","",ROUND(C164/'Getting Started'!C7,1)),"")</f>
        <v/>
      </c>
      <c r="E164" s="48">
        <f>IFERROR(IF(B164="","",TEXT('Getting Started'!C10+(B164/D164),"MMM D, YYYY")),"")</f>
        <v/>
      </c>
      <c r="F164" s="39" t="n"/>
      <c r="G164" s="49">
        <f>'Course Content'!H105</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Content'!I105="","",'Course Content'!I105),"")</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0.xml><?xml version="1.0" encoding="utf-8"?>
<worksheet xmlns="http://schemas.openxmlformats.org/spreadsheetml/2006/main">
  <sheetPr>
    <tabColor rgb="006B7A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Started'!B36="","Student 8",'Getting Started'!B36)</f>
        <v/>
      </c>
    </row>
    <row r="2" ht="22" customHeight="1">
      <c r="A2" s="37">
        <f>IFERROR("Grade: "&amp;'Getting Started'!F36&amp;"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Content'!E106="","← enter on Course Content tab",'Course Content'!E106),"")</f>
        <v/>
      </c>
    </row>
    <row r="8" ht="22" customHeight="1">
      <c r="B8" s="46">
        <f>'Course Content'!G106</f>
        <v/>
      </c>
      <c r="C8" s="47">
        <f>IFERROR(IF(B8="","",ROUND(B8/'Getting Started'!C15,1)),"")</f>
        <v/>
      </c>
      <c r="D8" s="47">
        <f>IFERROR(IF(C8="","",ROUND(C8/'Getting Started'!C7,1)),"")</f>
        <v/>
      </c>
      <c r="E8" s="48">
        <f>IFERROR(IF(B8="","",TEXT('Getting Started'!C10+(B8/D8),"MMM D, YYYY")),"")</f>
        <v/>
      </c>
      <c r="F8" s="39" t="n"/>
      <c r="G8" s="49">
        <f>'Course Content'!H106</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Content'!I106="","",'Course Content'!I106),"")</f>
        <v/>
      </c>
    </row>
    <row r="18" ht="8" customHeight="1"/>
    <row r="19" ht="24" customHeight="1">
      <c r="A19" s="44" t="inlineStr">
        <is>
          <t xml:space="preserve">  MATH</t>
        </is>
      </c>
      <c r="E19" s="45">
        <f>IFERROR(IF('Course Content'!E107="","← enter on Course Content tab",'Course Content'!E107),"")</f>
        <v/>
      </c>
    </row>
    <row r="20" ht="22" customHeight="1">
      <c r="B20" s="46">
        <f>'Course Content'!G107</f>
        <v/>
      </c>
      <c r="C20" s="47">
        <f>IFERROR(IF(B20="","",ROUND(B20/'Getting Started'!C15,1)),"")</f>
        <v/>
      </c>
      <c r="D20" s="47">
        <f>IFERROR(IF(C20="","",ROUND(C20/'Getting Started'!C7,1)),"")</f>
        <v/>
      </c>
      <c r="E20" s="48">
        <f>IFERROR(IF(B20="","",TEXT('Getting Started'!C10+(B20/D20),"MMM D, YYYY")),"")</f>
        <v/>
      </c>
      <c r="F20" s="39" t="n"/>
      <c r="G20" s="49">
        <f>'Course Content'!H107</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Content'!I107="","",'Course Content'!I107),"")</f>
        <v/>
      </c>
    </row>
    <row r="30" ht="8" customHeight="1"/>
    <row r="31" ht="24" customHeight="1">
      <c r="A31" s="44" t="inlineStr">
        <is>
          <t xml:space="preserve">  ENGLISH / LANGUAGE ARTS</t>
        </is>
      </c>
      <c r="E31" s="45">
        <f>IFERROR(IF('Course Content'!E108="","← enter on Course Content tab",'Course Content'!E108),"")</f>
        <v/>
      </c>
    </row>
    <row r="32" ht="22" customHeight="1">
      <c r="B32" s="46">
        <f>'Course Content'!G108</f>
        <v/>
      </c>
      <c r="C32" s="47">
        <f>IFERROR(IF(B32="","",ROUND(B32/'Getting Started'!C15,1)),"")</f>
        <v/>
      </c>
      <c r="D32" s="47">
        <f>IFERROR(IF(C32="","",ROUND(C32/'Getting Started'!C7,1)),"")</f>
        <v/>
      </c>
      <c r="E32" s="48">
        <f>IFERROR(IF(B32="","",TEXT('Getting Started'!C10+(B32/D32),"MMM D, YYYY")),"")</f>
        <v/>
      </c>
      <c r="F32" s="39" t="n"/>
      <c r="G32" s="49">
        <f>'Course Content'!H108</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Content'!I108="","",'Course Content'!I108),"")</f>
        <v/>
      </c>
    </row>
    <row r="42" ht="8" customHeight="1"/>
    <row r="43" ht="24" customHeight="1">
      <c r="A43" s="44" t="inlineStr">
        <is>
          <t xml:space="preserve">  READING</t>
        </is>
      </c>
      <c r="E43" s="45">
        <f>IFERROR(IF('Course Content'!E109="","← enter on Course Content tab",'Course Content'!E109),"")</f>
        <v/>
      </c>
    </row>
    <row r="44" ht="22" customHeight="1">
      <c r="B44" s="46">
        <f>'Course Content'!G109</f>
        <v/>
      </c>
      <c r="C44" s="47">
        <f>IFERROR(IF(B44="","",ROUND(B44/'Getting Started'!C15,1)),"")</f>
        <v/>
      </c>
      <c r="D44" s="47">
        <f>IFERROR(IF(C44="","",ROUND(C44/'Getting Started'!C7,1)),"")</f>
        <v/>
      </c>
      <c r="E44" s="48">
        <f>IFERROR(IF(B44="","",TEXT('Getting Started'!C10+(B44/D44),"MMM D, YYYY")),"")</f>
        <v/>
      </c>
      <c r="F44" s="39" t="n"/>
      <c r="G44" s="49">
        <f>'Course Content'!H109</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Content'!I109="","",'Course Content'!I109),"")</f>
        <v/>
      </c>
    </row>
    <row r="54" ht="8" customHeight="1"/>
    <row r="55" ht="24" customHeight="1">
      <c r="A55" s="44" t="inlineStr">
        <is>
          <t xml:space="preserve">  WRITING / COMPOSITION</t>
        </is>
      </c>
      <c r="E55" s="45">
        <f>IFERROR(IF('Course Content'!E110="","← enter on Course Content tab",'Course Content'!E110),"")</f>
        <v/>
      </c>
    </row>
    <row r="56" ht="22" customHeight="1">
      <c r="B56" s="46">
        <f>'Course Content'!G110</f>
        <v/>
      </c>
      <c r="C56" s="47">
        <f>IFERROR(IF(B56="","",ROUND(B56/'Getting Started'!C15,1)),"")</f>
        <v/>
      </c>
      <c r="D56" s="47">
        <f>IFERROR(IF(C56="","",ROUND(C56/'Getting Started'!C7,1)),"")</f>
        <v/>
      </c>
      <c r="E56" s="48">
        <f>IFERROR(IF(B56="","",TEXT('Getting Started'!C10+(B56/D56),"MMM D, YYYY")),"")</f>
        <v/>
      </c>
      <c r="F56" s="39" t="n"/>
      <c r="G56" s="49">
        <f>'Course Content'!H110</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Content'!I110="","",'Course Content'!I110),"")</f>
        <v/>
      </c>
    </row>
    <row r="66" ht="8" customHeight="1"/>
    <row r="67" ht="24" customHeight="1">
      <c r="A67" s="44" t="inlineStr">
        <is>
          <t xml:space="preserve">  SCIENCE</t>
        </is>
      </c>
      <c r="E67" s="45">
        <f>IFERROR(IF('Course Content'!E111="","← enter on Course Content tab",'Course Content'!E111),"")</f>
        <v/>
      </c>
    </row>
    <row r="68" ht="22" customHeight="1">
      <c r="B68" s="46">
        <f>'Course Content'!G111</f>
        <v/>
      </c>
      <c r="C68" s="47">
        <f>IFERROR(IF(B68="","",ROUND(B68/'Getting Started'!C15,1)),"")</f>
        <v/>
      </c>
      <c r="D68" s="47">
        <f>IFERROR(IF(C68="","",ROUND(C68/'Getting Started'!C7,1)),"")</f>
        <v/>
      </c>
      <c r="E68" s="48">
        <f>IFERROR(IF(B68="","",TEXT('Getting Started'!C10+(B68/D68),"MMM D, YYYY")),"")</f>
        <v/>
      </c>
      <c r="F68" s="39" t="n"/>
      <c r="G68" s="49">
        <f>'Course Content'!H111</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Content'!I111="","",'Course Content'!I111),"")</f>
        <v/>
      </c>
    </row>
    <row r="78" ht="8" customHeight="1"/>
    <row r="79" ht="24" customHeight="1">
      <c r="A79" s="44" t="inlineStr">
        <is>
          <t xml:space="preserve">  SOCIAL STUDIES / HISTORY</t>
        </is>
      </c>
      <c r="E79" s="45">
        <f>IFERROR(IF('Course Content'!E112="","← enter on Course Content tab",'Course Content'!E112),"")</f>
        <v/>
      </c>
    </row>
    <row r="80" ht="22" customHeight="1">
      <c r="B80" s="46">
        <f>'Course Content'!G112</f>
        <v/>
      </c>
      <c r="C80" s="47">
        <f>IFERROR(IF(B80="","",ROUND(B80/'Getting Started'!C15,1)),"")</f>
        <v/>
      </c>
      <c r="D80" s="47">
        <f>IFERROR(IF(C80="","",ROUND(C80/'Getting Started'!C7,1)),"")</f>
        <v/>
      </c>
      <c r="E80" s="48">
        <f>IFERROR(IF(B80="","",TEXT('Getting Started'!C10+(B80/D80),"MMM D, YYYY")),"")</f>
        <v/>
      </c>
      <c r="F80" s="39" t="n"/>
      <c r="G80" s="49">
        <f>'Course Content'!H112</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Content'!I112="","",'Course Content'!I112),"")</f>
        <v/>
      </c>
    </row>
    <row r="90" ht="8" customHeight="1"/>
    <row r="91" ht="24" customHeight="1">
      <c r="A91" s="44" t="inlineStr">
        <is>
          <t xml:space="preserve">  HEALTH</t>
        </is>
      </c>
      <c r="E91" s="45">
        <f>IFERROR(IF('Course Content'!E113="","← enter on Course Content tab",'Course Content'!E113),"")</f>
        <v/>
      </c>
    </row>
    <row r="92" ht="22" customHeight="1">
      <c r="B92" s="46">
        <f>'Course Content'!G113</f>
        <v/>
      </c>
      <c r="C92" s="47">
        <f>IFERROR(IF(B92="","",ROUND(B92/'Getting Started'!C15,1)),"")</f>
        <v/>
      </c>
      <c r="D92" s="47">
        <f>IFERROR(IF(C92="","",ROUND(C92/'Getting Started'!C7,1)),"")</f>
        <v/>
      </c>
      <c r="E92" s="48">
        <f>IFERROR(IF(B92="","",TEXT('Getting Started'!C10+(B92/D92),"MMM D, YYYY")),"")</f>
        <v/>
      </c>
      <c r="F92" s="39" t="n"/>
      <c r="G92" s="49">
        <f>'Course Content'!H113</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Content'!I113="","",'Course Content'!I113),"")</f>
        <v/>
      </c>
    </row>
    <row r="102" ht="8" customHeight="1"/>
    <row r="103" ht="24" customHeight="1">
      <c r="A103" s="44" t="inlineStr">
        <is>
          <t xml:space="preserve">  PHYSICAL EDUCATION</t>
        </is>
      </c>
      <c r="E103" s="45">
        <f>IFERROR(IF('Course Content'!E114="","← enter on Course Content tab",'Course Content'!E114),"")</f>
        <v/>
      </c>
    </row>
    <row r="104" ht="22" customHeight="1">
      <c r="B104" s="46">
        <f>'Course Content'!G114</f>
        <v/>
      </c>
      <c r="C104" s="47">
        <f>IFERROR(IF(B104="","",ROUND(B104/'Getting Started'!C15,1)),"")</f>
        <v/>
      </c>
      <c r="D104" s="47">
        <f>IFERROR(IF(C104="","",ROUND(C104/'Getting Started'!C7,1)),"")</f>
        <v/>
      </c>
      <c r="E104" s="48">
        <f>IFERROR(IF(B104="","",TEXT('Getting Started'!C10+(B104/D104),"MMM D, YYYY")),"")</f>
        <v/>
      </c>
      <c r="F104" s="39" t="n"/>
      <c r="G104" s="49">
        <f>'Course Content'!H114</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Content'!I114="","",'Course Content'!I114),"")</f>
        <v/>
      </c>
    </row>
    <row r="114" ht="8" customHeight="1"/>
    <row r="115" ht="24" customHeight="1">
      <c r="A115" s="44" t="inlineStr">
        <is>
          <t xml:space="preserve">  ART / MUSIC</t>
        </is>
      </c>
      <c r="E115" s="45">
        <f>IFERROR(IF('Course Content'!E115="","← enter on Course Content tab",'Course Content'!E115),"")</f>
        <v/>
      </c>
    </row>
    <row r="116" ht="22" customHeight="1">
      <c r="B116" s="46">
        <f>'Course Content'!G115</f>
        <v/>
      </c>
      <c r="C116" s="47">
        <f>IFERROR(IF(B116="","",ROUND(B116/'Getting Started'!C15,1)),"")</f>
        <v/>
      </c>
      <c r="D116" s="47">
        <f>IFERROR(IF(C116="","",ROUND(C116/'Getting Started'!C7,1)),"")</f>
        <v/>
      </c>
      <c r="E116" s="48">
        <f>IFERROR(IF(B116="","",TEXT('Getting Started'!C10+(B116/D116),"MMM D, YYYY")),"")</f>
        <v/>
      </c>
      <c r="F116" s="39" t="n"/>
      <c r="G116" s="49">
        <f>'Course Content'!H115</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Content'!I115="","",'Course Content'!I115),"")</f>
        <v/>
      </c>
    </row>
    <row r="126" ht="8" customHeight="1"/>
    <row r="127" ht="24" customHeight="1">
      <c r="A127" s="44">
        <f>IF('Course Content'!D116="","  ELECTIVE / OTHER 1","  "&amp;UPPER('Course Content'!D116))</f>
        <v/>
      </c>
      <c r="E127" s="45">
        <f>IFERROR(IF('Course Content'!E116="","← enter on Course Content tab",'Course Content'!E116),"")</f>
        <v/>
      </c>
    </row>
    <row r="128" ht="22" customHeight="1">
      <c r="B128" s="46">
        <f>'Course Content'!G116</f>
        <v/>
      </c>
      <c r="C128" s="47">
        <f>IFERROR(IF(B128="","",ROUND(B128/'Getting Started'!C15,1)),"")</f>
        <v/>
      </c>
      <c r="D128" s="47">
        <f>IFERROR(IF(C128="","",ROUND(C128/'Getting Started'!C7,1)),"")</f>
        <v/>
      </c>
      <c r="E128" s="48">
        <f>IFERROR(IF(B128="","",TEXT('Getting Started'!C10+(B128/D128),"MMM D, YYYY")),"")</f>
        <v/>
      </c>
      <c r="F128" s="39" t="n"/>
      <c r="G128" s="49">
        <f>'Course Content'!H116</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Content'!I116="","",'Course Content'!I116),"")</f>
        <v/>
      </c>
    </row>
    <row r="138" ht="8" customHeight="1"/>
    <row r="139" ht="24" customHeight="1">
      <c r="A139" s="44">
        <f>IF('Course Content'!D117="","  ELECTIVE / OTHER 2","  "&amp;UPPER('Course Content'!D117))</f>
        <v/>
      </c>
      <c r="E139" s="45">
        <f>IFERROR(IF('Course Content'!E117="","← enter on Course Content tab",'Course Content'!E117),"")</f>
        <v/>
      </c>
    </row>
    <row r="140" ht="22" customHeight="1">
      <c r="B140" s="46">
        <f>'Course Content'!G117</f>
        <v/>
      </c>
      <c r="C140" s="47">
        <f>IFERROR(IF(B140="","",ROUND(B140/'Getting Started'!C15,1)),"")</f>
        <v/>
      </c>
      <c r="D140" s="47">
        <f>IFERROR(IF(C140="","",ROUND(C140/'Getting Started'!C7,1)),"")</f>
        <v/>
      </c>
      <c r="E140" s="48">
        <f>IFERROR(IF(B140="","",TEXT('Getting Started'!C10+(B140/D140),"MMM D, YYYY")),"")</f>
        <v/>
      </c>
      <c r="F140" s="39" t="n"/>
      <c r="G140" s="49">
        <f>'Course Content'!H117</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Content'!I117="","",'Course Content'!I117),"")</f>
        <v/>
      </c>
    </row>
    <row r="150" ht="8" customHeight="1"/>
    <row r="151" ht="24" customHeight="1">
      <c r="A151" s="44">
        <f>IF('Course Content'!D118="","  ELECTIVE / OTHER 3","  "&amp;UPPER('Course Content'!D118))</f>
        <v/>
      </c>
      <c r="E151" s="45">
        <f>IFERROR(IF('Course Content'!E118="","← enter on Course Content tab",'Course Content'!E118),"")</f>
        <v/>
      </c>
    </row>
    <row r="152" ht="22" customHeight="1">
      <c r="B152" s="46">
        <f>'Course Content'!G118</f>
        <v/>
      </c>
      <c r="C152" s="47">
        <f>IFERROR(IF(B152="","",ROUND(B152/'Getting Started'!C15,1)),"")</f>
        <v/>
      </c>
      <c r="D152" s="47">
        <f>IFERROR(IF(C152="","",ROUND(C152/'Getting Started'!C7,1)),"")</f>
        <v/>
      </c>
      <c r="E152" s="48">
        <f>IFERROR(IF(B152="","",TEXT('Getting Started'!C10+(B152/D152),"MMM D, YYYY")),"")</f>
        <v/>
      </c>
      <c r="F152" s="39" t="n"/>
      <c r="G152" s="49">
        <f>'Course Content'!H118</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Content'!I118="","",'Course Content'!I118),"")</f>
        <v/>
      </c>
    </row>
    <row r="162" ht="8" customHeight="1"/>
    <row r="163" ht="24" customHeight="1">
      <c r="A163" s="44">
        <f>IF('Course Content'!D119="","  ELECTIVE / OTHER 4","  "&amp;UPPER('Course Content'!D119))</f>
        <v/>
      </c>
      <c r="E163" s="45">
        <f>IFERROR(IF('Course Content'!E119="","← enter on Course Content tab",'Course Content'!E119),"")</f>
        <v/>
      </c>
    </row>
    <row r="164" ht="22" customHeight="1">
      <c r="B164" s="46">
        <f>'Course Content'!G119</f>
        <v/>
      </c>
      <c r="C164" s="47">
        <f>IFERROR(IF(B164="","",ROUND(B164/'Getting Started'!C15,1)),"")</f>
        <v/>
      </c>
      <c r="D164" s="47">
        <f>IFERROR(IF(C164="","",ROUND(C164/'Getting Started'!C7,1)),"")</f>
        <v/>
      </c>
      <c r="E164" s="48">
        <f>IFERROR(IF(B164="","",TEXT('Getting Started'!C10+(B164/D164),"MMM D, YYYY")),"")</f>
        <v/>
      </c>
      <c r="F164" s="39" t="n"/>
      <c r="G164" s="49">
        <f>'Course Content'!H119</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Content'!I119="","",'Course Content'!I119),"")</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1.xml><?xml version="1.0" encoding="utf-8"?>
<worksheet xmlns="http://schemas.openxmlformats.org/spreadsheetml/2006/main">
  <sheetPr>
    <tabColor rgb="008A6B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Started'!B37="","Student 9",'Getting Started'!B37)</f>
        <v/>
      </c>
    </row>
    <row r="2" ht="22" customHeight="1">
      <c r="A2" s="37">
        <f>IFERROR("Grade: "&amp;'Getting Started'!F37&amp;"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Content'!E120="","← enter on Course Content tab",'Course Content'!E120),"")</f>
        <v/>
      </c>
    </row>
    <row r="8" ht="22" customHeight="1">
      <c r="B8" s="46">
        <f>'Course Content'!G120</f>
        <v/>
      </c>
      <c r="C8" s="47">
        <f>IFERROR(IF(B8="","",ROUND(B8/'Getting Started'!C15,1)),"")</f>
        <v/>
      </c>
      <c r="D8" s="47">
        <f>IFERROR(IF(C8="","",ROUND(C8/'Getting Started'!C7,1)),"")</f>
        <v/>
      </c>
      <c r="E8" s="48">
        <f>IFERROR(IF(B8="","",TEXT('Getting Started'!C10+(B8/D8),"MMM D, YYYY")),"")</f>
        <v/>
      </c>
      <c r="F8" s="39" t="n"/>
      <c r="G8" s="49">
        <f>'Course Content'!H120</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Content'!I120="","",'Course Content'!I120),"")</f>
        <v/>
      </c>
    </row>
    <row r="18" ht="8" customHeight="1"/>
    <row r="19" ht="24" customHeight="1">
      <c r="A19" s="44" t="inlineStr">
        <is>
          <t xml:space="preserve">  MATH</t>
        </is>
      </c>
      <c r="E19" s="45">
        <f>IFERROR(IF('Course Content'!E121="","← enter on Course Content tab",'Course Content'!E121),"")</f>
        <v/>
      </c>
    </row>
    <row r="20" ht="22" customHeight="1">
      <c r="B20" s="46">
        <f>'Course Content'!G121</f>
        <v/>
      </c>
      <c r="C20" s="47">
        <f>IFERROR(IF(B20="","",ROUND(B20/'Getting Started'!C15,1)),"")</f>
        <v/>
      </c>
      <c r="D20" s="47">
        <f>IFERROR(IF(C20="","",ROUND(C20/'Getting Started'!C7,1)),"")</f>
        <v/>
      </c>
      <c r="E20" s="48">
        <f>IFERROR(IF(B20="","",TEXT('Getting Started'!C10+(B20/D20),"MMM D, YYYY")),"")</f>
        <v/>
      </c>
      <c r="F20" s="39" t="n"/>
      <c r="G20" s="49">
        <f>'Course Content'!H121</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Content'!I121="","",'Course Content'!I121),"")</f>
        <v/>
      </c>
    </row>
    <row r="30" ht="8" customHeight="1"/>
    <row r="31" ht="24" customHeight="1">
      <c r="A31" s="44" t="inlineStr">
        <is>
          <t xml:space="preserve">  ENGLISH / LANGUAGE ARTS</t>
        </is>
      </c>
      <c r="E31" s="45">
        <f>IFERROR(IF('Course Content'!E122="","← enter on Course Content tab",'Course Content'!E122),"")</f>
        <v/>
      </c>
    </row>
    <row r="32" ht="22" customHeight="1">
      <c r="B32" s="46">
        <f>'Course Content'!G122</f>
        <v/>
      </c>
      <c r="C32" s="47">
        <f>IFERROR(IF(B32="","",ROUND(B32/'Getting Started'!C15,1)),"")</f>
        <v/>
      </c>
      <c r="D32" s="47">
        <f>IFERROR(IF(C32="","",ROUND(C32/'Getting Started'!C7,1)),"")</f>
        <v/>
      </c>
      <c r="E32" s="48">
        <f>IFERROR(IF(B32="","",TEXT('Getting Started'!C10+(B32/D32),"MMM D, YYYY")),"")</f>
        <v/>
      </c>
      <c r="F32" s="39" t="n"/>
      <c r="G32" s="49">
        <f>'Course Content'!H122</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Content'!I122="","",'Course Content'!I122),"")</f>
        <v/>
      </c>
    </row>
    <row r="42" ht="8" customHeight="1"/>
    <row r="43" ht="24" customHeight="1">
      <c r="A43" s="44" t="inlineStr">
        <is>
          <t xml:space="preserve">  READING</t>
        </is>
      </c>
      <c r="E43" s="45">
        <f>IFERROR(IF('Course Content'!E123="","← enter on Course Content tab",'Course Content'!E123),"")</f>
        <v/>
      </c>
    </row>
    <row r="44" ht="22" customHeight="1">
      <c r="B44" s="46">
        <f>'Course Content'!G123</f>
        <v/>
      </c>
      <c r="C44" s="47">
        <f>IFERROR(IF(B44="","",ROUND(B44/'Getting Started'!C15,1)),"")</f>
        <v/>
      </c>
      <c r="D44" s="47">
        <f>IFERROR(IF(C44="","",ROUND(C44/'Getting Started'!C7,1)),"")</f>
        <v/>
      </c>
      <c r="E44" s="48">
        <f>IFERROR(IF(B44="","",TEXT('Getting Started'!C10+(B44/D44),"MMM D, YYYY")),"")</f>
        <v/>
      </c>
      <c r="F44" s="39" t="n"/>
      <c r="G44" s="49">
        <f>'Course Content'!H123</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Content'!I123="","",'Course Content'!I123),"")</f>
        <v/>
      </c>
    </row>
    <row r="54" ht="8" customHeight="1"/>
    <row r="55" ht="24" customHeight="1">
      <c r="A55" s="44" t="inlineStr">
        <is>
          <t xml:space="preserve">  WRITING / COMPOSITION</t>
        </is>
      </c>
      <c r="E55" s="45">
        <f>IFERROR(IF('Course Content'!E124="","← enter on Course Content tab",'Course Content'!E124),"")</f>
        <v/>
      </c>
    </row>
    <row r="56" ht="22" customHeight="1">
      <c r="B56" s="46">
        <f>'Course Content'!G124</f>
        <v/>
      </c>
      <c r="C56" s="47">
        <f>IFERROR(IF(B56="","",ROUND(B56/'Getting Started'!C15,1)),"")</f>
        <v/>
      </c>
      <c r="D56" s="47">
        <f>IFERROR(IF(C56="","",ROUND(C56/'Getting Started'!C7,1)),"")</f>
        <v/>
      </c>
      <c r="E56" s="48">
        <f>IFERROR(IF(B56="","",TEXT('Getting Started'!C10+(B56/D56),"MMM D, YYYY")),"")</f>
        <v/>
      </c>
      <c r="F56" s="39" t="n"/>
      <c r="G56" s="49">
        <f>'Course Content'!H124</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Content'!I124="","",'Course Content'!I124),"")</f>
        <v/>
      </c>
    </row>
    <row r="66" ht="8" customHeight="1"/>
    <row r="67" ht="24" customHeight="1">
      <c r="A67" s="44" t="inlineStr">
        <is>
          <t xml:space="preserve">  SCIENCE</t>
        </is>
      </c>
      <c r="E67" s="45">
        <f>IFERROR(IF('Course Content'!E125="","← enter on Course Content tab",'Course Content'!E125),"")</f>
        <v/>
      </c>
    </row>
    <row r="68" ht="22" customHeight="1">
      <c r="B68" s="46">
        <f>'Course Content'!G125</f>
        <v/>
      </c>
      <c r="C68" s="47">
        <f>IFERROR(IF(B68="","",ROUND(B68/'Getting Started'!C15,1)),"")</f>
        <v/>
      </c>
      <c r="D68" s="47">
        <f>IFERROR(IF(C68="","",ROUND(C68/'Getting Started'!C7,1)),"")</f>
        <v/>
      </c>
      <c r="E68" s="48">
        <f>IFERROR(IF(B68="","",TEXT('Getting Started'!C10+(B68/D68),"MMM D, YYYY")),"")</f>
        <v/>
      </c>
      <c r="F68" s="39" t="n"/>
      <c r="G68" s="49">
        <f>'Course Content'!H125</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Content'!I125="","",'Course Content'!I125),"")</f>
        <v/>
      </c>
    </row>
    <row r="78" ht="8" customHeight="1"/>
    <row r="79" ht="24" customHeight="1">
      <c r="A79" s="44" t="inlineStr">
        <is>
          <t xml:space="preserve">  SOCIAL STUDIES / HISTORY</t>
        </is>
      </c>
      <c r="E79" s="45">
        <f>IFERROR(IF('Course Content'!E126="","← enter on Course Content tab",'Course Content'!E126),"")</f>
        <v/>
      </c>
    </row>
    <row r="80" ht="22" customHeight="1">
      <c r="B80" s="46">
        <f>'Course Content'!G126</f>
        <v/>
      </c>
      <c r="C80" s="47">
        <f>IFERROR(IF(B80="","",ROUND(B80/'Getting Started'!C15,1)),"")</f>
        <v/>
      </c>
      <c r="D80" s="47">
        <f>IFERROR(IF(C80="","",ROUND(C80/'Getting Started'!C7,1)),"")</f>
        <v/>
      </c>
      <c r="E80" s="48">
        <f>IFERROR(IF(B80="","",TEXT('Getting Started'!C10+(B80/D80),"MMM D, YYYY")),"")</f>
        <v/>
      </c>
      <c r="F80" s="39" t="n"/>
      <c r="G80" s="49">
        <f>'Course Content'!H126</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Content'!I126="","",'Course Content'!I126),"")</f>
        <v/>
      </c>
    </row>
    <row r="90" ht="8" customHeight="1"/>
    <row r="91" ht="24" customHeight="1">
      <c r="A91" s="44" t="inlineStr">
        <is>
          <t xml:space="preserve">  HEALTH</t>
        </is>
      </c>
      <c r="E91" s="45">
        <f>IFERROR(IF('Course Content'!E127="","← enter on Course Content tab",'Course Content'!E127),"")</f>
        <v/>
      </c>
    </row>
    <row r="92" ht="22" customHeight="1">
      <c r="B92" s="46">
        <f>'Course Content'!G127</f>
        <v/>
      </c>
      <c r="C92" s="47">
        <f>IFERROR(IF(B92="","",ROUND(B92/'Getting Started'!C15,1)),"")</f>
        <v/>
      </c>
      <c r="D92" s="47">
        <f>IFERROR(IF(C92="","",ROUND(C92/'Getting Started'!C7,1)),"")</f>
        <v/>
      </c>
      <c r="E92" s="48">
        <f>IFERROR(IF(B92="","",TEXT('Getting Started'!C10+(B92/D92),"MMM D, YYYY")),"")</f>
        <v/>
      </c>
      <c r="F92" s="39" t="n"/>
      <c r="G92" s="49">
        <f>'Course Content'!H127</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Content'!I127="","",'Course Content'!I127),"")</f>
        <v/>
      </c>
    </row>
    <row r="102" ht="8" customHeight="1"/>
    <row r="103" ht="24" customHeight="1">
      <c r="A103" s="44" t="inlineStr">
        <is>
          <t xml:space="preserve">  PHYSICAL EDUCATION</t>
        </is>
      </c>
      <c r="E103" s="45">
        <f>IFERROR(IF('Course Content'!E128="","← enter on Course Content tab",'Course Content'!E128),"")</f>
        <v/>
      </c>
    </row>
    <row r="104" ht="22" customHeight="1">
      <c r="B104" s="46">
        <f>'Course Content'!G128</f>
        <v/>
      </c>
      <c r="C104" s="47">
        <f>IFERROR(IF(B104="","",ROUND(B104/'Getting Started'!C15,1)),"")</f>
        <v/>
      </c>
      <c r="D104" s="47">
        <f>IFERROR(IF(C104="","",ROUND(C104/'Getting Started'!C7,1)),"")</f>
        <v/>
      </c>
      <c r="E104" s="48">
        <f>IFERROR(IF(B104="","",TEXT('Getting Started'!C10+(B104/D104),"MMM D, YYYY")),"")</f>
        <v/>
      </c>
      <c r="F104" s="39" t="n"/>
      <c r="G104" s="49">
        <f>'Course Content'!H128</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Content'!I128="","",'Course Content'!I128),"")</f>
        <v/>
      </c>
    </row>
    <row r="114" ht="8" customHeight="1"/>
    <row r="115" ht="24" customHeight="1">
      <c r="A115" s="44" t="inlineStr">
        <is>
          <t xml:space="preserve">  ART / MUSIC</t>
        </is>
      </c>
      <c r="E115" s="45">
        <f>IFERROR(IF('Course Content'!E129="","← enter on Course Content tab",'Course Content'!E129),"")</f>
        <v/>
      </c>
    </row>
    <row r="116" ht="22" customHeight="1">
      <c r="B116" s="46">
        <f>'Course Content'!G129</f>
        <v/>
      </c>
      <c r="C116" s="47">
        <f>IFERROR(IF(B116="","",ROUND(B116/'Getting Started'!C15,1)),"")</f>
        <v/>
      </c>
      <c r="D116" s="47">
        <f>IFERROR(IF(C116="","",ROUND(C116/'Getting Started'!C7,1)),"")</f>
        <v/>
      </c>
      <c r="E116" s="48">
        <f>IFERROR(IF(B116="","",TEXT('Getting Started'!C10+(B116/D116),"MMM D, YYYY")),"")</f>
        <v/>
      </c>
      <c r="F116" s="39" t="n"/>
      <c r="G116" s="49">
        <f>'Course Content'!H129</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Content'!I129="","",'Course Content'!I129),"")</f>
        <v/>
      </c>
    </row>
    <row r="126" ht="8" customHeight="1"/>
    <row r="127" ht="24" customHeight="1">
      <c r="A127" s="44">
        <f>IF('Course Content'!D130="","  ELECTIVE / OTHER 1","  "&amp;UPPER('Course Content'!D130))</f>
        <v/>
      </c>
      <c r="E127" s="45">
        <f>IFERROR(IF('Course Content'!E130="","← enter on Course Content tab",'Course Content'!E130),"")</f>
        <v/>
      </c>
    </row>
    <row r="128" ht="22" customHeight="1">
      <c r="B128" s="46">
        <f>'Course Content'!G130</f>
        <v/>
      </c>
      <c r="C128" s="47">
        <f>IFERROR(IF(B128="","",ROUND(B128/'Getting Started'!C15,1)),"")</f>
        <v/>
      </c>
      <c r="D128" s="47">
        <f>IFERROR(IF(C128="","",ROUND(C128/'Getting Started'!C7,1)),"")</f>
        <v/>
      </c>
      <c r="E128" s="48">
        <f>IFERROR(IF(B128="","",TEXT('Getting Started'!C10+(B128/D128),"MMM D, YYYY")),"")</f>
        <v/>
      </c>
      <c r="F128" s="39" t="n"/>
      <c r="G128" s="49">
        <f>'Course Content'!H130</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Content'!I130="","",'Course Content'!I130),"")</f>
        <v/>
      </c>
    </row>
    <row r="138" ht="8" customHeight="1"/>
    <row r="139" ht="24" customHeight="1">
      <c r="A139" s="44">
        <f>IF('Course Content'!D131="","  ELECTIVE / OTHER 2","  "&amp;UPPER('Course Content'!D131))</f>
        <v/>
      </c>
      <c r="E139" s="45">
        <f>IFERROR(IF('Course Content'!E131="","← enter on Course Content tab",'Course Content'!E131),"")</f>
        <v/>
      </c>
    </row>
    <row r="140" ht="22" customHeight="1">
      <c r="B140" s="46">
        <f>'Course Content'!G131</f>
        <v/>
      </c>
      <c r="C140" s="47">
        <f>IFERROR(IF(B140="","",ROUND(B140/'Getting Started'!C15,1)),"")</f>
        <v/>
      </c>
      <c r="D140" s="47">
        <f>IFERROR(IF(C140="","",ROUND(C140/'Getting Started'!C7,1)),"")</f>
        <v/>
      </c>
      <c r="E140" s="48">
        <f>IFERROR(IF(B140="","",TEXT('Getting Started'!C10+(B140/D140),"MMM D, YYYY")),"")</f>
        <v/>
      </c>
      <c r="F140" s="39" t="n"/>
      <c r="G140" s="49">
        <f>'Course Content'!H131</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Content'!I131="","",'Course Content'!I131),"")</f>
        <v/>
      </c>
    </row>
    <row r="150" ht="8" customHeight="1"/>
    <row r="151" ht="24" customHeight="1">
      <c r="A151" s="44">
        <f>IF('Course Content'!D132="","  ELECTIVE / OTHER 3","  "&amp;UPPER('Course Content'!D132))</f>
        <v/>
      </c>
      <c r="E151" s="45">
        <f>IFERROR(IF('Course Content'!E132="","← enter on Course Content tab",'Course Content'!E132),"")</f>
        <v/>
      </c>
    </row>
    <row r="152" ht="22" customHeight="1">
      <c r="B152" s="46">
        <f>'Course Content'!G132</f>
        <v/>
      </c>
      <c r="C152" s="47">
        <f>IFERROR(IF(B152="","",ROUND(B152/'Getting Started'!C15,1)),"")</f>
        <v/>
      </c>
      <c r="D152" s="47">
        <f>IFERROR(IF(C152="","",ROUND(C152/'Getting Started'!C7,1)),"")</f>
        <v/>
      </c>
      <c r="E152" s="48">
        <f>IFERROR(IF(B152="","",TEXT('Getting Started'!C10+(B152/D152),"MMM D, YYYY")),"")</f>
        <v/>
      </c>
      <c r="F152" s="39" t="n"/>
      <c r="G152" s="49">
        <f>'Course Content'!H132</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Content'!I132="","",'Course Content'!I132),"")</f>
        <v/>
      </c>
    </row>
    <row r="162" ht="8" customHeight="1"/>
    <row r="163" ht="24" customHeight="1">
      <c r="A163" s="44">
        <f>IF('Course Content'!D133="","  ELECTIVE / OTHER 4","  "&amp;UPPER('Course Content'!D133))</f>
        <v/>
      </c>
      <c r="E163" s="45">
        <f>IFERROR(IF('Course Content'!E133="","← enter on Course Content tab",'Course Content'!E133),"")</f>
        <v/>
      </c>
    </row>
    <row r="164" ht="22" customHeight="1">
      <c r="B164" s="46">
        <f>'Course Content'!G133</f>
        <v/>
      </c>
      <c r="C164" s="47">
        <f>IFERROR(IF(B164="","",ROUND(B164/'Getting Started'!C15,1)),"")</f>
        <v/>
      </c>
      <c r="D164" s="47">
        <f>IFERROR(IF(C164="","",ROUND(C164/'Getting Started'!C7,1)),"")</f>
        <v/>
      </c>
      <c r="E164" s="48">
        <f>IFERROR(IF(B164="","",TEXT('Getting Started'!C10+(B164/D164),"MMM D, YYYY")),"")</f>
        <v/>
      </c>
      <c r="F164" s="39" t="n"/>
      <c r="G164" s="49">
        <f>'Course Content'!H133</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Content'!I133="","",'Course Content'!I133),"")</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2.xml><?xml version="1.0" encoding="utf-8"?>
<worksheet xmlns="http://schemas.openxmlformats.org/spreadsheetml/2006/main">
  <sheetPr>
    <tabColor rgb="007A8A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Started'!B38="","Student 10",'Getting Started'!B38)</f>
        <v/>
      </c>
    </row>
    <row r="2" ht="22" customHeight="1">
      <c r="A2" s="37">
        <f>IFERROR("Grade: "&amp;'Getting Started'!F38&amp;"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Content'!E134="","← enter on Course Content tab",'Course Content'!E134),"")</f>
        <v/>
      </c>
    </row>
    <row r="8" ht="22" customHeight="1">
      <c r="B8" s="46">
        <f>'Course Content'!G134</f>
        <v/>
      </c>
      <c r="C8" s="47">
        <f>IFERROR(IF(B8="","",ROUND(B8/'Getting Started'!C15,1)),"")</f>
        <v/>
      </c>
      <c r="D8" s="47">
        <f>IFERROR(IF(C8="","",ROUND(C8/'Getting Started'!C7,1)),"")</f>
        <v/>
      </c>
      <c r="E8" s="48">
        <f>IFERROR(IF(B8="","",TEXT('Getting Started'!C10+(B8/D8),"MMM D, YYYY")),"")</f>
        <v/>
      </c>
      <c r="F8" s="39" t="n"/>
      <c r="G8" s="49">
        <f>'Course Content'!H134</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Content'!I134="","",'Course Content'!I134),"")</f>
        <v/>
      </c>
    </row>
    <row r="18" ht="8" customHeight="1"/>
    <row r="19" ht="24" customHeight="1">
      <c r="A19" s="44" t="inlineStr">
        <is>
          <t xml:space="preserve">  MATH</t>
        </is>
      </c>
      <c r="E19" s="45">
        <f>IFERROR(IF('Course Content'!E135="","← enter on Course Content tab",'Course Content'!E135),"")</f>
        <v/>
      </c>
    </row>
    <row r="20" ht="22" customHeight="1">
      <c r="B20" s="46">
        <f>'Course Content'!G135</f>
        <v/>
      </c>
      <c r="C20" s="47">
        <f>IFERROR(IF(B20="","",ROUND(B20/'Getting Started'!C15,1)),"")</f>
        <v/>
      </c>
      <c r="D20" s="47">
        <f>IFERROR(IF(C20="","",ROUND(C20/'Getting Started'!C7,1)),"")</f>
        <v/>
      </c>
      <c r="E20" s="48">
        <f>IFERROR(IF(B20="","",TEXT('Getting Started'!C10+(B20/D20),"MMM D, YYYY")),"")</f>
        <v/>
      </c>
      <c r="F20" s="39" t="n"/>
      <c r="G20" s="49">
        <f>'Course Content'!H135</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Content'!I135="","",'Course Content'!I135),"")</f>
        <v/>
      </c>
    </row>
    <row r="30" ht="8" customHeight="1"/>
    <row r="31" ht="24" customHeight="1">
      <c r="A31" s="44" t="inlineStr">
        <is>
          <t xml:space="preserve">  ENGLISH / LANGUAGE ARTS</t>
        </is>
      </c>
      <c r="E31" s="45">
        <f>IFERROR(IF('Course Content'!E136="","← enter on Course Content tab",'Course Content'!E136),"")</f>
        <v/>
      </c>
    </row>
    <row r="32" ht="22" customHeight="1">
      <c r="B32" s="46">
        <f>'Course Content'!G136</f>
        <v/>
      </c>
      <c r="C32" s="47">
        <f>IFERROR(IF(B32="","",ROUND(B32/'Getting Started'!C15,1)),"")</f>
        <v/>
      </c>
      <c r="D32" s="47">
        <f>IFERROR(IF(C32="","",ROUND(C32/'Getting Started'!C7,1)),"")</f>
        <v/>
      </c>
      <c r="E32" s="48">
        <f>IFERROR(IF(B32="","",TEXT('Getting Started'!C10+(B32/D32),"MMM D, YYYY")),"")</f>
        <v/>
      </c>
      <c r="F32" s="39" t="n"/>
      <c r="G32" s="49">
        <f>'Course Content'!H136</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Content'!I136="","",'Course Content'!I136),"")</f>
        <v/>
      </c>
    </row>
    <row r="42" ht="8" customHeight="1"/>
    <row r="43" ht="24" customHeight="1">
      <c r="A43" s="44" t="inlineStr">
        <is>
          <t xml:space="preserve">  READING</t>
        </is>
      </c>
      <c r="E43" s="45">
        <f>IFERROR(IF('Course Content'!E137="","← enter on Course Content tab",'Course Content'!E137),"")</f>
        <v/>
      </c>
    </row>
    <row r="44" ht="22" customHeight="1">
      <c r="B44" s="46">
        <f>'Course Content'!G137</f>
        <v/>
      </c>
      <c r="C44" s="47">
        <f>IFERROR(IF(B44="","",ROUND(B44/'Getting Started'!C15,1)),"")</f>
        <v/>
      </c>
      <c r="D44" s="47">
        <f>IFERROR(IF(C44="","",ROUND(C44/'Getting Started'!C7,1)),"")</f>
        <v/>
      </c>
      <c r="E44" s="48">
        <f>IFERROR(IF(B44="","",TEXT('Getting Started'!C10+(B44/D44),"MMM D, YYYY")),"")</f>
        <v/>
      </c>
      <c r="F44" s="39" t="n"/>
      <c r="G44" s="49">
        <f>'Course Content'!H137</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Content'!I137="","",'Course Content'!I137),"")</f>
        <v/>
      </c>
    </row>
    <row r="54" ht="8" customHeight="1"/>
    <row r="55" ht="24" customHeight="1">
      <c r="A55" s="44" t="inlineStr">
        <is>
          <t xml:space="preserve">  WRITING / COMPOSITION</t>
        </is>
      </c>
      <c r="E55" s="45">
        <f>IFERROR(IF('Course Content'!E138="","← enter on Course Content tab",'Course Content'!E138),"")</f>
        <v/>
      </c>
    </row>
    <row r="56" ht="22" customHeight="1">
      <c r="B56" s="46">
        <f>'Course Content'!G138</f>
        <v/>
      </c>
      <c r="C56" s="47">
        <f>IFERROR(IF(B56="","",ROUND(B56/'Getting Started'!C15,1)),"")</f>
        <v/>
      </c>
      <c r="D56" s="47">
        <f>IFERROR(IF(C56="","",ROUND(C56/'Getting Started'!C7,1)),"")</f>
        <v/>
      </c>
      <c r="E56" s="48">
        <f>IFERROR(IF(B56="","",TEXT('Getting Started'!C10+(B56/D56),"MMM D, YYYY")),"")</f>
        <v/>
      </c>
      <c r="F56" s="39" t="n"/>
      <c r="G56" s="49">
        <f>'Course Content'!H138</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Content'!I138="","",'Course Content'!I138),"")</f>
        <v/>
      </c>
    </row>
    <row r="66" ht="8" customHeight="1"/>
    <row r="67" ht="24" customHeight="1">
      <c r="A67" s="44" t="inlineStr">
        <is>
          <t xml:space="preserve">  SCIENCE</t>
        </is>
      </c>
      <c r="E67" s="45">
        <f>IFERROR(IF('Course Content'!E139="","← enter on Course Content tab",'Course Content'!E139),"")</f>
        <v/>
      </c>
    </row>
    <row r="68" ht="22" customHeight="1">
      <c r="B68" s="46">
        <f>'Course Content'!G139</f>
        <v/>
      </c>
      <c r="C68" s="47">
        <f>IFERROR(IF(B68="","",ROUND(B68/'Getting Started'!C15,1)),"")</f>
        <v/>
      </c>
      <c r="D68" s="47">
        <f>IFERROR(IF(C68="","",ROUND(C68/'Getting Started'!C7,1)),"")</f>
        <v/>
      </c>
      <c r="E68" s="48">
        <f>IFERROR(IF(B68="","",TEXT('Getting Started'!C10+(B68/D68),"MMM D, YYYY")),"")</f>
        <v/>
      </c>
      <c r="F68" s="39" t="n"/>
      <c r="G68" s="49">
        <f>'Course Content'!H139</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Content'!I139="","",'Course Content'!I139),"")</f>
        <v/>
      </c>
    </row>
    <row r="78" ht="8" customHeight="1"/>
    <row r="79" ht="24" customHeight="1">
      <c r="A79" s="44" t="inlineStr">
        <is>
          <t xml:space="preserve">  SOCIAL STUDIES / HISTORY</t>
        </is>
      </c>
      <c r="E79" s="45">
        <f>IFERROR(IF('Course Content'!E140="","← enter on Course Content tab",'Course Content'!E140),"")</f>
        <v/>
      </c>
    </row>
    <row r="80" ht="22" customHeight="1">
      <c r="B80" s="46">
        <f>'Course Content'!G140</f>
        <v/>
      </c>
      <c r="C80" s="47">
        <f>IFERROR(IF(B80="","",ROUND(B80/'Getting Started'!C15,1)),"")</f>
        <v/>
      </c>
      <c r="D80" s="47">
        <f>IFERROR(IF(C80="","",ROUND(C80/'Getting Started'!C7,1)),"")</f>
        <v/>
      </c>
      <c r="E80" s="48">
        <f>IFERROR(IF(B80="","",TEXT('Getting Started'!C10+(B80/D80),"MMM D, YYYY")),"")</f>
        <v/>
      </c>
      <c r="F80" s="39" t="n"/>
      <c r="G80" s="49">
        <f>'Course Content'!H140</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Content'!I140="","",'Course Content'!I140),"")</f>
        <v/>
      </c>
    </row>
    <row r="90" ht="8" customHeight="1"/>
    <row r="91" ht="24" customHeight="1">
      <c r="A91" s="44" t="inlineStr">
        <is>
          <t xml:space="preserve">  HEALTH</t>
        </is>
      </c>
      <c r="E91" s="45">
        <f>IFERROR(IF('Course Content'!E141="","← enter on Course Content tab",'Course Content'!E141),"")</f>
        <v/>
      </c>
    </row>
    <row r="92" ht="22" customHeight="1">
      <c r="B92" s="46">
        <f>'Course Content'!G141</f>
        <v/>
      </c>
      <c r="C92" s="47">
        <f>IFERROR(IF(B92="","",ROUND(B92/'Getting Started'!C15,1)),"")</f>
        <v/>
      </c>
      <c r="D92" s="47">
        <f>IFERROR(IF(C92="","",ROUND(C92/'Getting Started'!C7,1)),"")</f>
        <v/>
      </c>
      <c r="E92" s="48">
        <f>IFERROR(IF(B92="","",TEXT('Getting Started'!C10+(B92/D92),"MMM D, YYYY")),"")</f>
        <v/>
      </c>
      <c r="F92" s="39" t="n"/>
      <c r="G92" s="49">
        <f>'Course Content'!H141</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Content'!I141="","",'Course Content'!I141),"")</f>
        <v/>
      </c>
    </row>
    <row r="102" ht="8" customHeight="1"/>
    <row r="103" ht="24" customHeight="1">
      <c r="A103" s="44" t="inlineStr">
        <is>
          <t xml:space="preserve">  PHYSICAL EDUCATION</t>
        </is>
      </c>
      <c r="E103" s="45">
        <f>IFERROR(IF('Course Content'!E142="","← enter on Course Content tab",'Course Content'!E142),"")</f>
        <v/>
      </c>
    </row>
    <row r="104" ht="22" customHeight="1">
      <c r="B104" s="46">
        <f>'Course Content'!G142</f>
        <v/>
      </c>
      <c r="C104" s="47">
        <f>IFERROR(IF(B104="","",ROUND(B104/'Getting Started'!C15,1)),"")</f>
        <v/>
      </c>
      <c r="D104" s="47">
        <f>IFERROR(IF(C104="","",ROUND(C104/'Getting Started'!C7,1)),"")</f>
        <v/>
      </c>
      <c r="E104" s="48">
        <f>IFERROR(IF(B104="","",TEXT('Getting Started'!C10+(B104/D104),"MMM D, YYYY")),"")</f>
        <v/>
      </c>
      <c r="F104" s="39" t="n"/>
      <c r="G104" s="49">
        <f>'Course Content'!H142</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Content'!I142="","",'Course Content'!I142),"")</f>
        <v/>
      </c>
    </row>
    <row r="114" ht="8" customHeight="1"/>
    <row r="115" ht="24" customHeight="1">
      <c r="A115" s="44" t="inlineStr">
        <is>
          <t xml:space="preserve">  ART / MUSIC</t>
        </is>
      </c>
      <c r="E115" s="45">
        <f>IFERROR(IF('Course Content'!E143="","← enter on Course Content tab",'Course Content'!E143),"")</f>
        <v/>
      </c>
    </row>
    <row r="116" ht="22" customHeight="1">
      <c r="B116" s="46">
        <f>'Course Content'!G143</f>
        <v/>
      </c>
      <c r="C116" s="47">
        <f>IFERROR(IF(B116="","",ROUND(B116/'Getting Started'!C15,1)),"")</f>
        <v/>
      </c>
      <c r="D116" s="47">
        <f>IFERROR(IF(C116="","",ROUND(C116/'Getting Started'!C7,1)),"")</f>
        <v/>
      </c>
      <c r="E116" s="48">
        <f>IFERROR(IF(B116="","",TEXT('Getting Started'!C10+(B116/D116),"MMM D, YYYY")),"")</f>
        <v/>
      </c>
      <c r="F116" s="39" t="n"/>
      <c r="G116" s="49">
        <f>'Course Content'!H143</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Content'!I143="","",'Course Content'!I143),"")</f>
        <v/>
      </c>
    </row>
    <row r="126" ht="8" customHeight="1"/>
    <row r="127" ht="24" customHeight="1">
      <c r="A127" s="44">
        <f>IF('Course Content'!D144="","  ELECTIVE / OTHER 1","  "&amp;UPPER('Course Content'!D144))</f>
        <v/>
      </c>
      <c r="E127" s="45">
        <f>IFERROR(IF('Course Content'!E144="","← enter on Course Content tab",'Course Content'!E144),"")</f>
        <v/>
      </c>
    </row>
    <row r="128" ht="22" customHeight="1">
      <c r="B128" s="46">
        <f>'Course Content'!G144</f>
        <v/>
      </c>
      <c r="C128" s="47">
        <f>IFERROR(IF(B128="","",ROUND(B128/'Getting Started'!C15,1)),"")</f>
        <v/>
      </c>
      <c r="D128" s="47">
        <f>IFERROR(IF(C128="","",ROUND(C128/'Getting Started'!C7,1)),"")</f>
        <v/>
      </c>
      <c r="E128" s="48">
        <f>IFERROR(IF(B128="","",TEXT('Getting Started'!C10+(B128/D128),"MMM D, YYYY")),"")</f>
        <v/>
      </c>
      <c r="F128" s="39" t="n"/>
      <c r="G128" s="49">
        <f>'Course Content'!H144</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Content'!I144="","",'Course Content'!I144),"")</f>
        <v/>
      </c>
    </row>
    <row r="138" ht="8" customHeight="1"/>
    <row r="139" ht="24" customHeight="1">
      <c r="A139" s="44">
        <f>IF('Course Content'!D145="","  ELECTIVE / OTHER 2","  "&amp;UPPER('Course Content'!D145))</f>
        <v/>
      </c>
      <c r="E139" s="45">
        <f>IFERROR(IF('Course Content'!E145="","← enter on Course Content tab",'Course Content'!E145),"")</f>
        <v/>
      </c>
    </row>
    <row r="140" ht="22" customHeight="1">
      <c r="B140" s="46">
        <f>'Course Content'!G145</f>
        <v/>
      </c>
      <c r="C140" s="47">
        <f>IFERROR(IF(B140="","",ROUND(B140/'Getting Started'!C15,1)),"")</f>
        <v/>
      </c>
      <c r="D140" s="47">
        <f>IFERROR(IF(C140="","",ROUND(C140/'Getting Started'!C7,1)),"")</f>
        <v/>
      </c>
      <c r="E140" s="48">
        <f>IFERROR(IF(B140="","",TEXT('Getting Started'!C10+(B140/D140),"MMM D, YYYY")),"")</f>
        <v/>
      </c>
      <c r="F140" s="39" t="n"/>
      <c r="G140" s="49">
        <f>'Course Content'!H145</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Content'!I145="","",'Course Content'!I145),"")</f>
        <v/>
      </c>
    </row>
    <row r="150" ht="8" customHeight="1"/>
    <row r="151" ht="24" customHeight="1">
      <c r="A151" s="44">
        <f>IF('Course Content'!D146="","  ELECTIVE / OTHER 3","  "&amp;UPPER('Course Content'!D146))</f>
        <v/>
      </c>
      <c r="E151" s="45">
        <f>IFERROR(IF('Course Content'!E146="","← enter on Course Content tab",'Course Content'!E146),"")</f>
        <v/>
      </c>
    </row>
    <row r="152" ht="22" customHeight="1">
      <c r="B152" s="46">
        <f>'Course Content'!G146</f>
        <v/>
      </c>
      <c r="C152" s="47">
        <f>IFERROR(IF(B152="","",ROUND(B152/'Getting Started'!C15,1)),"")</f>
        <v/>
      </c>
      <c r="D152" s="47">
        <f>IFERROR(IF(C152="","",ROUND(C152/'Getting Started'!C7,1)),"")</f>
        <v/>
      </c>
      <c r="E152" s="48">
        <f>IFERROR(IF(B152="","",TEXT('Getting Started'!C10+(B152/D152),"MMM D, YYYY")),"")</f>
        <v/>
      </c>
      <c r="F152" s="39" t="n"/>
      <c r="G152" s="49">
        <f>'Course Content'!H146</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Content'!I146="","",'Course Content'!I146),"")</f>
        <v/>
      </c>
    </row>
    <row r="162" ht="8" customHeight="1"/>
    <row r="163" ht="24" customHeight="1">
      <c r="A163" s="44">
        <f>IF('Course Content'!D147="","  ELECTIVE / OTHER 4","  "&amp;UPPER('Course Content'!D147))</f>
        <v/>
      </c>
      <c r="E163" s="45">
        <f>IFERROR(IF('Course Content'!E147="","← enter on Course Content tab",'Course Content'!E147),"")</f>
        <v/>
      </c>
    </row>
    <row r="164" ht="22" customHeight="1">
      <c r="B164" s="46">
        <f>'Course Content'!G147</f>
        <v/>
      </c>
      <c r="C164" s="47">
        <f>IFERROR(IF(B164="","",ROUND(B164/'Getting Started'!C15,1)),"")</f>
        <v/>
      </c>
      <c r="D164" s="47">
        <f>IFERROR(IF(C164="","",ROUND(C164/'Getting Started'!C7,1)),"")</f>
        <v/>
      </c>
      <c r="E164" s="48">
        <f>IFERROR(IF(B164="","",TEXT('Getting Started'!C10+(B164/D164),"MMM D, YYYY")),"")</f>
        <v/>
      </c>
      <c r="F164" s="39" t="n"/>
      <c r="G164" s="49">
        <f>'Course Content'!H147</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Content'!I147="","",'Course Content'!I147),"")</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2026-06-02T20:45:33Z</dcterms:created>
  <dcterms:modified xsi:type="dcterms:W3CDTF">2026-06-02T20:45:35Z</dcterms:modified>
</cp:coreProperties>
</file>