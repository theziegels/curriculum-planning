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etting Started" sheetId="1" state="visible" r:id="rId1"/>
    <sheet name="Course Content" sheetId="2" state="visible" r:id="rId2"/>
    <sheet name="Student 1" sheetId="3" state="visible" r:id="rId3"/>
  </sheets>
  <definedNames/>
  <calcPr calcId="124519" fullCalcOnLoad="1"/>
</workbook>
</file>

<file path=xl/styles.xml><?xml version="1.0" encoding="utf-8"?>
<styleSheet xmlns="http://schemas.openxmlformats.org/spreadsheetml/2006/main">
  <numFmts count="1">
    <numFmt numFmtId="164" formatCode="MM/DD/YYYY"/>
  </numFmts>
  <fonts count="26">
    <font>
      <name val="Calibri"/>
      <family val="2"/>
      <color theme="1"/>
      <sz val="11"/>
      <scheme val="minor"/>
    </font>
    <font>
      <name val="Calibri"/>
      <b val="1"/>
      <color rgb="00FFFFFF"/>
      <sz val="16"/>
    </font>
    <font>
      <name val="Calibri"/>
      <b val="1"/>
      <color rgb="006B5C55"/>
      <sz val="11"/>
    </font>
    <font>
      <name val="Calibri"/>
      <b val="1"/>
      <color rgb="006B5C55"/>
      <sz val="10"/>
    </font>
    <font>
      <name val="Calibri"/>
      <color rgb="003D3530"/>
      <sz val="10"/>
    </font>
    <font>
      <name val="Calibri"/>
      <b val="1"/>
      <color rgb="005C7A52"/>
      <sz val="10"/>
    </font>
    <font>
      <name val="Calibri"/>
      <i val="1"/>
      <color rgb="00A08878"/>
      <sz val="9"/>
    </font>
    <font>
      <name val="Calibri"/>
      <b val="1"/>
      <color rgb="00A08878"/>
      <sz val="10"/>
    </font>
    <font>
      <name val="Calibri"/>
      <b val="1"/>
      <color rgb="008A6A30"/>
      <sz val="10"/>
    </font>
    <font>
      <name val="Calibri"/>
      <b val="1"/>
      <color rgb="00CE8282"/>
      <sz val="10"/>
    </font>
    <font>
      <name val="Calibri"/>
      <b val="1"/>
      <color rgb="00FFFFFF"/>
      <sz val="10"/>
    </font>
    <font>
      <name val="Calibri"/>
      <color rgb="006B5C55"/>
      <sz val="10"/>
    </font>
    <font>
      <name val="Calibri"/>
      <b val="1"/>
      <color rgb="006B5C55"/>
      <sz val="9"/>
    </font>
    <font>
      <name val="Calibri"/>
      <b val="1"/>
      <color rgb="00FFFFFF"/>
      <sz val="12"/>
    </font>
    <font>
      <name val="Calibri"/>
      <i val="1"/>
      <color rgb="00A08878"/>
      <sz val="10"/>
    </font>
    <font>
      <name val="Calibri"/>
      <b val="1"/>
      <color rgb="00FFFFFF"/>
      <sz val="11"/>
    </font>
    <font>
      <name val="Calibri"/>
      <color rgb="00FFFFFF"/>
      <sz val="11"/>
    </font>
    <font>
      <name val="Calibri"/>
      <b val="1"/>
      <color rgb="005C7A52"/>
      <sz val="9"/>
    </font>
    <font>
      <name val="Calibri"/>
      <b val="1"/>
      <color rgb="00FAF8F6"/>
      <sz val="9"/>
    </font>
    <font>
      <name val="Calibri"/>
      <b val="1"/>
      <color rgb="008A6A30"/>
      <sz val="9"/>
    </font>
    <font>
      <name val="Calibri"/>
      <b val="1"/>
      <color rgb="006B5C55"/>
      <sz val="12"/>
    </font>
    <font>
      <name val="Calibri"/>
      <b val="1"/>
      <color rgb="005C7A52"/>
      <sz val="11"/>
    </font>
    <font>
      <name val="Calibri"/>
      <color rgb="005C7A52"/>
      <sz val="9"/>
    </font>
    <font>
      <name val="Calibri"/>
      <b val="1"/>
      <color rgb="008A6A30"/>
      <sz val="11"/>
    </font>
    <font>
      <name val="Calibri"/>
      <color rgb="008A6A30"/>
      <sz val="9"/>
    </font>
    <font>
      <name val="Calibri"/>
      <color rgb="006B5C55"/>
      <sz val="9"/>
    </font>
  </fonts>
  <fills count="23">
    <fill>
      <patternFill/>
    </fill>
    <fill>
      <patternFill patternType="gray125"/>
    </fill>
    <fill>
      <patternFill patternType="solid">
        <fgColor rgb="00CE8282"/>
        <bgColor rgb="00CE8282"/>
      </patternFill>
    </fill>
    <fill>
      <patternFill patternType="solid">
        <fgColor rgb="00EDE3DC"/>
        <bgColor rgb="00EDE3DC"/>
      </patternFill>
    </fill>
    <fill>
      <patternFill patternType="solid">
        <fgColor rgb="00FFFFFF"/>
        <bgColor rgb="00FFFFFF"/>
      </patternFill>
    </fill>
    <fill>
      <patternFill patternType="solid">
        <fgColor rgb="00EEF4EB"/>
        <bgColor rgb="00EEF4EB"/>
      </patternFill>
    </fill>
    <fill>
      <patternFill patternType="solid">
        <fgColor rgb="00F7F2EE"/>
        <bgColor rgb="00F7F2EE"/>
      </patternFill>
    </fill>
    <fill>
      <patternFill patternType="solid">
        <fgColor rgb="00F8F2E6"/>
        <bgColor rgb="00F8F2E6"/>
      </patternFill>
    </fill>
    <fill>
      <patternFill patternType="solid">
        <fgColor rgb="00FAF0F0"/>
        <bgColor rgb="00FAF0F0"/>
      </patternFill>
    </fill>
    <fill>
      <patternFill patternType="solid">
        <fgColor rgb="00FAF8F6"/>
        <bgColor rgb="00FAF8F6"/>
      </patternFill>
    </fill>
    <fill>
      <patternFill patternType="solid">
        <fgColor rgb="006B5C55"/>
        <bgColor rgb="006B5C55"/>
      </patternFill>
    </fill>
    <fill>
      <patternFill patternType="solid">
        <fgColor rgb="00F5EDE3"/>
        <bgColor rgb="00F5EDE3"/>
      </patternFill>
    </fill>
    <fill>
      <patternFill patternType="solid">
        <fgColor rgb="007A9E7E"/>
        <bgColor rgb="007A9E7E"/>
      </patternFill>
    </fill>
    <fill>
      <patternFill patternType="solid">
        <fgColor rgb="007AA0C4"/>
        <bgColor rgb="007AA0C4"/>
      </patternFill>
    </fill>
    <fill>
      <patternFill patternType="solid">
        <fgColor rgb="00C4A462"/>
        <bgColor rgb="00C4A462"/>
      </patternFill>
    </fill>
    <fill>
      <patternFill patternType="solid">
        <fgColor rgb="009B8EC4"/>
        <bgColor rgb="009B8EC4"/>
      </patternFill>
    </fill>
    <fill>
      <patternFill patternType="solid">
        <fgColor rgb="006AADA6"/>
        <bgColor rgb="006AADA6"/>
      </patternFill>
    </fill>
    <fill>
      <patternFill patternType="solid">
        <fgColor rgb="00C47A6A"/>
        <bgColor rgb="00C47A6A"/>
      </patternFill>
    </fill>
    <fill>
      <patternFill patternType="solid">
        <fgColor rgb="007A8EC4"/>
        <bgColor rgb="007A8EC4"/>
      </patternFill>
    </fill>
    <fill>
      <patternFill patternType="solid">
        <fgColor rgb="008FA87A"/>
        <bgColor rgb="008FA87A"/>
      </patternFill>
    </fill>
    <fill>
      <patternFill patternType="solid">
        <fgColor rgb="00A87A9E"/>
        <bgColor rgb="00A87A9E"/>
      </patternFill>
    </fill>
    <fill>
      <patternFill patternType="solid">
        <fgColor rgb="005C7A52"/>
        <bgColor rgb="005C7A52"/>
      </patternFill>
    </fill>
    <fill>
      <patternFill patternType="solid">
        <fgColor rgb="008A6A30"/>
        <bgColor rgb="008A6A30"/>
      </patternFill>
    </fill>
  </fills>
  <borders count="4">
    <border>
      <left/>
      <right/>
      <top/>
      <bottom/>
      <diagonal/>
    </border>
    <border>
      <left style="thin">
        <color rgb="00D4C4BB"/>
      </left>
      <right style="thin">
        <color rgb="00D4C4BB"/>
      </right>
      <top style="thin">
        <color rgb="00D4C4BB"/>
      </top>
      <bottom style="thin">
        <color rgb="00D4C4BB"/>
      </bottom>
    </border>
    <border>
      <left style="medium">
        <color rgb="00CE8282"/>
      </left>
      <right style="thin">
        <color rgb="00D4C4BB"/>
      </right>
      <top style="thin">
        <color rgb="00D4C4BB"/>
      </top>
      <bottom style="thin">
        <color rgb="00D4C4BB"/>
      </bottom>
    </border>
    <border>
      <bottom style="thin">
        <color rgb="00D4C4BB"/>
      </bottom>
    </border>
  </borders>
  <cellStyleXfs count="1">
    <xf numFmtId="0" fontId="0" fillId="0" borderId="0"/>
  </cellStyleXfs>
  <cellXfs count="64">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3" borderId="0" applyAlignment="1" pivotButton="0" quotePrefix="0" xfId="0">
      <alignment horizontal="center" vertical="center"/>
    </xf>
    <xf numFmtId="0" fontId="3" fillId="4" borderId="1" applyAlignment="1" pivotButton="0" quotePrefix="0" xfId="0">
      <alignment horizontal="left" vertical="center"/>
    </xf>
    <xf numFmtId="0" fontId="4" fillId="4" borderId="1" applyAlignment="1" pivotButton="0" quotePrefix="0" xfId="0">
      <alignment horizontal="left" vertical="center"/>
    </xf>
    <xf numFmtId="0" fontId="5" fillId="5" borderId="0" applyAlignment="1" pivotButton="0" quotePrefix="0" xfId="0">
      <alignment horizontal="center" vertical="center"/>
    </xf>
    <xf numFmtId="164" fontId="4" fillId="4" borderId="1" applyAlignment="1" pivotButton="0" quotePrefix="0" xfId="0">
      <alignment horizontal="left" vertical="center"/>
    </xf>
    <xf numFmtId="0" fontId="6" fillId="0" borderId="0" applyAlignment="1" pivotButton="0" quotePrefix="0" xfId="0">
      <alignment horizontal="left" vertical="center"/>
    </xf>
    <xf numFmtId="0" fontId="7" fillId="4" borderId="1" applyAlignment="1" pivotButton="0" quotePrefix="0" xfId="0">
      <alignment horizontal="left" vertical="center"/>
    </xf>
    <xf numFmtId="1" fontId="3" fillId="6" borderId="1" applyAlignment="1" pivotButton="0" quotePrefix="0" xfId="0">
      <alignment horizontal="left" vertical="center"/>
    </xf>
    <xf numFmtId="0" fontId="8" fillId="7" borderId="0" applyAlignment="1" pivotButton="0" quotePrefix="0" xfId="0">
      <alignment horizontal="center" vertical="center"/>
    </xf>
    <xf numFmtId="0" fontId="9" fillId="8" borderId="1" applyAlignment="1" pivotButton="0" quotePrefix="0" xfId="0">
      <alignment horizontal="left" vertical="center"/>
    </xf>
    <xf numFmtId="1" fontId="2" fillId="6" borderId="1" applyAlignment="1" pivotButton="0" quotePrefix="0" xfId="0">
      <alignment horizontal="left" vertical="center"/>
    </xf>
    <xf numFmtId="0" fontId="3" fillId="3" borderId="1" applyAlignment="1" pivotButton="0" quotePrefix="0" xfId="0">
      <alignment horizontal="center" vertical="center" wrapText="1"/>
    </xf>
    <xf numFmtId="0" fontId="10" fillId="2" borderId="1" applyAlignment="1" pivotButton="0" quotePrefix="0" xfId="0">
      <alignment horizontal="center" vertical="center"/>
    </xf>
    <xf numFmtId="1" fontId="4" fillId="4" borderId="1" applyAlignment="1" pivotButton="0" quotePrefix="0" xfId="0">
      <alignment horizontal="left" vertical="center"/>
    </xf>
    <xf numFmtId="0" fontId="3" fillId="6" borderId="1" applyAlignment="1" pivotButton="0" quotePrefix="0" xfId="0">
      <alignment horizontal="center" vertical="center"/>
    </xf>
    <xf numFmtId="0" fontId="4" fillId="9" borderId="1" applyAlignment="1" pivotButton="0" quotePrefix="0" xfId="0">
      <alignment horizontal="left" vertical="center"/>
    </xf>
    <xf numFmtId="164" fontId="4" fillId="9" borderId="1" applyAlignment="1" pivotButton="0" quotePrefix="0" xfId="0">
      <alignment horizontal="left" vertical="center"/>
    </xf>
    <xf numFmtId="1" fontId="4" fillId="9" borderId="1" applyAlignment="1" pivotButton="0" quotePrefix="0" xfId="0">
      <alignment horizontal="left" vertical="center"/>
    </xf>
    <xf numFmtId="0" fontId="11" fillId="4" borderId="0" applyAlignment="1" pivotButton="0" quotePrefix="0" xfId="0">
      <alignment horizontal="left" vertical="center"/>
    </xf>
    <xf numFmtId="0" fontId="11" fillId="9" borderId="0" applyAlignment="1" pivotButton="0" quotePrefix="0" xfId="0">
      <alignment horizontal="left" vertical="center"/>
    </xf>
    <xf numFmtId="0" fontId="6" fillId="9" borderId="0" applyAlignment="1" pivotButton="0" quotePrefix="0" xfId="0">
      <alignment horizontal="left" vertical="center"/>
    </xf>
    <xf numFmtId="0" fontId="12" fillId="3" borderId="1" applyAlignment="1" pivotButton="0" quotePrefix="0" xfId="0">
      <alignment horizontal="center" vertical="center"/>
    </xf>
    <xf numFmtId="0" fontId="12" fillId="5" borderId="1" applyAlignment="1" pivotButton="0" quotePrefix="0" xfId="0">
      <alignment horizontal="center" vertical="center"/>
    </xf>
    <xf numFmtId="0" fontId="0" fillId="9" borderId="0" pivotButton="0" quotePrefix="0" xfId="0"/>
    <xf numFmtId="0" fontId="12" fillId="7" borderId="1" applyAlignment="1" pivotButton="0" quotePrefix="0" xfId="0">
      <alignment horizontal="center" vertical="center"/>
    </xf>
    <xf numFmtId="0" fontId="12" fillId="5" borderId="1" applyAlignment="1" pivotButton="0" quotePrefix="0" xfId="0">
      <alignment horizontal="center" vertical="center" wrapText="1"/>
    </xf>
    <xf numFmtId="0" fontId="12" fillId="7" borderId="1" applyAlignment="1" pivotButton="0" quotePrefix="0" xfId="0">
      <alignment horizontal="center" vertical="center" wrapText="1"/>
    </xf>
    <xf numFmtId="0" fontId="13" fillId="10" borderId="1" applyAlignment="1" pivotButton="0" quotePrefix="0" xfId="0">
      <alignment horizontal="left" vertical="center"/>
    </xf>
    <xf numFmtId="0" fontId="3" fillId="11" borderId="2" applyAlignment="1" pivotButton="0" quotePrefix="0" xfId="0">
      <alignment horizontal="left" vertical="center"/>
    </xf>
    <xf numFmtId="0" fontId="4" fillId="9" borderId="1" applyAlignment="1" pivotButton="0" quotePrefix="0" xfId="0">
      <alignment horizontal="center" vertical="center"/>
    </xf>
    <xf numFmtId="0" fontId="4" fillId="4" borderId="1" applyAlignment="1" pivotButton="0" quotePrefix="0" xfId="0">
      <alignment horizontal="center" vertical="center"/>
    </xf>
    <xf numFmtId="0" fontId="14" fillId="4" borderId="2" applyAlignment="1" pivotButton="0" quotePrefix="0" xfId="0">
      <alignment horizontal="left" vertical="center"/>
    </xf>
    <xf numFmtId="0" fontId="15" fillId="2" borderId="1" applyAlignment="1" pivotButton="0" quotePrefix="0" xfId="0">
      <alignment horizontal="left" vertical="center"/>
    </xf>
    <xf numFmtId="0" fontId="15" fillId="12" borderId="1" applyAlignment="1" pivotButton="0" quotePrefix="0" xfId="0">
      <alignment horizontal="left" vertical="center"/>
    </xf>
    <xf numFmtId="0" fontId="15" fillId="13" borderId="1" applyAlignment="1" pivotButton="0" quotePrefix="0" xfId="0">
      <alignment horizontal="left" vertical="center"/>
    </xf>
    <xf numFmtId="0" fontId="15" fillId="14" borderId="1" applyAlignment="1" pivotButton="0" quotePrefix="0" xfId="0">
      <alignment horizontal="left" vertical="center"/>
    </xf>
    <xf numFmtId="0" fontId="15" fillId="15" borderId="1" applyAlignment="1" pivotButton="0" quotePrefix="0" xfId="0">
      <alignment horizontal="left" vertical="center"/>
    </xf>
    <xf numFmtId="0" fontId="15" fillId="16" borderId="1" applyAlignment="1" pivotButton="0" quotePrefix="0" xfId="0">
      <alignment horizontal="left" vertical="center"/>
    </xf>
    <xf numFmtId="0" fontId="15" fillId="17" borderId="1" applyAlignment="1" pivotButton="0" quotePrefix="0" xfId="0">
      <alignment horizontal="left" vertical="center"/>
    </xf>
    <xf numFmtId="0" fontId="15" fillId="18" borderId="1" applyAlignment="1" pivotButton="0" quotePrefix="0" xfId="0">
      <alignment horizontal="left" vertical="center"/>
    </xf>
    <xf numFmtId="0" fontId="15" fillId="19" borderId="1" applyAlignment="1" pivotButton="0" quotePrefix="0" xfId="0">
      <alignment horizontal="left" vertical="center"/>
    </xf>
    <xf numFmtId="0" fontId="15" fillId="20" borderId="1" applyAlignment="1" pivotButton="0" quotePrefix="0" xfId="0">
      <alignment horizontal="left" vertical="center"/>
    </xf>
    <xf numFmtId="0" fontId="16" fillId="10" borderId="0" applyAlignment="1" pivotButton="0" quotePrefix="0" xfId="0">
      <alignment horizontal="center" vertical="center"/>
    </xf>
    <xf numFmtId="0" fontId="10" fillId="21" borderId="1" applyAlignment="1" pivotButton="0" quotePrefix="0" xfId="0">
      <alignment horizontal="center" vertical="center"/>
    </xf>
    <xf numFmtId="0" fontId="10" fillId="22" borderId="1" applyAlignment="1" pivotButton="0" quotePrefix="0" xfId="0">
      <alignment horizontal="center" vertical="center"/>
    </xf>
    <xf numFmtId="0" fontId="12" fillId="3" borderId="1" applyAlignment="1" pivotButton="0" quotePrefix="0" xfId="0">
      <alignment horizontal="center" vertical="center" wrapText="1"/>
    </xf>
    <xf numFmtId="0" fontId="17" fillId="5" borderId="1" applyAlignment="1" pivotButton="0" quotePrefix="0" xfId="0">
      <alignment horizontal="center" vertical="center" wrapText="1"/>
    </xf>
    <xf numFmtId="0" fontId="18" fillId="9" borderId="1" applyAlignment="1" pivotButton="0" quotePrefix="0" xfId="0">
      <alignment horizontal="center" vertical="center" wrapText="1"/>
    </xf>
    <xf numFmtId="0" fontId="19" fillId="7" borderId="1" applyAlignment="1" pivotButton="0" quotePrefix="0" xfId="0">
      <alignment horizontal="center" vertical="center" wrapText="1"/>
    </xf>
    <xf numFmtId="0" fontId="20" fillId="11" borderId="2" applyAlignment="1" pivotButton="0" quotePrefix="0" xfId="0">
      <alignment horizontal="left" vertical="center"/>
    </xf>
    <xf numFmtId="0" fontId="2" fillId="6" borderId="1" applyAlignment="1" pivotButton="0" quotePrefix="0" xfId="0">
      <alignment horizontal="left" vertical="center"/>
    </xf>
    <xf numFmtId="0" fontId="21" fillId="5" borderId="1" applyAlignment="1" pivotButton="0" quotePrefix="0" xfId="0">
      <alignment horizontal="center" vertical="center"/>
    </xf>
    <xf numFmtId="0" fontId="5" fillId="5" borderId="1" applyAlignment="1" pivotButton="0" quotePrefix="0" xfId="0">
      <alignment horizontal="center" vertical="center"/>
    </xf>
    <xf numFmtId="0" fontId="22" fillId="5" borderId="1" applyAlignment="1" pivotButton="0" quotePrefix="0" xfId="0">
      <alignment horizontal="center" vertical="center"/>
    </xf>
    <xf numFmtId="0" fontId="23" fillId="7" borderId="1" applyAlignment="1" pivotButton="0" quotePrefix="0" xfId="0">
      <alignment horizontal="center" vertical="center"/>
    </xf>
    <xf numFmtId="0" fontId="8" fillId="7" borderId="1" applyAlignment="1" pivotButton="0" quotePrefix="0" xfId="0">
      <alignment horizontal="center" vertical="center"/>
    </xf>
    <xf numFmtId="0" fontId="24" fillId="7" borderId="1" applyAlignment="1" pivotButton="0" quotePrefix="0" xfId="0">
      <alignment horizontal="center" vertical="center"/>
    </xf>
    <xf numFmtId="0" fontId="6" fillId="9" borderId="3" applyAlignment="1" pivotButton="0" quotePrefix="0" xfId="0">
      <alignment horizontal="left" vertical="center"/>
    </xf>
    <xf numFmtId="0" fontId="3" fillId="3" borderId="1" applyAlignment="1" pivotButton="0" quotePrefix="0" xfId="0">
      <alignment horizontal="center" vertical="center"/>
    </xf>
    <xf numFmtId="0" fontId="25" fillId="6" borderId="1" applyAlignment="1" pivotButton="0" quotePrefix="0" xfId="0">
      <alignment horizontal="center" vertical="center"/>
    </xf>
    <xf numFmtId="0" fontId="6" fillId="4" borderId="3"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CE8282"/>
    <outlinePr summaryBelow="1" summaryRight="1"/>
    <pageSetUpPr/>
  </sheetPr>
  <dimension ref="A1:J44"/>
  <sheetViews>
    <sheetView workbookViewId="0">
      <selection activeCell="A1" sqref="A1"/>
    </sheetView>
  </sheetViews>
  <sheetFormatPr baseColWidth="8" defaultRowHeight="15"/>
  <cols>
    <col width="4" customWidth="1" min="1" max="1"/>
    <col width="28" customWidth="1" min="2" max="2"/>
    <col width="20" customWidth="1" min="3" max="3"/>
    <col width="14" customWidth="1" min="4" max="4"/>
    <col width="14" customWidth="1" min="5" max="5"/>
    <col width="14" customWidth="1" min="6" max="6"/>
    <col width="14" customWidth="1" min="7" max="7"/>
    <col width="20" customWidth="1" min="8" max="8"/>
    <col width="14" customWidth="1" min="9" max="9"/>
    <col width="14" customWidth="1" min="10" max="10"/>
  </cols>
  <sheetData>
    <row r="1" ht="44" customHeight="1">
      <c r="A1" s="1" t="inlineStr">
        <is>
          <t>Homeschool Curriculum Planner</t>
        </is>
      </c>
    </row>
    <row r="2" ht="22" customHeight="1">
      <c r="A2" s="2" t="inlineStr">
        <is>
          <t>Getting Started  ·  School &amp; Student Information</t>
        </is>
      </c>
    </row>
    <row r="3" ht="8" customHeight="1"/>
    <row r="4" ht="20" customHeight="1">
      <c r="B4" s="3" t="inlineStr">
        <is>
          <t>SCHOOL YEAR SETTINGS</t>
        </is>
      </c>
    </row>
    <row r="5" ht="20" customHeight="1">
      <c r="B5" s="4" t="inlineStr">
        <is>
          <t>School Name:</t>
        </is>
      </c>
      <c r="C5" s="5" t="inlineStr">
        <is>
          <t>Westfield Academy</t>
        </is>
      </c>
    </row>
    <row r="6" ht="20" customHeight="1">
      <c r="B6" s="4" t="inlineStr">
        <is>
          <t>School Year:</t>
        </is>
      </c>
      <c r="C6" s="5" t="inlineStr">
        <is>
          <t>2025-2026</t>
        </is>
      </c>
    </row>
    <row r="7" ht="20" customHeight="1">
      <c r="B7" s="4" t="inlineStr">
        <is>
          <t>School Days / Week:</t>
        </is>
      </c>
      <c r="C7" s="5" t="n">
        <v>5</v>
      </c>
    </row>
    <row r="8" ht="8" customHeight="1"/>
    <row r="9" ht="20" customHeight="1">
      <c r="B9" s="6" t="inlineStr">
        <is>
          <t>Semester 1  ·  September – December</t>
        </is>
      </c>
    </row>
    <row r="10" ht="20" customHeight="1">
      <c r="B10" s="4" t="inlineStr">
        <is>
          <t>Sem 1 Start Date:</t>
        </is>
      </c>
      <c r="C10" s="7" t="n"/>
      <c r="G10" s="8" t="inlineStr">
        <is>
          <t>← MM/DD/YYYY</t>
        </is>
      </c>
    </row>
    <row r="11" ht="20" customHeight="1">
      <c r="B11" s="4" t="inlineStr">
        <is>
          <t>Sem 1 End Date:</t>
        </is>
      </c>
      <c r="C11" s="7" t="n"/>
      <c r="G11" s="8" t="inlineStr">
        <is>
          <t>← MM/DD/YYYY</t>
        </is>
      </c>
    </row>
    <row r="12" ht="20" customHeight="1">
      <c r="B12" s="9" t="inlineStr">
        <is>
          <t>Sem 1 Break Start:</t>
        </is>
      </c>
      <c r="C12" s="7" t="n"/>
      <c r="G12" s="8" t="inlineStr">
        <is>
          <t>← optional  (e.g. Thanksgiving)</t>
        </is>
      </c>
    </row>
    <row r="13" ht="20" customHeight="1">
      <c r="B13" s="9" t="inlineStr">
        <is>
          <t>Sem 1 Break End:</t>
        </is>
      </c>
      <c r="C13" s="7" t="n"/>
      <c r="G13" s="8" t="inlineStr">
        <is>
          <t>← optional</t>
        </is>
      </c>
    </row>
    <row r="14" ht="20" customHeight="1">
      <c r="B14" s="4" t="inlineStr">
        <is>
          <t>Sem 1 Break Weeks:</t>
        </is>
      </c>
      <c r="C14" s="10">
        <f>IFERROR(IF(OR(C12="",C13=""),0,ROUNDDOWN((C13-C12)/7,0)),0)</f>
        <v/>
      </c>
      <c r="G14" s="8" t="inlineStr">
        <is>
          <t>← auto</t>
        </is>
      </c>
    </row>
    <row r="15" ht="20" customHeight="1">
      <c r="B15" s="4" t="inlineStr">
        <is>
          <t>Sem 1 School Weeks:</t>
        </is>
      </c>
      <c r="C15" s="10">
        <f>IFERROR(ROUNDDOWN((C11-C10)/7,0)-C14,"")</f>
        <v/>
      </c>
      <c r="G15" s="8" t="inlineStr">
        <is>
          <t>← auto  (total minus break)</t>
        </is>
      </c>
    </row>
    <row r="16" ht="8" customHeight="1"/>
    <row r="17" ht="20" customHeight="1">
      <c r="B17" s="11" t="inlineStr">
        <is>
          <t>Semester 2  ·  January – May</t>
        </is>
      </c>
    </row>
    <row r="18" ht="20" customHeight="1">
      <c r="B18" s="4" t="inlineStr">
        <is>
          <t>Sem 2 Start Date:</t>
        </is>
      </c>
      <c r="C18" s="7" t="n"/>
      <c r="G18" s="8" t="inlineStr">
        <is>
          <t>← MM/DD/YYYY</t>
        </is>
      </c>
    </row>
    <row r="19" ht="20" customHeight="1">
      <c r="B19" s="4" t="inlineStr">
        <is>
          <t>Sem 2 End Date:</t>
        </is>
      </c>
      <c r="C19" s="7" t="n"/>
      <c r="G19" s="8" t="inlineStr">
        <is>
          <t>← MM/DD/YYYY</t>
        </is>
      </c>
    </row>
    <row r="20" ht="20" customHeight="1">
      <c r="B20" s="9" t="inlineStr">
        <is>
          <t>Sem 2 Break Start:</t>
        </is>
      </c>
      <c r="C20" s="7" t="n"/>
      <c r="G20" s="8" t="inlineStr">
        <is>
          <t>← optional  (e.g. Spring / Easter)</t>
        </is>
      </c>
    </row>
    <row r="21" ht="20" customHeight="1">
      <c r="B21" s="9" t="inlineStr">
        <is>
          <t>Sem 2 Break End:</t>
        </is>
      </c>
      <c r="C21" s="7" t="n"/>
      <c r="G21" s="8" t="inlineStr">
        <is>
          <t>← optional</t>
        </is>
      </c>
    </row>
    <row r="22" ht="20" customHeight="1">
      <c r="B22" s="4" t="inlineStr">
        <is>
          <t>Sem 2 Break Weeks:</t>
        </is>
      </c>
      <c r="C22" s="10">
        <f>IFERROR(IF(OR(C20="",C21=""),0,ROUNDDOWN((C21-C20)/7,0)),0)</f>
        <v/>
      </c>
      <c r="G22" s="8" t="inlineStr">
        <is>
          <t>← auto</t>
        </is>
      </c>
    </row>
    <row r="23" ht="20" customHeight="1">
      <c r="B23" s="4" t="inlineStr">
        <is>
          <t>Sem 2 School Weeks:</t>
        </is>
      </c>
      <c r="C23" s="10">
        <f>IFERROR(ROUNDDOWN((C19-C18)/7,0)-C22,"")</f>
        <v/>
      </c>
      <c r="G23" s="8" t="inlineStr">
        <is>
          <t>← auto  (total minus break)</t>
        </is>
      </c>
    </row>
    <row r="24" ht="8" customHeight="1"/>
    <row r="25" ht="20" customHeight="1">
      <c r="B25" s="12" t="inlineStr">
        <is>
          <t>Total School Weeks:</t>
        </is>
      </c>
      <c r="C25" s="13">
        <f>IFERROR(C15+C23,"")</f>
        <v/>
      </c>
      <c r="G25" s="8" t="inlineStr">
        <is>
          <t>← Sem 1 + Sem 2 (breaks excluded)</t>
        </is>
      </c>
    </row>
    <row r="26" ht="8" customHeight="1"/>
    <row r="27" ht="20" customHeight="1">
      <c r="A27" s="3" t="inlineStr">
        <is>
          <t>STUDENT ROSTER</t>
        </is>
      </c>
    </row>
    <row r="28" ht="30" customHeight="1">
      <c r="A28" s="14" t="inlineStr">
        <is>
          <t>#</t>
        </is>
      </c>
      <c r="B28" s="14" t="inlineStr">
        <is>
          <t>Student Name</t>
        </is>
      </c>
      <c r="D28" s="14" t="inlineStr">
        <is>
          <t>Date of Birth</t>
        </is>
      </c>
      <c r="E28" s="14" t="inlineStr">
        <is>
          <t>Class of
(Grad Year)</t>
        </is>
      </c>
      <c r="F28" s="14" t="inlineStr">
        <is>
          <t>Grade
(Auto)</t>
        </is>
      </c>
      <c r="G28" s="14" t="inlineStr">
        <is>
          <t>Curriculum Notes</t>
        </is>
      </c>
    </row>
    <row r="29" ht="22" customHeight="1">
      <c r="A29" s="15" t="n">
        <v>1</v>
      </c>
      <c r="B29" s="5" t="n"/>
      <c r="D29" s="7" t="n"/>
      <c r="E29" s="16" t="n"/>
      <c r="F29" s="17">
        <f>IF(OR(B29="",E29=""),"",LET(yr,IF($C$19&lt;&gt;"",YEAR($C$19),IF($C$6&lt;&gt;"",VALUE(RIGHT($C$6,4)),YEAR(TODAY()))),g,12-(E29-yr),IF(g=11,"11th",IF(g=12,"12th",IF(g=1,"1st",IF(g=2,"2nd",IF(g=3,"3rd",g&amp;"th")))))))</f>
        <v/>
      </c>
      <c r="G29" s="5" t="n"/>
    </row>
    <row r="30" ht="22" customHeight="1">
      <c r="A30" s="15" t="n">
        <v>2</v>
      </c>
      <c r="B30" s="18" t="n"/>
      <c r="D30" s="19" t="n"/>
      <c r="E30" s="20" t="n"/>
      <c r="F30" s="17">
        <f>IF(OR(B30="",E30=""),"",LET(yr,IF($C$19&lt;&gt;"",YEAR($C$19),IF($C$6&lt;&gt;"",VALUE(RIGHT($C$6,4)),YEAR(TODAY()))),g,12-(E30-yr),IF(g=11,"11th",IF(g=12,"12th",IF(g=1,"1st",IF(g=2,"2nd",IF(g=3,"3rd",g&amp;"th")))))))</f>
        <v/>
      </c>
      <c r="G30" s="18" t="n"/>
    </row>
    <row r="31" ht="22" customHeight="1">
      <c r="A31" s="15" t="n">
        <v>3</v>
      </c>
      <c r="B31" s="5" t="n"/>
      <c r="D31" s="7" t="n"/>
      <c r="E31" s="16" t="n"/>
      <c r="F31" s="17">
        <f>IF(OR(B31="",E31=""),"",LET(yr,IF($C$19&lt;&gt;"",YEAR($C$19),IF($C$6&lt;&gt;"",VALUE(RIGHT($C$6,4)),YEAR(TODAY()))),g,12-(E31-yr),IF(g=11,"11th",IF(g=12,"12th",IF(g=1,"1st",IF(g=2,"2nd",IF(g=3,"3rd",g&amp;"th")))))))</f>
        <v/>
      </c>
      <c r="G31" s="5" t="n"/>
    </row>
    <row r="32" ht="22" customHeight="1">
      <c r="A32" s="15" t="n">
        <v>4</v>
      </c>
      <c r="B32" s="18" t="n"/>
      <c r="D32" s="19" t="n"/>
      <c r="E32" s="20" t="n"/>
      <c r="F32" s="17">
        <f>IF(OR(B32="",E32=""),"",LET(yr,IF($C$19&lt;&gt;"",YEAR($C$19),IF($C$6&lt;&gt;"",VALUE(RIGHT($C$6,4)),YEAR(TODAY()))),g,12-(E32-yr),IF(g=11,"11th",IF(g=12,"12th",IF(g=1,"1st",IF(g=2,"2nd",IF(g=3,"3rd",g&amp;"th")))))))</f>
        <v/>
      </c>
      <c r="G32" s="18" t="n"/>
    </row>
    <row r="33" ht="22" customHeight="1">
      <c r="A33" s="15" t="n">
        <v>5</v>
      </c>
      <c r="B33" s="5" t="n"/>
      <c r="D33" s="7" t="n"/>
      <c r="E33" s="16" t="n"/>
      <c r="F33" s="17">
        <f>IF(OR(B33="",E33=""),"",LET(yr,IF($C$19&lt;&gt;"",YEAR($C$19),IF($C$6&lt;&gt;"",VALUE(RIGHT($C$6,4)),YEAR(TODAY()))),g,12-(E33-yr),IF(g=11,"11th",IF(g=12,"12th",IF(g=1,"1st",IF(g=2,"2nd",IF(g=3,"3rd",g&amp;"th")))))))</f>
        <v/>
      </c>
      <c r="G33" s="5" t="n"/>
    </row>
    <row r="34" ht="22" customHeight="1">
      <c r="A34" s="15" t="n">
        <v>6</v>
      </c>
      <c r="B34" s="18" t="n"/>
      <c r="D34" s="19" t="n"/>
      <c r="E34" s="20" t="n"/>
      <c r="F34" s="17">
        <f>IF(OR(B34="",E34=""),"",LET(yr,IF($C$19&lt;&gt;"",YEAR($C$19),IF($C$6&lt;&gt;"",VALUE(RIGHT($C$6,4)),YEAR(TODAY()))),g,12-(E34-yr),IF(g=11,"11th",IF(g=12,"12th",IF(g=1,"1st",IF(g=2,"2nd",IF(g=3,"3rd",g&amp;"th")))))))</f>
        <v/>
      </c>
      <c r="G34" s="18" t="n"/>
    </row>
    <row r="35" ht="22" customHeight="1">
      <c r="A35" s="15" t="n">
        <v>7</v>
      </c>
      <c r="B35" s="5" t="n"/>
      <c r="D35" s="7" t="n"/>
      <c r="E35" s="16" t="n"/>
      <c r="F35" s="17">
        <f>IF(OR(B35="",E35=""),"",LET(yr,IF($C$19&lt;&gt;"",YEAR($C$19),IF($C$6&lt;&gt;"",VALUE(RIGHT($C$6,4)),YEAR(TODAY()))),g,12-(E35-yr),IF(g=11,"11th",IF(g=12,"12th",IF(g=1,"1st",IF(g=2,"2nd",IF(g=3,"3rd",g&amp;"th")))))))</f>
        <v/>
      </c>
      <c r="G35" s="5" t="n"/>
    </row>
    <row r="36" ht="22" customHeight="1">
      <c r="A36" s="15" t="n">
        <v>8</v>
      </c>
      <c r="B36" s="18" t="n"/>
      <c r="D36" s="19" t="n"/>
      <c r="E36" s="20" t="n"/>
      <c r="F36" s="17">
        <f>IF(OR(B36="",E36=""),"",LET(yr,IF($C$19&lt;&gt;"",YEAR($C$19),IF($C$6&lt;&gt;"",VALUE(RIGHT($C$6,4)),YEAR(TODAY()))),g,12-(E36-yr),IF(g=11,"11th",IF(g=12,"12th",IF(g=1,"1st",IF(g=2,"2nd",IF(g=3,"3rd",g&amp;"th")))))))</f>
        <v/>
      </c>
      <c r="G36" s="18" t="n"/>
    </row>
    <row r="37" ht="22" customHeight="1">
      <c r="A37" s="15" t="n">
        <v>9</v>
      </c>
      <c r="B37" s="5" t="n"/>
      <c r="D37" s="7" t="n"/>
      <c r="E37" s="16" t="n"/>
      <c r="F37" s="17">
        <f>IF(OR(B37="",E37=""),"",LET(yr,IF($C$19&lt;&gt;"",YEAR($C$19),IF($C$6&lt;&gt;"",VALUE(RIGHT($C$6,4)),YEAR(TODAY()))),g,12-(E37-yr),IF(g=11,"11th",IF(g=12,"12th",IF(g=1,"1st",IF(g=2,"2nd",IF(g=3,"3rd",g&amp;"th")))))))</f>
        <v/>
      </c>
      <c r="G37" s="5" t="n"/>
    </row>
    <row r="38" ht="22" customHeight="1">
      <c r="A38" s="15" t="n">
        <v>10</v>
      </c>
      <c r="B38" s="18" t="n"/>
      <c r="D38" s="19" t="n"/>
      <c r="E38" s="20" t="n"/>
      <c r="F38" s="17">
        <f>IF(OR(B38="",E38=""),"",LET(yr,IF($C$19&lt;&gt;"",YEAR($C$19),IF($C$6&lt;&gt;"",VALUE(RIGHT($C$6,4)),YEAR(TODAY()))),g,12-(E38-yr),IF(g=11,"11th",IF(g=12,"12th",IF(g=1,"1st",IF(g=2,"2nd",IF(g=3,"3rd",g&amp;"th")))))))</f>
        <v/>
      </c>
      <c r="G38" s="18" t="n"/>
    </row>
    <row r="39" ht="8" customHeight="1"/>
    <row r="40" ht="20" customHeight="1">
      <c r="A40" s="3" t="inlineStr">
        <is>
          <t>QUICK START GUIDE</t>
        </is>
      </c>
    </row>
    <row r="41" ht="18" customHeight="1">
      <c r="A41" s="21" t="inlineStr">
        <is>
          <t>1.  Set semester dates above (Sem 1 and Sem 2) — week counts auto-calculate.</t>
        </is>
      </c>
    </row>
    <row r="42" ht="18" customHeight="1">
      <c r="A42" s="22" t="inlineStr">
        <is>
          <t>2.  Enter each student's name, DOB, and graduation year — grade fills automatically.</t>
        </is>
      </c>
    </row>
    <row r="43" ht="18" customHeight="1">
      <c r="A43" s="21" t="inlineStr">
        <is>
          <t>3.  Go to the  Course Content  tab to assign curricula to each student.</t>
        </is>
      </c>
    </row>
    <row r="44" ht="18" customHeight="1">
      <c r="A44" s="22" t="inlineStr">
        <is>
          <t>4.  Each student's individual schedule tab will auto-populate from Course Content.</t>
        </is>
      </c>
    </row>
  </sheetData>
  <mergeCells count="62">
    <mergeCell ref="C23:F23"/>
    <mergeCell ref="G35:J35"/>
    <mergeCell ref="G20:J20"/>
    <mergeCell ref="A42:J42"/>
    <mergeCell ref="C7:F7"/>
    <mergeCell ref="B17:J17"/>
    <mergeCell ref="G29:J29"/>
    <mergeCell ref="A43:J43"/>
    <mergeCell ref="B31:C31"/>
    <mergeCell ref="G25:J25"/>
    <mergeCell ref="C19:F19"/>
    <mergeCell ref="G32:J32"/>
    <mergeCell ref="C13:F13"/>
    <mergeCell ref="A44:J44"/>
    <mergeCell ref="C18:F18"/>
    <mergeCell ref="G22:J22"/>
    <mergeCell ref="G31:J31"/>
    <mergeCell ref="A40:J40"/>
    <mergeCell ref="G12:J12"/>
    <mergeCell ref="C6:F6"/>
    <mergeCell ref="B9:J9"/>
    <mergeCell ref="G21:J21"/>
    <mergeCell ref="C15:F15"/>
    <mergeCell ref="G11:J11"/>
    <mergeCell ref="C5:F5"/>
    <mergeCell ref="C14:F14"/>
    <mergeCell ref="G36:J36"/>
    <mergeCell ref="A1:J1"/>
    <mergeCell ref="B38:C38"/>
    <mergeCell ref="B29:C29"/>
    <mergeCell ref="G23:J23"/>
    <mergeCell ref="G33:J33"/>
    <mergeCell ref="C20:F20"/>
    <mergeCell ref="B34:C34"/>
    <mergeCell ref="B37:C37"/>
    <mergeCell ref="B28:C28"/>
    <mergeCell ref="G38:J38"/>
    <mergeCell ref="B4:J4"/>
    <mergeCell ref="C25:F25"/>
    <mergeCell ref="C10:F10"/>
    <mergeCell ref="G19:J19"/>
    <mergeCell ref="G37:J37"/>
    <mergeCell ref="A41:J41"/>
    <mergeCell ref="G10:J10"/>
    <mergeCell ref="G28:J28"/>
    <mergeCell ref="C22:F22"/>
    <mergeCell ref="G13:J13"/>
    <mergeCell ref="B30:C30"/>
    <mergeCell ref="G18:J18"/>
    <mergeCell ref="B33:C33"/>
    <mergeCell ref="A27:J27"/>
    <mergeCell ref="C12:F12"/>
    <mergeCell ref="G34:J34"/>
    <mergeCell ref="C21:F21"/>
    <mergeCell ref="B36:C36"/>
    <mergeCell ref="G30:J30"/>
    <mergeCell ref="B32:C32"/>
    <mergeCell ref="C11:F11"/>
    <mergeCell ref="A2:J2"/>
    <mergeCell ref="G15:J15"/>
    <mergeCell ref="B35:C35"/>
    <mergeCell ref="G14:J14"/>
  </mergeCells>
  <dataValidations count="2">
    <dataValidation sqref="C10:F10 C11:F11 C12:F12 C13:F13" showDropDown="0" showInputMessage="0" showErrorMessage="0" allowBlank="0" type="date" operator="between">
      <formula1>DATE(2000,1,1)</formula1>
      <formula2>DATE(2099,12,31)</formula2>
    </dataValidation>
    <dataValidation sqref="C18:F18 C19:F19 C20:F20 C21:F21" showDropDown="0" showInputMessage="0" showErrorMessage="0" allowBlank="0" type="date" operator="between">
      <formula1>DATE(2000,1,1)</formula1>
      <formula2>DATE(2099,12,31)</formula2>
    </dataValidation>
  </dataValidations>
  <pageMargins left="0.75" right="0.75" top="1" bottom="1" header="0.5" footer="0.5"/>
</worksheet>
</file>

<file path=xl/worksheets/sheet2.xml><?xml version="1.0" encoding="utf-8"?>
<worksheet xmlns="http://schemas.openxmlformats.org/spreadsheetml/2006/main">
  <sheetPr>
    <tabColor rgb="006B5C55"/>
    <outlinePr summaryBelow="0" summaryRight="1"/>
    <pageSetUpPr/>
  </sheetPr>
  <dimension ref="A1:J181"/>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11" customWidth="1" min="3" max="3"/>
    <col width="9" customWidth="1" min="4" max="4"/>
    <col width="9" customWidth="1" min="5" max="5"/>
    <col width="3" customWidth="1" min="6" max="6"/>
    <col width="30" customWidth="1" min="7" max="7"/>
    <col width="11" customWidth="1" min="8" max="8"/>
    <col width="9" customWidth="1" min="9" max="9"/>
    <col width="9" customWidth="1" min="10" max="10"/>
  </cols>
  <sheetData>
    <row r="1" ht="40" customHeight="1">
      <c r="A1" s="1" t="inlineStr">
        <is>
          <t>Course Content  ·  Curriculum Planning Hub</t>
        </is>
      </c>
    </row>
    <row r="2" ht="20" customHeight="1">
      <c r="A2" s="3" t="inlineStr">
        <is>
          <t>Each subject has two curriculum slots.  Group Studies apply to all students.  Use the  ＋ / −  buttons on the left to expand or collapse each student.</t>
        </is>
      </c>
    </row>
    <row r="3" ht="8" customHeight="1"/>
    <row r="4" ht="16" customHeight="1">
      <c r="A4" s="23" t="inlineStr">
        <is>
          <t xml:space="preserve">  Tip: click the  −  button beside a student's name to collapse their rows.  Expand only the student you're currently planning for.</t>
        </is>
      </c>
    </row>
    <row r="5" ht="18" customHeight="1">
      <c r="A5" s="24" t="inlineStr">
        <is>
          <t>Subject</t>
        </is>
      </c>
      <c r="B5" s="25" t="inlineStr">
        <is>
          <t>── Curriculum Slot 1 ──</t>
        </is>
      </c>
      <c r="F5" s="26" t="n"/>
      <c r="G5" s="27" t="inlineStr">
        <is>
          <t>── Curriculum Slot 2 ──</t>
        </is>
      </c>
    </row>
    <row r="6" ht="24" customHeight="1">
      <c r="B6" s="28" t="inlineStr">
        <is>
          <t>Title / Book</t>
        </is>
      </c>
      <c r="C6" s="28" t="inlineStr">
        <is>
          <t>Unit
Type</t>
        </is>
      </c>
      <c r="D6" s="28" t="inlineStr">
        <is>
          <t>Sem 1
Units</t>
        </is>
      </c>
      <c r="E6" s="28" t="inlineStr">
        <is>
          <t>Sem 2
Units</t>
        </is>
      </c>
      <c r="F6" s="26" t="n"/>
      <c r="G6" s="29" t="inlineStr">
        <is>
          <t>Title / Book</t>
        </is>
      </c>
      <c r="H6" s="29" t="inlineStr">
        <is>
          <t>Unit
Type</t>
        </is>
      </c>
      <c r="I6" s="29" t="inlineStr">
        <is>
          <t>Sem 1
Units</t>
        </is>
      </c>
      <c r="J6" s="29" t="inlineStr">
        <is>
          <t>Sem 2
Units</t>
        </is>
      </c>
    </row>
    <row r="7" ht="26" customHeight="1">
      <c r="A7" s="30" t="inlineStr">
        <is>
          <t xml:space="preserve">  GROUP STUDIES  ·  Applies to All Students</t>
        </is>
      </c>
    </row>
    <row r="8" ht="20" customHeight="1">
      <c r="A8" s="31" t="inlineStr">
        <is>
          <t>Bible</t>
        </is>
      </c>
      <c r="B8" s="5" t="n"/>
      <c r="C8" s="32" t="inlineStr">
        <is>
          <t>pages</t>
        </is>
      </c>
      <c r="D8" s="32" t="n"/>
      <c r="E8" s="32" t="n"/>
      <c r="F8" s="26" t="n"/>
      <c r="G8" s="5" t="n"/>
      <c r="H8" s="32" t="inlineStr">
        <is>
          <t>pages</t>
        </is>
      </c>
      <c r="I8" s="32" t="n"/>
      <c r="J8" s="32" t="n"/>
    </row>
    <row r="9" ht="20" customHeight="1">
      <c r="A9" s="31" t="inlineStr">
        <is>
          <t>Math</t>
        </is>
      </c>
      <c r="B9" s="5" t="n"/>
      <c r="C9" s="33" t="inlineStr">
        <is>
          <t>pages</t>
        </is>
      </c>
      <c r="D9" s="33" t="n"/>
      <c r="E9" s="33" t="n"/>
      <c r="F9" s="26" t="n"/>
      <c r="G9" s="5" t="n"/>
      <c r="H9" s="33" t="inlineStr">
        <is>
          <t>pages</t>
        </is>
      </c>
      <c r="I9" s="33" t="n"/>
      <c r="J9" s="33" t="n"/>
    </row>
    <row r="10" ht="20" customHeight="1">
      <c r="A10" s="31" t="inlineStr">
        <is>
          <t>English / Language Arts</t>
        </is>
      </c>
      <c r="B10" s="5" t="n"/>
      <c r="C10" s="32" t="inlineStr">
        <is>
          <t>pages</t>
        </is>
      </c>
      <c r="D10" s="32" t="n"/>
      <c r="E10" s="32" t="n"/>
      <c r="F10" s="26" t="n"/>
      <c r="G10" s="5" t="n"/>
      <c r="H10" s="32" t="inlineStr">
        <is>
          <t>pages</t>
        </is>
      </c>
      <c r="I10" s="32" t="n"/>
      <c r="J10" s="32" t="n"/>
    </row>
    <row r="11" ht="20" customHeight="1">
      <c r="A11" s="31" t="inlineStr">
        <is>
          <t>Reading</t>
        </is>
      </c>
      <c r="B11" s="5" t="n"/>
      <c r="C11" s="33" t="inlineStr">
        <is>
          <t>pages</t>
        </is>
      </c>
      <c r="D11" s="33" t="n"/>
      <c r="E11" s="33" t="n"/>
      <c r="F11" s="26" t="n"/>
      <c r="G11" s="5" t="n"/>
      <c r="H11" s="33" t="inlineStr">
        <is>
          <t>pages</t>
        </is>
      </c>
      <c r="I11" s="33" t="n"/>
      <c r="J11" s="33" t="n"/>
    </row>
    <row r="12" ht="20" customHeight="1">
      <c r="A12" s="31" t="inlineStr">
        <is>
          <t>Writing / Composition</t>
        </is>
      </c>
      <c r="B12" s="5" t="n"/>
      <c r="C12" s="32" t="inlineStr">
        <is>
          <t>pages</t>
        </is>
      </c>
      <c r="D12" s="32" t="n"/>
      <c r="E12" s="32" t="n"/>
      <c r="F12" s="26" t="n"/>
      <c r="G12" s="5" t="n"/>
      <c r="H12" s="32" t="inlineStr">
        <is>
          <t>pages</t>
        </is>
      </c>
      <c r="I12" s="32" t="n"/>
      <c r="J12" s="32" t="n"/>
    </row>
    <row r="13" ht="20" customHeight="1">
      <c r="A13" s="31" t="inlineStr">
        <is>
          <t>Science</t>
        </is>
      </c>
      <c r="B13" s="5" t="n"/>
      <c r="C13" s="33" t="inlineStr">
        <is>
          <t>pages</t>
        </is>
      </c>
      <c r="D13" s="33" t="n"/>
      <c r="E13" s="33" t="n"/>
      <c r="F13" s="26" t="n"/>
      <c r="G13" s="5" t="n"/>
      <c r="H13" s="33" t="inlineStr">
        <is>
          <t>pages</t>
        </is>
      </c>
      <c r="I13" s="33" t="n"/>
      <c r="J13" s="33" t="n"/>
    </row>
    <row r="14" ht="20" customHeight="1">
      <c r="A14" s="31" t="inlineStr">
        <is>
          <t>Social Studies / History</t>
        </is>
      </c>
      <c r="B14" s="5" t="n"/>
      <c r="C14" s="32" t="inlineStr">
        <is>
          <t>pages</t>
        </is>
      </c>
      <c r="D14" s="32" t="n"/>
      <c r="E14" s="32" t="n"/>
      <c r="F14" s="26" t="n"/>
      <c r="G14" s="5" t="n"/>
      <c r="H14" s="32" t="inlineStr">
        <is>
          <t>pages</t>
        </is>
      </c>
      <c r="I14" s="32" t="n"/>
      <c r="J14" s="32" t="n"/>
    </row>
    <row r="15" ht="20" customHeight="1">
      <c r="A15" s="31" t="inlineStr">
        <is>
          <t>Health</t>
        </is>
      </c>
      <c r="B15" s="5" t="n"/>
      <c r="C15" s="33" t="inlineStr">
        <is>
          <t>pages</t>
        </is>
      </c>
      <c r="D15" s="33" t="n"/>
      <c r="E15" s="33" t="n"/>
      <c r="F15" s="26" t="n"/>
      <c r="G15" s="5" t="n"/>
      <c r="H15" s="33" t="inlineStr">
        <is>
          <t>pages</t>
        </is>
      </c>
      <c r="I15" s="33" t="n"/>
      <c r="J15" s="33" t="n"/>
    </row>
    <row r="16" ht="20" customHeight="1">
      <c r="A16" s="31" t="inlineStr">
        <is>
          <t>Physical Education</t>
        </is>
      </c>
      <c r="B16" s="5" t="n"/>
      <c r="C16" s="32" t="inlineStr">
        <is>
          <t>pages</t>
        </is>
      </c>
      <c r="D16" s="32" t="n"/>
      <c r="E16" s="32" t="n"/>
      <c r="F16" s="26" t="n"/>
      <c r="G16" s="5" t="n"/>
      <c r="H16" s="32" t="inlineStr">
        <is>
          <t>pages</t>
        </is>
      </c>
      <c r="I16" s="32" t="n"/>
      <c r="J16" s="32" t="n"/>
    </row>
    <row r="17" ht="20" customHeight="1">
      <c r="A17" s="31" t="inlineStr">
        <is>
          <t>Art / Music</t>
        </is>
      </c>
      <c r="B17" s="5" t="n"/>
      <c r="C17" s="33" t="inlineStr">
        <is>
          <t>pages</t>
        </is>
      </c>
      <c r="D17" s="33" t="n"/>
      <c r="E17" s="33" t="n"/>
      <c r="F17" s="26" t="n"/>
      <c r="G17" s="5" t="n"/>
      <c r="H17" s="33" t="inlineStr">
        <is>
          <t>pages</t>
        </is>
      </c>
      <c r="I17" s="33" t="n"/>
      <c r="J17" s="33" t="n"/>
    </row>
    <row r="18" ht="20" customHeight="1">
      <c r="A18" s="34" t="inlineStr">
        <is>
          <t>Elective / Other 1</t>
        </is>
      </c>
      <c r="B18" s="5" t="n"/>
      <c r="C18" s="32" t="inlineStr">
        <is>
          <t>pages</t>
        </is>
      </c>
      <c r="D18" s="32" t="n"/>
      <c r="E18" s="32" t="n"/>
      <c r="F18" s="26" t="n"/>
      <c r="G18" s="5" t="n"/>
      <c r="H18" s="32" t="inlineStr">
        <is>
          <t>pages</t>
        </is>
      </c>
      <c r="I18" s="32" t="n"/>
      <c r="J18" s="32" t="n"/>
    </row>
    <row r="19" ht="20" customHeight="1">
      <c r="A19" s="34" t="inlineStr">
        <is>
          <t>Elective / Other 2</t>
        </is>
      </c>
      <c r="B19" s="5" t="n"/>
      <c r="C19" s="33" t="inlineStr">
        <is>
          <t>pages</t>
        </is>
      </c>
      <c r="D19" s="33" t="n"/>
      <c r="E19" s="33" t="n"/>
      <c r="F19" s="26" t="n"/>
      <c r="G19" s="5" t="n"/>
      <c r="H19" s="33" t="inlineStr">
        <is>
          <t>pages</t>
        </is>
      </c>
      <c r="I19" s="33" t="n"/>
      <c r="J19" s="33" t="n"/>
    </row>
    <row r="20" ht="20" customHeight="1">
      <c r="A20" s="34" t="inlineStr">
        <is>
          <t>Elective / Other 3</t>
        </is>
      </c>
      <c r="B20" s="5" t="n"/>
      <c r="C20" s="32" t="inlineStr">
        <is>
          <t>pages</t>
        </is>
      </c>
      <c r="D20" s="32" t="n"/>
      <c r="E20" s="32" t="n"/>
      <c r="F20" s="26" t="n"/>
      <c r="G20" s="5" t="n"/>
      <c r="H20" s="32" t="inlineStr">
        <is>
          <t>pages</t>
        </is>
      </c>
      <c r="I20" s="32" t="n"/>
      <c r="J20" s="32" t="n"/>
    </row>
    <row r="21" ht="20" customHeight="1">
      <c r="A21" s="34" t="inlineStr">
        <is>
          <t>Elective / Other 4</t>
        </is>
      </c>
      <c r="B21" s="5" t="n"/>
      <c r="C21" s="33" t="inlineStr">
        <is>
          <t>pages</t>
        </is>
      </c>
      <c r="D21" s="33" t="n"/>
      <c r="E21" s="33" t="n"/>
      <c r="F21" s="26" t="n"/>
      <c r="G21" s="5" t="n"/>
      <c r="H21" s="33" t="inlineStr">
        <is>
          <t>pages</t>
        </is>
      </c>
      <c r="I21" s="33" t="n"/>
      <c r="J21" s="33" t="n"/>
    </row>
    <row r="22" ht="8" customHeight="1"/>
    <row r="23" ht="26" customHeight="1">
      <c r="A23" s="35">
        <f>IF('Getting Started'!B29&lt;&gt;"","  "&amp;UPPER('Getting Started'!B29)&amp;"   ·   "&amp;'Getting Started'!F29,"  STUDENT 1")</f>
        <v/>
      </c>
    </row>
    <row r="24" outlineLevel="1" ht="20" customHeight="1">
      <c r="A24" s="31" t="inlineStr">
        <is>
          <t>Bible</t>
        </is>
      </c>
      <c r="B24" s="5" t="n"/>
      <c r="C24" s="32" t="inlineStr">
        <is>
          <t>pages</t>
        </is>
      </c>
      <c r="D24" s="32" t="n"/>
      <c r="E24" s="32" t="n"/>
      <c r="F24" s="26" t="n"/>
      <c r="G24" s="5" t="n"/>
      <c r="H24" s="32" t="inlineStr">
        <is>
          <t>pages</t>
        </is>
      </c>
      <c r="I24" s="32" t="n"/>
      <c r="J24" s="32" t="n"/>
    </row>
    <row r="25" outlineLevel="1" ht="20" customHeight="1">
      <c r="A25" s="31" t="inlineStr">
        <is>
          <t>Math</t>
        </is>
      </c>
      <c r="B25" s="5" t="n"/>
      <c r="C25" s="33" t="inlineStr">
        <is>
          <t>pages</t>
        </is>
      </c>
      <c r="D25" s="33" t="n"/>
      <c r="E25" s="33" t="n"/>
      <c r="F25" s="26" t="n"/>
      <c r="G25" s="5" t="n"/>
      <c r="H25" s="33" t="inlineStr">
        <is>
          <t>pages</t>
        </is>
      </c>
      <c r="I25" s="33" t="n"/>
      <c r="J25" s="33" t="n"/>
    </row>
    <row r="26" outlineLevel="1" ht="20" customHeight="1">
      <c r="A26" s="31" t="inlineStr">
        <is>
          <t>English / Language Arts</t>
        </is>
      </c>
      <c r="B26" s="5" t="n"/>
      <c r="C26" s="32" t="inlineStr">
        <is>
          <t>pages</t>
        </is>
      </c>
      <c r="D26" s="32" t="n"/>
      <c r="E26" s="32" t="n"/>
      <c r="F26" s="26" t="n"/>
      <c r="G26" s="5" t="n"/>
      <c r="H26" s="32" t="inlineStr">
        <is>
          <t>pages</t>
        </is>
      </c>
      <c r="I26" s="32" t="n"/>
      <c r="J26" s="32" t="n"/>
    </row>
    <row r="27" outlineLevel="1" ht="20" customHeight="1">
      <c r="A27" s="31" t="inlineStr">
        <is>
          <t>Reading</t>
        </is>
      </c>
      <c r="B27" s="5" t="n"/>
      <c r="C27" s="33" t="inlineStr">
        <is>
          <t>pages</t>
        </is>
      </c>
      <c r="D27" s="33" t="n"/>
      <c r="E27" s="33" t="n"/>
      <c r="F27" s="26" t="n"/>
      <c r="G27" s="5" t="n"/>
      <c r="H27" s="33" t="inlineStr">
        <is>
          <t>pages</t>
        </is>
      </c>
      <c r="I27" s="33" t="n"/>
      <c r="J27" s="33" t="n"/>
    </row>
    <row r="28" outlineLevel="1" ht="20" customHeight="1">
      <c r="A28" s="31" t="inlineStr">
        <is>
          <t>Writing / Composition</t>
        </is>
      </c>
      <c r="B28" s="5" t="n"/>
      <c r="C28" s="32" t="inlineStr">
        <is>
          <t>pages</t>
        </is>
      </c>
      <c r="D28" s="32" t="n"/>
      <c r="E28" s="32" t="n"/>
      <c r="F28" s="26" t="n"/>
      <c r="G28" s="5" t="n"/>
      <c r="H28" s="32" t="inlineStr">
        <is>
          <t>pages</t>
        </is>
      </c>
      <c r="I28" s="32" t="n"/>
      <c r="J28" s="32" t="n"/>
    </row>
    <row r="29" outlineLevel="1" ht="20" customHeight="1">
      <c r="A29" s="31" t="inlineStr">
        <is>
          <t>Science</t>
        </is>
      </c>
      <c r="B29" s="5" t="n"/>
      <c r="C29" s="33" t="inlineStr">
        <is>
          <t>pages</t>
        </is>
      </c>
      <c r="D29" s="33" t="n"/>
      <c r="E29" s="33" t="n"/>
      <c r="F29" s="26" t="n"/>
      <c r="G29" s="5" t="n"/>
      <c r="H29" s="33" t="inlineStr">
        <is>
          <t>pages</t>
        </is>
      </c>
      <c r="I29" s="33" t="n"/>
      <c r="J29" s="33" t="n"/>
    </row>
    <row r="30" outlineLevel="1" ht="20" customHeight="1">
      <c r="A30" s="31" t="inlineStr">
        <is>
          <t>Social Studies / History</t>
        </is>
      </c>
      <c r="B30" s="5" t="n"/>
      <c r="C30" s="32" t="inlineStr">
        <is>
          <t>pages</t>
        </is>
      </c>
      <c r="D30" s="32" t="n"/>
      <c r="E30" s="32" t="n"/>
      <c r="F30" s="26" t="n"/>
      <c r="G30" s="5" t="n"/>
      <c r="H30" s="32" t="inlineStr">
        <is>
          <t>pages</t>
        </is>
      </c>
      <c r="I30" s="32" t="n"/>
      <c r="J30" s="32" t="n"/>
    </row>
    <row r="31" outlineLevel="1" ht="20" customHeight="1">
      <c r="A31" s="31" t="inlineStr">
        <is>
          <t>Health</t>
        </is>
      </c>
      <c r="B31" s="5" t="n"/>
      <c r="C31" s="33" t="inlineStr">
        <is>
          <t>pages</t>
        </is>
      </c>
      <c r="D31" s="33" t="n"/>
      <c r="E31" s="33" t="n"/>
      <c r="F31" s="26" t="n"/>
      <c r="G31" s="5" t="n"/>
      <c r="H31" s="33" t="inlineStr">
        <is>
          <t>pages</t>
        </is>
      </c>
      <c r="I31" s="33" t="n"/>
      <c r="J31" s="33" t="n"/>
    </row>
    <row r="32" outlineLevel="1" ht="20" customHeight="1">
      <c r="A32" s="31" t="inlineStr">
        <is>
          <t>Physical Education</t>
        </is>
      </c>
      <c r="B32" s="5" t="n"/>
      <c r="C32" s="32" t="inlineStr">
        <is>
          <t>pages</t>
        </is>
      </c>
      <c r="D32" s="32" t="n"/>
      <c r="E32" s="32" t="n"/>
      <c r="F32" s="26" t="n"/>
      <c r="G32" s="5" t="n"/>
      <c r="H32" s="32" t="inlineStr">
        <is>
          <t>pages</t>
        </is>
      </c>
      <c r="I32" s="32" t="n"/>
      <c r="J32" s="32" t="n"/>
    </row>
    <row r="33" outlineLevel="1" ht="20" customHeight="1">
      <c r="A33" s="31" t="inlineStr">
        <is>
          <t>Art / Music</t>
        </is>
      </c>
      <c r="B33" s="5" t="n"/>
      <c r="C33" s="33" t="inlineStr">
        <is>
          <t>pages</t>
        </is>
      </c>
      <c r="D33" s="33" t="n"/>
      <c r="E33" s="33" t="n"/>
      <c r="F33" s="26" t="n"/>
      <c r="G33" s="5" t="n"/>
      <c r="H33" s="33" t="inlineStr">
        <is>
          <t>pages</t>
        </is>
      </c>
      <c r="I33" s="33" t="n"/>
      <c r="J33" s="33" t="n"/>
    </row>
    <row r="34" outlineLevel="1" ht="20" customHeight="1">
      <c r="A34" s="34" t="inlineStr">
        <is>
          <t>Elective / Other 1</t>
        </is>
      </c>
      <c r="B34" s="5" t="n"/>
      <c r="C34" s="32" t="inlineStr">
        <is>
          <t>pages</t>
        </is>
      </c>
      <c r="D34" s="32" t="n"/>
      <c r="E34" s="32" t="n"/>
      <c r="F34" s="26" t="n"/>
      <c r="G34" s="5" t="n"/>
      <c r="H34" s="32" t="inlineStr">
        <is>
          <t>pages</t>
        </is>
      </c>
      <c r="I34" s="32" t="n"/>
      <c r="J34" s="32" t="n"/>
    </row>
    <row r="35" outlineLevel="1" ht="20" customHeight="1">
      <c r="A35" s="34" t="inlineStr">
        <is>
          <t>Elective / Other 2</t>
        </is>
      </c>
      <c r="B35" s="5" t="n"/>
      <c r="C35" s="33" t="inlineStr">
        <is>
          <t>pages</t>
        </is>
      </c>
      <c r="D35" s="33" t="n"/>
      <c r="E35" s="33" t="n"/>
      <c r="F35" s="26" t="n"/>
      <c r="G35" s="5" t="n"/>
      <c r="H35" s="33" t="inlineStr">
        <is>
          <t>pages</t>
        </is>
      </c>
      <c r="I35" s="33" t="n"/>
      <c r="J35" s="33" t="n"/>
    </row>
    <row r="36" outlineLevel="1" ht="20" customHeight="1">
      <c r="A36" s="34" t="inlineStr">
        <is>
          <t>Elective / Other 3</t>
        </is>
      </c>
      <c r="B36" s="5" t="n"/>
      <c r="C36" s="32" t="inlineStr">
        <is>
          <t>pages</t>
        </is>
      </c>
      <c r="D36" s="32" t="n"/>
      <c r="E36" s="32" t="n"/>
      <c r="F36" s="26" t="n"/>
      <c r="G36" s="5" t="n"/>
      <c r="H36" s="32" t="inlineStr">
        <is>
          <t>pages</t>
        </is>
      </c>
      <c r="I36" s="32" t="n"/>
      <c r="J36" s="32" t="n"/>
    </row>
    <row r="37" outlineLevel="1" ht="20" customHeight="1">
      <c r="A37" s="34" t="inlineStr">
        <is>
          <t>Elective / Other 4</t>
        </is>
      </c>
      <c r="B37" s="5" t="n"/>
      <c r="C37" s="33" t="inlineStr">
        <is>
          <t>pages</t>
        </is>
      </c>
      <c r="D37" s="33" t="n"/>
      <c r="E37" s="33" t="n"/>
      <c r="F37" s="26" t="n"/>
      <c r="G37" s="5" t="n"/>
      <c r="H37" s="33" t="inlineStr">
        <is>
          <t>pages</t>
        </is>
      </c>
      <c r="I37" s="33" t="n"/>
      <c r="J37" s="33" t="n"/>
    </row>
    <row r="38" outlineLevel="1" ht="6" customHeight="1"/>
    <row r="39" ht="26" customHeight="1">
      <c r="A39" s="36">
        <f>IF('Getting Started'!B30&lt;&gt;"","  "&amp;UPPER('Getting Started'!B30)&amp;"   ·   "&amp;'Getting Started'!F30,"  STUDENT 2")</f>
        <v/>
      </c>
    </row>
    <row r="40" hidden="1" outlineLevel="1" ht="20" customHeight="1">
      <c r="A40" s="31" t="inlineStr">
        <is>
          <t>Bible</t>
        </is>
      </c>
      <c r="B40" s="5" t="n"/>
      <c r="C40" s="32" t="inlineStr">
        <is>
          <t>pages</t>
        </is>
      </c>
      <c r="D40" s="32" t="n"/>
      <c r="E40" s="32" t="n"/>
      <c r="F40" s="26" t="n"/>
      <c r="G40" s="5" t="n"/>
      <c r="H40" s="32" t="inlineStr">
        <is>
          <t>pages</t>
        </is>
      </c>
      <c r="I40" s="32" t="n"/>
      <c r="J40" s="32" t="n"/>
    </row>
    <row r="41" hidden="1" outlineLevel="1" ht="20" customHeight="1">
      <c r="A41" s="31" t="inlineStr">
        <is>
          <t>Math</t>
        </is>
      </c>
      <c r="B41" s="5" t="n"/>
      <c r="C41" s="33" t="inlineStr">
        <is>
          <t>pages</t>
        </is>
      </c>
      <c r="D41" s="33" t="n"/>
      <c r="E41" s="33" t="n"/>
      <c r="F41" s="26" t="n"/>
      <c r="G41" s="5" t="n"/>
      <c r="H41" s="33" t="inlineStr">
        <is>
          <t>pages</t>
        </is>
      </c>
      <c r="I41" s="33" t="n"/>
      <c r="J41" s="33" t="n"/>
    </row>
    <row r="42" hidden="1" outlineLevel="1" ht="20" customHeight="1">
      <c r="A42" s="31" t="inlineStr">
        <is>
          <t>English / Language Arts</t>
        </is>
      </c>
      <c r="B42" s="5" t="n"/>
      <c r="C42" s="32" t="inlineStr">
        <is>
          <t>pages</t>
        </is>
      </c>
      <c r="D42" s="32" t="n"/>
      <c r="E42" s="32" t="n"/>
      <c r="F42" s="26" t="n"/>
      <c r="G42" s="5" t="n"/>
      <c r="H42" s="32" t="inlineStr">
        <is>
          <t>pages</t>
        </is>
      </c>
      <c r="I42" s="32" t="n"/>
      <c r="J42" s="32" t="n"/>
    </row>
    <row r="43" hidden="1" outlineLevel="1" ht="20" customHeight="1">
      <c r="A43" s="31" t="inlineStr">
        <is>
          <t>Reading</t>
        </is>
      </c>
      <c r="B43" s="5" t="n"/>
      <c r="C43" s="33" t="inlineStr">
        <is>
          <t>pages</t>
        </is>
      </c>
      <c r="D43" s="33" t="n"/>
      <c r="E43" s="33" t="n"/>
      <c r="F43" s="26" t="n"/>
      <c r="G43" s="5" t="n"/>
      <c r="H43" s="33" t="inlineStr">
        <is>
          <t>pages</t>
        </is>
      </c>
      <c r="I43" s="33" t="n"/>
      <c r="J43" s="33" t="n"/>
    </row>
    <row r="44" hidden="1" outlineLevel="1" ht="20" customHeight="1">
      <c r="A44" s="31" t="inlineStr">
        <is>
          <t>Writing / Composition</t>
        </is>
      </c>
      <c r="B44" s="5" t="n"/>
      <c r="C44" s="32" t="inlineStr">
        <is>
          <t>pages</t>
        </is>
      </c>
      <c r="D44" s="32" t="n"/>
      <c r="E44" s="32" t="n"/>
      <c r="F44" s="26" t="n"/>
      <c r="G44" s="5" t="n"/>
      <c r="H44" s="32" t="inlineStr">
        <is>
          <t>pages</t>
        </is>
      </c>
      <c r="I44" s="32" t="n"/>
      <c r="J44" s="32" t="n"/>
    </row>
    <row r="45" hidden="1" outlineLevel="1" ht="20" customHeight="1">
      <c r="A45" s="31" t="inlineStr">
        <is>
          <t>Science</t>
        </is>
      </c>
      <c r="B45" s="5" t="n"/>
      <c r="C45" s="33" t="inlineStr">
        <is>
          <t>pages</t>
        </is>
      </c>
      <c r="D45" s="33" t="n"/>
      <c r="E45" s="33" t="n"/>
      <c r="F45" s="26" t="n"/>
      <c r="G45" s="5" t="n"/>
      <c r="H45" s="33" t="inlineStr">
        <is>
          <t>pages</t>
        </is>
      </c>
      <c r="I45" s="33" t="n"/>
      <c r="J45" s="33" t="n"/>
    </row>
    <row r="46" hidden="1" outlineLevel="1" ht="20" customHeight="1">
      <c r="A46" s="31" t="inlineStr">
        <is>
          <t>Social Studies / History</t>
        </is>
      </c>
      <c r="B46" s="5" t="n"/>
      <c r="C46" s="32" t="inlineStr">
        <is>
          <t>pages</t>
        </is>
      </c>
      <c r="D46" s="32" t="n"/>
      <c r="E46" s="32" t="n"/>
      <c r="F46" s="26" t="n"/>
      <c r="G46" s="5" t="n"/>
      <c r="H46" s="32" t="inlineStr">
        <is>
          <t>pages</t>
        </is>
      </c>
      <c r="I46" s="32" t="n"/>
      <c r="J46" s="32" t="n"/>
    </row>
    <row r="47" hidden="1" outlineLevel="1" ht="20" customHeight="1">
      <c r="A47" s="31" t="inlineStr">
        <is>
          <t>Health</t>
        </is>
      </c>
      <c r="B47" s="5" t="n"/>
      <c r="C47" s="33" t="inlineStr">
        <is>
          <t>pages</t>
        </is>
      </c>
      <c r="D47" s="33" t="n"/>
      <c r="E47" s="33" t="n"/>
      <c r="F47" s="26" t="n"/>
      <c r="G47" s="5" t="n"/>
      <c r="H47" s="33" t="inlineStr">
        <is>
          <t>pages</t>
        </is>
      </c>
      <c r="I47" s="33" t="n"/>
      <c r="J47" s="33" t="n"/>
    </row>
    <row r="48" hidden="1" outlineLevel="1" ht="20" customHeight="1">
      <c r="A48" s="31" t="inlineStr">
        <is>
          <t>Physical Education</t>
        </is>
      </c>
      <c r="B48" s="5" t="n"/>
      <c r="C48" s="32" t="inlineStr">
        <is>
          <t>pages</t>
        </is>
      </c>
      <c r="D48" s="32" t="n"/>
      <c r="E48" s="32" t="n"/>
      <c r="F48" s="26" t="n"/>
      <c r="G48" s="5" t="n"/>
      <c r="H48" s="32" t="inlineStr">
        <is>
          <t>pages</t>
        </is>
      </c>
      <c r="I48" s="32" t="n"/>
      <c r="J48" s="32" t="n"/>
    </row>
    <row r="49" hidden="1" outlineLevel="1" ht="20" customHeight="1">
      <c r="A49" s="31" t="inlineStr">
        <is>
          <t>Art / Music</t>
        </is>
      </c>
      <c r="B49" s="5" t="n"/>
      <c r="C49" s="33" t="inlineStr">
        <is>
          <t>pages</t>
        </is>
      </c>
      <c r="D49" s="33" t="n"/>
      <c r="E49" s="33" t="n"/>
      <c r="F49" s="26" t="n"/>
      <c r="G49" s="5" t="n"/>
      <c r="H49" s="33" t="inlineStr">
        <is>
          <t>pages</t>
        </is>
      </c>
      <c r="I49" s="33" t="n"/>
      <c r="J49" s="33" t="n"/>
    </row>
    <row r="50" hidden="1" outlineLevel="1" ht="20" customHeight="1">
      <c r="A50" s="34" t="inlineStr">
        <is>
          <t>Elective / Other 1</t>
        </is>
      </c>
      <c r="B50" s="5" t="n"/>
      <c r="C50" s="32" t="inlineStr">
        <is>
          <t>pages</t>
        </is>
      </c>
      <c r="D50" s="32" t="n"/>
      <c r="E50" s="32" t="n"/>
      <c r="F50" s="26" t="n"/>
      <c r="G50" s="5" t="n"/>
      <c r="H50" s="32" t="inlineStr">
        <is>
          <t>pages</t>
        </is>
      </c>
      <c r="I50" s="32" t="n"/>
      <c r="J50" s="32" t="n"/>
    </row>
    <row r="51" hidden="1" outlineLevel="1" ht="20" customHeight="1">
      <c r="A51" s="34" t="inlineStr">
        <is>
          <t>Elective / Other 2</t>
        </is>
      </c>
      <c r="B51" s="5" t="n"/>
      <c r="C51" s="33" t="inlineStr">
        <is>
          <t>pages</t>
        </is>
      </c>
      <c r="D51" s="33" t="n"/>
      <c r="E51" s="33" t="n"/>
      <c r="F51" s="26" t="n"/>
      <c r="G51" s="5" t="n"/>
      <c r="H51" s="33" t="inlineStr">
        <is>
          <t>pages</t>
        </is>
      </c>
      <c r="I51" s="33" t="n"/>
      <c r="J51" s="33" t="n"/>
    </row>
    <row r="52" hidden="1" outlineLevel="1" ht="20" customHeight="1">
      <c r="A52" s="34" t="inlineStr">
        <is>
          <t>Elective / Other 3</t>
        </is>
      </c>
      <c r="B52" s="5" t="n"/>
      <c r="C52" s="32" t="inlineStr">
        <is>
          <t>pages</t>
        </is>
      </c>
      <c r="D52" s="32" t="n"/>
      <c r="E52" s="32" t="n"/>
      <c r="F52" s="26" t="n"/>
      <c r="G52" s="5" t="n"/>
      <c r="H52" s="32" t="inlineStr">
        <is>
          <t>pages</t>
        </is>
      </c>
      <c r="I52" s="32" t="n"/>
      <c r="J52" s="32" t="n"/>
    </row>
    <row r="53" hidden="1" outlineLevel="1" ht="20" customHeight="1">
      <c r="A53" s="34" t="inlineStr">
        <is>
          <t>Elective / Other 4</t>
        </is>
      </c>
      <c r="B53" s="5" t="n"/>
      <c r="C53" s="33" t="inlineStr">
        <is>
          <t>pages</t>
        </is>
      </c>
      <c r="D53" s="33" t="n"/>
      <c r="E53" s="33" t="n"/>
      <c r="F53" s="26" t="n"/>
      <c r="G53" s="5" t="n"/>
      <c r="H53" s="33" t="inlineStr">
        <is>
          <t>pages</t>
        </is>
      </c>
      <c r="I53" s="33" t="n"/>
      <c r="J53" s="33" t="n"/>
    </row>
    <row r="54" hidden="1" outlineLevel="1" ht="6" customHeight="1"/>
    <row r="55" ht="26" customHeight="1">
      <c r="A55" s="37">
        <f>IF('Getting Started'!B31&lt;&gt;"","  "&amp;UPPER('Getting Started'!B31)&amp;"   ·   "&amp;'Getting Started'!F31,"  STUDENT 3")</f>
        <v/>
      </c>
    </row>
    <row r="56" hidden="1" outlineLevel="1" ht="20" customHeight="1">
      <c r="A56" s="31" t="inlineStr">
        <is>
          <t>Bible</t>
        </is>
      </c>
      <c r="B56" s="5" t="n"/>
      <c r="C56" s="32" t="inlineStr">
        <is>
          <t>pages</t>
        </is>
      </c>
      <c r="D56" s="32" t="n"/>
      <c r="E56" s="32" t="n"/>
      <c r="F56" s="26" t="n"/>
      <c r="G56" s="5" t="n"/>
      <c r="H56" s="32" t="inlineStr">
        <is>
          <t>pages</t>
        </is>
      </c>
      <c r="I56" s="32" t="n"/>
      <c r="J56" s="32" t="n"/>
    </row>
    <row r="57" hidden="1" outlineLevel="1" ht="20" customHeight="1">
      <c r="A57" s="31" t="inlineStr">
        <is>
          <t>Math</t>
        </is>
      </c>
      <c r="B57" s="5" t="n"/>
      <c r="C57" s="33" t="inlineStr">
        <is>
          <t>pages</t>
        </is>
      </c>
      <c r="D57" s="33" t="n"/>
      <c r="E57" s="33" t="n"/>
      <c r="F57" s="26" t="n"/>
      <c r="G57" s="5" t="n"/>
      <c r="H57" s="33" t="inlineStr">
        <is>
          <t>pages</t>
        </is>
      </c>
      <c r="I57" s="33" t="n"/>
      <c r="J57" s="33" t="n"/>
    </row>
    <row r="58" hidden="1" outlineLevel="1" ht="20" customHeight="1">
      <c r="A58" s="31" t="inlineStr">
        <is>
          <t>English / Language Arts</t>
        </is>
      </c>
      <c r="B58" s="5" t="n"/>
      <c r="C58" s="32" t="inlineStr">
        <is>
          <t>pages</t>
        </is>
      </c>
      <c r="D58" s="32" t="n"/>
      <c r="E58" s="32" t="n"/>
      <c r="F58" s="26" t="n"/>
      <c r="G58" s="5" t="n"/>
      <c r="H58" s="32" t="inlineStr">
        <is>
          <t>pages</t>
        </is>
      </c>
      <c r="I58" s="32" t="n"/>
      <c r="J58" s="32" t="n"/>
    </row>
    <row r="59" hidden="1" outlineLevel="1" ht="20" customHeight="1">
      <c r="A59" s="31" t="inlineStr">
        <is>
          <t>Reading</t>
        </is>
      </c>
      <c r="B59" s="5" t="n"/>
      <c r="C59" s="33" t="inlineStr">
        <is>
          <t>pages</t>
        </is>
      </c>
      <c r="D59" s="33" t="n"/>
      <c r="E59" s="33" t="n"/>
      <c r="F59" s="26" t="n"/>
      <c r="G59" s="5" t="n"/>
      <c r="H59" s="33" t="inlineStr">
        <is>
          <t>pages</t>
        </is>
      </c>
      <c r="I59" s="33" t="n"/>
      <c r="J59" s="33" t="n"/>
    </row>
    <row r="60" hidden="1" outlineLevel="1" ht="20" customHeight="1">
      <c r="A60" s="31" t="inlineStr">
        <is>
          <t>Writing / Composition</t>
        </is>
      </c>
      <c r="B60" s="5" t="n"/>
      <c r="C60" s="32" t="inlineStr">
        <is>
          <t>pages</t>
        </is>
      </c>
      <c r="D60" s="32" t="n"/>
      <c r="E60" s="32" t="n"/>
      <c r="F60" s="26" t="n"/>
      <c r="G60" s="5" t="n"/>
      <c r="H60" s="32" t="inlineStr">
        <is>
          <t>pages</t>
        </is>
      </c>
      <c r="I60" s="32" t="n"/>
      <c r="J60" s="32" t="n"/>
    </row>
    <row r="61" hidden="1" outlineLevel="1" ht="20" customHeight="1">
      <c r="A61" s="31" t="inlineStr">
        <is>
          <t>Science</t>
        </is>
      </c>
      <c r="B61" s="5" t="n"/>
      <c r="C61" s="33" t="inlineStr">
        <is>
          <t>pages</t>
        </is>
      </c>
      <c r="D61" s="33" t="n"/>
      <c r="E61" s="33" t="n"/>
      <c r="F61" s="26" t="n"/>
      <c r="G61" s="5" t="n"/>
      <c r="H61" s="33" t="inlineStr">
        <is>
          <t>pages</t>
        </is>
      </c>
      <c r="I61" s="33" t="n"/>
      <c r="J61" s="33" t="n"/>
    </row>
    <row r="62" hidden="1" outlineLevel="1" ht="20" customHeight="1">
      <c r="A62" s="31" t="inlineStr">
        <is>
          <t>Social Studies / History</t>
        </is>
      </c>
      <c r="B62" s="5" t="n"/>
      <c r="C62" s="32" t="inlineStr">
        <is>
          <t>pages</t>
        </is>
      </c>
      <c r="D62" s="32" t="n"/>
      <c r="E62" s="32" t="n"/>
      <c r="F62" s="26" t="n"/>
      <c r="G62" s="5" t="n"/>
      <c r="H62" s="32" t="inlineStr">
        <is>
          <t>pages</t>
        </is>
      </c>
      <c r="I62" s="32" t="n"/>
      <c r="J62" s="32" t="n"/>
    </row>
    <row r="63" hidden="1" outlineLevel="1" ht="20" customHeight="1">
      <c r="A63" s="31" t="inlineStr">
        <is>
          <t>Health</t>
        </is>
      </c>
      <c r="B63" s="5" t="n"/>
      <c r="C63" s="33" t="inlineStr">
        <is>
          <t>pages</t>
        </is>
      </c>
      <c r="D63" s="33" t="n"/>
      <c r="E63" s="33" t="n"/>
      <c r="F63" s="26" t="n"/>
      <c r="G63" s="5" t="n"/>
      <c r="H63" s="33" t="inlineStr">
        <is>
          <t>pages</t>
        </is>
      </c>
      <c r="I63" s="33" t="n"/>
      <c r="J63" s="33" t="n"/>
    </row>
    <row r="64" hidden="1" outlineLevel="1" ht="20" customHeight="1">
      <c r="A64" s="31" t="inlineStr">
        <is>
          <t>Physical Education</t>
        </is>
      </c>
      <c r="B64" s="5" t="n"/>
      <c r="C64" s="32" t="inlineStr">
        <is>
          <t>pages</t>
        </is>
      </c>
      <c r="D64" s="32" t="n"/>
      <c r="E64" s="32" t="n"/>
      <c r="F64" s="26" t="n"/>
      <c r="G64" s="5" t="n"/>
      <c r="H64" s="32" t="inlineStr">
        <is>
          <t>pages</t>
        </is>
      </c>
      <c r="I64" s="32" t="n"/>
      <c r="J64" s="32" t="n"/>
    </row>
    <row r="65" hidden="1" outlineLevel="1" ht="20" customHeight="1">
      <c r="A65" s="31" t="inlineStr">
        <is>
          <t>Art / Music</t>
        </is>
      </c>
      <c r="B65" s="5" t="n"/>
      <c r="C65" s="33" t="inlineStr">
        <is>
          <t>pages</t>
        </is>
      </c>
      <c r="D65" s="33" t="n"/>
      <c r="E65" s="33" t="n"/>
      <c r="F65" s="26" t="n"/>
      <c r="G65" s="5" t="n"/>
      <c r="H65" s="33" t="inlineStr">
        <is>
          <t>pages</t>
        </is>
      </c>
      <c r="I65" s="33" t="n"/>
      <c r="J65" s="33" t="n"/>
    </row>
    <row r="66" hidden="1" outlineLevel="1" ht="20" customHeight="1">
      <c r="A66" s="34" t="inlineStr">
        <is>
          <t>Elective / Other 1</t>
        </is>
      </c>
      <c r="B66" s="5" t="n"/>
      <c r="C66" s="32" t="inlineStr">
        <is>
          <t>pages</t>
        </is>
      </c>
      <c r="D66" s="32" t="n"/>
      <c r="E66" s="32" t="n"/>
      <c r="F66" s="26" t="n"/>
      <c r="G66" s="5" t="n"/>
      <c r="H66" s="32" t="inlineStr">
        <is>
          <t>pages</t>
        </is>
      </c>
      <c r="I66" s="32" t="n"/>
      <c r="J66" s="32" t="n"/>
    </row>
    <row r="67" hidden="1" outlineLevel="1" ht="20" customHeight="1">
      <c r="A67" s="34" t="inlineStr">
        <is>
          <t>Elective / Other 2</t>
        </is>
      </c>
      <c r="B67" s="5" t="n"/>
      <c r="C67" s="33" t="inlineStr">
        <is>
          <t>pages</t>
        </is>
      </c>
      <c r="D67" s="33" t="n"/>
      <c r="E67" s="33" t="n"/>
      <c r="F67" s="26" t="n"/>
      <c r="G67" s="5" t="n"/>
      <c r="H67" s="33" t="inlineStr">
        <is>
          <t>pages</t>
        </is>
      </c>
      <c r="I67" s="33" t="n"/>
      <c r="J67" s="33" t="n"/>
    </row>
    <row r="68" hidden="1" outlineLevel="1" ht="20" customHeight="1">
      <c r="A68" s="34" t="inlineStr">
        <is>
          <t>Elective / Other 3</t>
        </is>
      </c>
      <c r="B68" s="5" t="n"/>
      <c r="C68" s="32" t="inlineStr">
        <is>
          <t>pages</t>
        </is>
      </c>
      <c r="D68" s="32" t="n"/>
      <c r="E68" s="32" t="n"/>
      <c r="F68" s="26" t="n"/>
      <c r="G68" s="5" t="n"/>
      <c r="H68" s="32" t="inlineStr">
        <is>
          <t>pages</t>
        </is>
      </c>
      <c r="I68" s="32" t="n"/>
      <c r="J68" s="32" t="n"/>
    </row>
    <row r="69" hidden="1" outlineLevel="1" ht="20" customHeight="1">
      <c r="A69" s="34" t="inlineStr">
        <is>
          <t>Elective / Other 4</t>
        </is>
      </c>
      <c r="B69" s="5" t="n"/>
      <c r="C69" s="33" t="inlineStr">
        <is>
          <t>pages</t>
        </is>
      </c>
      <c r="D69" s="33" t="n"/>
      <c r="E69" s="33" t="n"/>
      <c r="F69" s="26" t="n"/>
      <c r="G69" s="5" t="n"/>
      <c r="H69" s="33" t="inlineStr">
        <is>
          <t>pages</t>
        </is>
      </c>
      <c r="I69" s="33" t="n"/>
      <c r="J69" s="33" t="n"/>
    </row>
    <row r="70" hidden="1" outlineLevel="1" ht="6" customHeight="1"/>
    <row r="71" ht="26" customHeight="1">
      <c r="A71" s="38">
        <f>IF('Getting Started'!B32&lt;&gt;"","  "&amp;UPPER('Getting Started'!B32)&amp;"   ·   "&amp;'Getting Started'!F32,"  STUDENT 4")</f>
        <v/>
      </c>
    </row>
    <row r="72" hidden="1" outlineLevel="1" ht="20" customHeight="1">
      <c r="A72" s="31" t="inlineStr">
        <is>
          <t>Bible</t>
        </is>
      </c>
      <c r="B72" s="5" t="n"/>
      <c r="C72" s="32" t="inlineStr">
        <is>
          <t>pages</t>
        </is>
      </c>
      <c r="D72" s="32" t="n"/>
      <c r="E72" s="32" t="n"/>
      <c r="F72" s="26" t="n"/>
      <c r="G72" s="5" t="n"/>
      <c r="H72" s="32" t="inlineStr">
        <is>
          <t>pages</t>
        </is>
      </c>
      <c r="I72" s="32" t="n"/>
      <c r="J72" s="32" t="n"/>
    </row>
    <row r="73" hidden="1" outlineLevel="1" ht="20" customHeight="1">
      <c r="A73" s="31" t="inlineStr">
        <is>
          <t>Math</t>
        </is>
      </c>
      <c r="B73" s="5" t="n"/>
      <c r="C73" s="33" t="inlineStr">
        <is>
          <t>pages</t>
        </is>
      </c>
      <c r="D73" s="33" t="n"/>
      <c r="E73" s="33" t="n"/>
      <c r="F73" s="26" t="n"/>
      <c r="G73" s="5" t="n"/>
      <c r="H73" s="33" t="inlineStr">
        <is>
          <t>pages</t>
        </is>
      </c>
      <c r="I73" s="33" t="n"/>
      <c r="J73" s="33" t="n"/>
    </row>
    <row r="74" hidden="1" outlineLevel="1" ht="20" customHeight="1">
      <c r="A74" s="31" t="inlineStr">
        <is>
          <t>English / Language Arts</t>
        </is>
      </c>
      <c r="B74" s="5" t="n"/>
      <c r="C74" s="32" t="inlineStr">
        <is>
          <t>pages</t>
        </is>
      </c>
      <c r="D74" s="32" t="n"/>
      <c r="E74" s="32" t="n"/>
      <c r="F74" s="26" t="n"/>
      <c r="G74" s="5" t="n"/>
      <c r="H74" s="32" t="inlineStr">
        <is>
          <t>pages</t>
        </is>
      </c>
      <c r="I74" s="32" t="n"/>
      <c r="J74" s="32" t="n"/>
    </row>
    <row r="75" hidden="1" outlineLevel="1" ht="20" customHeight="1">
      <c r="A75" s="31" t="inlineStr">
        <is>
          <t>Reading</t>
        </is>
      </c>
      <c r="B75" s="5" t="n"/>
      <c r="C75" s="33" t="inlineStr">
        <is>
          <t>pages</t>
        </is>
      </c>
      <c r="D75" s="33" t="n"/>
      <c r="E75" s="33" t="n"/>
      <c r="F75" s="26" t="n"/>
      <c r="G75" s="5" t="n"/>
      <c r="H75" s="33" t="inlineStr">
        <is>
          <t>pages</t>
        </is>
      </c>
      <c r="I75" s="33" t="n"/>
      <c r="J75" s="33" t="n"/>
    </row>
    <row r="76" hidden="1" outlineLevel="1" ht="20" customHeight="1">
      <c r="A76" s="31" t="inlineStr">
        <is>
          <t>Writing / Composition</t>
        </is>
      </c>
      <c r="B76" s="5" t="n"/>
      <c r="C76" s="32" t="inlineStr">
        <is>
          <t>pages</t>
        </is>
      </c>
      <c r="D76" s="32" t="n"/>
      <c r="E76" s="32" t="n"/>
      <c r="F76" s="26" t="n"/>
      <c r="G76" s="5" t="n"/>
      <c r="H76" s="32" t="inlineStr">
        <is>
          <t>pages</t>
        </is>
      </c>
      <c r="I76" s="32" t="n"/>
      <c r="J76" s="32" t="n"/>
    </row>
    <row r="77" hidden="1" outlineLevel="1" ht="20" customHeight="1">
      <c r="A77" s="31" t="inlineStr">
        <is>
          <t>Science</t>
        </is>
      </c>
      <c r="B77" s="5" t="n"/>
      <c r="C77" s="33" t="inlineStr">
        <is>
          <t>pages</t>
        </is>
      </c>
      <c r="D77" s="33" t="n"/>
      <c r="E77" s="33" t="n"/>
      <c r="F77" s="26" t="n"/>
      <c r="G77" s="5" t="n"/>
      <c r="H77" s="33" t="inlineStr">
        <is>
          <t>pages</t>
        </is>
      </c>
      <c r="I77" s="33" t="n"/>
      <c r="J77" s="33" t="n"/>
    </row>
    <row r="78" hidden="1" outlineLevel="1" ht="20" customHeight="1">
      <c r="A78" s="31" t="inlineStr">
        <is>
          <t>Social Studies / History</t>
        </is>
      </c>
      <c r="B78" s="5" t="n"/>
      <c r="C78" s="32" t="inlineStr">
        <is>
          <t>pages</t>
        </is>
      </c>
      <c r="D78" s="32" t="n"/>
      <c r="E78" s="32" t="n"/>
      <c r="F78" s="26" t="n"/>
      <c r="G78" s="5" t="n"/>
      <c r="H78" s="32" t="inlineStr">
        <is>
          <t>pages</t>
        </is>
      </c>
      <c r="I78" s="32" t="n"/>
      <c r="J78" s="32" t="n"/>
    </row>
    <row r="79" hidden="1" outlineLevel="1" ht="20" customHeight="1">
      <c r="A79" s="31" t="inlineStr">
        <is>
          <t>Health</t>
        </is>
      </c>
      <c r="B79" s="5" t="n"/>
      <c r="C79" s="33" t="inlineStr">
        <is>
          <t>pages</t>
        </is>
      </c>
      <c r="D79" s="33" t="n"/>
      <c r="E79" s="33" t="n"/>
      <c r="F79" s="26" t="n"/>
      <c r="G79" s="5" t="n"/>
      <c r="H79" s="33" t="inlineStr">
        <is>
          <t>pages</t>
        </is>
      </c>
      <c r="I79" s="33" t="n"/>
      <c r="J79" s="33" t="n"/>
    </row>
    <row r="80" hidden="1" outlineLevel="1" ht="20" customHeight="1">
      <c r="A80" s="31" t="inlineStr">
        <is>
          <t>Physical Education</t>
        </is>
      </c>
      <c r="B80" s="5" t="n"/>
      <c r="C80" s="32" t="inlineStr">
        <is>
          <t>pages</t>
        </is>
      </c>
      <c r="D80" s="32" t="n"/>
      <c r="E80" s="32" t="n"/>
      <c r="F80" s="26" t="n"/>
      <c r="G80" s="5" t="n"/>
      <c r="H80" s="32" t="inlineStr">
        <is>
          <t>pages</t>
        </is>
      </c>
      <c r="I80" s="32" t="n"/>
      <c r="J80" s="32" t="n"/>
    </row>
    <row r="81" hidden="1" outlineLevel="1" ht="20" customHeight="1">
      <c r="A81" s="31" t="inlineStr">
        <is>
          <t>Art / Music</t>
        </is>
      </c>
      <c r="B81" s="5" t="n"/>
      <c r="C81" s="33" t="inlineStr">
        <is>
          <t>pages</t>
        </is>
      </c>
      <c r="D81" s="33" t="n"/>
      <c r="E81" s="33" t="n"/>
      <c r="F81" s="26" t="n"/>
      <c r="G81" s="5" t="n"/>
      <c r="H81" s="33" t="inlineStr">
        <is>
          <t>pages</t>
        </is>
      </c>
      <c r="I81" s="33" t="n"/>
      <c r="J81" s="33" t="n"/>
    </row>
    <row r="82" hidden="1" outlineLevel="1" ht="20" customHeight="1">
      <c r="A82" s="34" t="inlineStr">
        <is>
          <t>Elective / Other 1</t>
        </is>
      </c>
      <c r="B82" s="5" t="n"/>
      <c r="C82" s="32" t="inlineStr">
        <is>
          <t>pages</t>
        </is>
      </c>
      <c r="D82" s="32" t="n"/>
      <c r="E82" s="32" t="n"/>
      <c r="F82" s="26" t="n"/>
      <c r="G82" s="5" t="n"/>
      <c r="H82" s="32" t="inlineStr">
        <is>
          <t>pages</t>
        </is>
      </c>
      <c r="I82" s="32" t="n"/>
      <c r="J82" s="32" t="n"/>
    </row>
    <row r="83" hidden="1" outlineLevel="1" ht="20" customHeight="1">
      <c r="A83" s="34" t="inlineStr">
        <is>
          <t>Elective / Other 2</t>
        </is>
      </c>
      <c r="B83" s="5" t="n"/>
      <c r="C83" s="33" t="inlineStr">
        <is>
          <t>pages</t>
        </is>
      </c>
      <c r="D83" s="33" t="n"/>
      <c r="E83" s="33" t="n"/>
      <c r="F83" s="26" t="n"/>
      <c r="G83" s="5" t="n"/>
      <c r="H83" s="33" t="inlineStr">
        <is>
          <t>pages</t>
        </is>
      </c>
      <c r="I83" s="33" t="n"/>
      <c r="J83" s="33" t="n"/>
    </row>
    <row r="84" hidden="1" outlineLevel="1" ht="20" customHeight="1">
      <c r="A84" s="34" t="inlineStr">
        <is>
          <t>Elective / Other 3</t>
        </is>
      </c>
      <c r="B84" s="5" t="n"/>
      <c r="C84" s="32" t="inlineStr">
        <is>
          <t>pages</t>
        </is>
      </c>
      <c r="D84" s="32" t="n"/>
      <c r="E84" s="32" t="n"/>
      <c r="F84" s="26" t="n"/>
      <c r="G84" s="5" t="n"/>
      <c r="H84" s="32" t="inlineStr">
        <is>
          <t>pages</t>
        </is>
      </c>
      <c r="I84" s="32" t="n"/>
      <c r="J84" s="32" t="n"/>
    </row>
    <row r="85" hidden="1" outlineLevel="1" ht="20" customHeight="1">
      <c r="A85" s="34" t="inlineStr">
        <is>
          <t>Elective / Other 4</t>
        </is>
      </c>
      <c r="B85" s="5" t="n"/>
      <c r="C85" s="33" t="inlineStr">
        <is>
          <t>pages</t>
        </is>
      </c>
      <c r="D85" s="33" t="n"/>
      <c r="E85" s="33" t="n"/>
      <c r="F85" s="26" t="n"/>
      <c r="G85" s="5" t="n"/>
      <c r="H85" s="33" t="inlineStr">
        <is>
          <t>pages</t>
        </is>
      </c>
      <c r="I85" s="33" t="n"/>
      <c r="J85" s="33" t="n"/>
    </row>
    <row r="86" hidden="1" outlineLevel="1" ht="6" customHeight="1"/>
    <row r="87" ht="26" customHeight="1">
      <c r="A87" s="39">
        <f>IF('Getting Started'!B33&lt;&gt;"","  "&amp;UPPER('Getting Started'!B33)&amp;"   ·   "&amp;'Getting Started'!F33,"  STUDENT 5")</f>
        <v/>
      </c>
    </row>
    <row r="88" hidden="1" outlineLevel="1" ht="20" customHeight="1">
      <c r="A88" s="31" t="inlineStr">
        <is>
          <t>Bible</t>
        </is>
      </c>
      <c r="B88" s="5" t="n"/>
      <c r="C88" s="32" t="inlineStr">
        <is>
          <t>pages</t>
        </is>
      </c>
      <c r="D88" s="32" t="n"/>
      <c r="E88" s="32" t="n"/>
      <c r="F88" s="26" t="n"/>
      <c r="G88" s="5" t="n"/>
      <c r="H88" s="32" t="inlineStr">
        <is>
          <t>pages</t>
        </is>
      </c>
      <c r="I88" s="32" t="n"/>
      <c r="J88" s="32" t="n"/>
    </row>
    <row r="89" hidden="1" outlineLevel="1" ht="20" customHeight="1">
      <c r="A89" s="31" t="inlineStr">
        <is>
          <t>Math</t>
        </is>
      </c>
      <c r="B89" s="5" t="n"/>
      <c r="C89" s="33" t="inlineStr">
        <is>
          <t>pages</t>
        </is>
      </c>
      <c r="D89" s="33" t="n"/>
      <c r="E89" s="33" t="n"/>
      <c r="F89" s="26" t="n"/>
      <c r="G89" s="5" t="n"/>
      <c r="H89" s="33" t="inlineStr">
        <is>
          <t>pages</t>
        </is>
      </c>
      <c r="I89" s="33" t="n"/>
      <c r="J89" s="33" t="n"/>
    </row>
    <row r="90" hidden="1" outlineLevel="1" ht="20" customHeight="1">
      <c r="A90" s="31" t="inlineStr">
        <is>
          <t>English / Language Arts</t>
        </is>
      </c>
      <c r="B90" s="5" t="n"/>
      <c r="C90" s="32" t="inlineStr">
        <is>
          <t>pages</t>
        </is>
      </c>
      <c r="D90" s="32" t="n"/>
      <c r="E90" s="32" t="n"/>
      <c r="F90" s="26" t="n"/>
      <c r="G90" s="5" t="n"/>
      <c r="H90" s="32" t="inlineStr">
        <is>
          <t>pages</t>
        </is>
      </c>
      <c r="I90" s="32" t="n"/>
      <c r="J90" s="32" t="n"/>
    </row>
    <row r="91" hidden="1" outlineLevel="1" ht="20" customHeight="1">
      <c r="A91" s="31" t="inlineStr">
        <is>
          <t>Reading</t>
        </is>
      </c>
      <c r="B91" s="5" t="n"/>
      <c r="C91" s="33" t="inlineStr">
        <is>
          <t>pages</t>
        </is>
      </c>
      <c r="D91" s="33" t="n"/>
      <c r="E91" s="33" t="n"/>
      <c r="F91" s="26" t="n"/>
      <c r="G91" s="5" t="n"/>
      <c r="H91" s="33" t="inlineStr">
        <is>
          <t>pages</t>
        </is>
      </c>
      <c r="I91" s="33" t="n"/>
      <c r="J91" s="33" t="n"/>
    </row>
    <row r="92" hidden="1" outlineLevel="1" ht="20" customHeight="1">
      <c r="A92" s="31" t="inlineStr">
        <is>
          <t>Writing / Composition</t>
        </is>
      </c>
      <c r="B92" s="5" t="n"/>
      <c r="C92" s="32" t="inlineStr">
        <is>
          <t>pages</t>
        </is>
      </c>
      <c r="D92" s="32" t="n"/>
      <c r="E92" s="32" t="n"/>
      <c r="F92" s="26" t="n"/>
      <c r="G92" s="5" t="n"/>
      <c r="H92" s="32" t="inlineStr">
        <is>
          <t>pages</t>
        </is>
      </c>
      <c r="I92" s="32" t="n"/>
      <c r="J92" s="32" t="n"/>
    </row>
    <row r="93" hidden="1" outlineLevel="1" ht="20" customHeight="1">
      <c r="A93" s="31" t="inlineStr">
        <is>
          <t>Science</t>
        </is>
      </c>
      <c r="B93" s="5" t="n"/>
      <c r="C93" s="33" t="inlineStr">
        <is>
          <t>pages</t>
        </is>
      </c>
      <c r="D93" s="33" t="n"/>
      <c r="E93" s="33" t="n"/>
      <c r="F93" s="26" t="n"/>
      <c r="G93" s="5" t="n"/>
      <c r="H93" s="33" t="inlineStr">
        <is>
          <t>pages</t>
        </is>
      </c>
      <c r="I93" s="33" t="n"/>
      <c r="J93" s="33" t="n"/>
    </row>
    <row r="94" hidden="1" outlineLevel="1" ht="20" customHeight="1">
      <c r="A94" s="31" t="inlineStr">
        <is>
          <t>Social Studies / History</t>
        </is>
      </c>
      <c r="B94" s="5" t="n"/>
      <c r="C94" s="32" t="inlineStr">
        <is>
          <t>pages</t>
        </is>
      </c>
      <c r="D94" s="32" t="n"/>
      <c r="E94" s="32" t="n"/>
      <c r="F94" s="26" t="n"/>
      <c r="G94" s="5" t="n"/>
      <c r="H94" s="32" t="inlineStr">
        <is>
          <t>pages</t>
        </is>
      </c>
      <c r="I94" s="32" t="n"/>
      <c r="J94" s="32" t="n"/>
    </row>
    <row r="95" hidden="1" outlineLevel="1" ht="20" customHeight="1">
      <c r="A95" s="31" t="inlineStr">
        <is>
          <t>Health</t>
        </is>
      </c>
      <c r="B95" s="5" t="n"/>
      <c r="C95" s="33" t="inlineStr">
        <is>
          <t>pages</t>
        </is>
      </c>
      <c r="D95" s="33" t="n"/>
      <c r="E95" s="33" t="n"/>
      <c r="F95" s="26" t="n"/>
      <c r="G95" s="5" t="n"/>
      <c r="H95" s="33" t="inlineStr">
        <is>
          <t>pages</t>
        </is>
      </c>
      <c r="I95" s="33" t="n"/>
      <c r="J95" s="33" t="n"/>
    </row>
    <row r="96" hidden="1" outlineLevel="1" ht="20" customHeight="1">
      <c r="A96" s="31" t="inlineStr">
        <is>
          <t>Physical Education</t>
        </is>
      </c>
      <c r="B96" s="5" t="n"/>
      <c r="C96" s="32" t="inlineStr">
        <is>
          <t>pages</t>
        </is>
      </c>
      <c r="D96" s="32" t="n"/>
      <c r="E96" s="32" t="n"/>
      <c r="F96" s="26" t="n"/>
      <c r="G96" s="5" t="n"/>
      <c r="H96" s="32" t="inlineStr">
        <is>
          <t>pages</t>
        </is>
      </c>
      <c r="I96" s="32" t="n"/>
      <c r="J96" s="32" t="n"/>
    </row>
    <row r="97" hidden="1" outlineLevel="1" ht="20" customHeight="1">
      <c r="A97" s="31" t="inlineStr">
        <is>
          <t>Art / Music</t>
        </is>
      </c>
      <c r="B97" s="5" t="n"/>
      <c r="C97" s="33" t="inlineStr">
        <is>
          <t>pages</t>
        </is>
      </c>
      <c r="D97" s="33" t="n"/>
      <c r="E97" s="33" t="n"/>
      <c r="F97" s="26" t="n"/>
      <c r="G97" s="5" t="n"/>
      <c r="H97" s="33" t="inlineStr">
        <is>
          <t>pages</t>
        </is>
      </c>
      <c r="I97" s="33" t="n"/>
      <c r="J97" s="33" t="n"/>
    </row>
    <row r="98" hidden="1" outlineLevel="1" ht="20" customHeight="1">
      <c r="A98" s="34" t="inlineStr">
        <is>
          <t>Elective / Other 1</t>
        </is>
      </c>
      <c r="B98" s="5" t="n"/>
      <c r="C98" s="32" t="inlineStr">
        <is>
          <t>pages</t>
        </is>
      </c>
      <c r="D98" s="32" t="n"/>
      <c r="E98" s="32" t="n"/>
      <c r="F98" s="26" t="n"/>
      <c r="G98" s="5" t="n"/>
      <c r="H98" s="32" t="inlineStr">
        <is>
          <t>pages</t>
        </is>
      </c>
      <c r="I98" s="32" t="n"/>
      <c r="J98" s="32" t="n"/>
    </row>
    <row r="99" hidden="1" outlineLevel="1" ht="20" customHeight="1">
      <c r="A99" s="34" t="inlineStr">
        <is>
          <t>Elective / Other 2</t>
        </is>
      </c>
      <c r="B99" s="5" t="n"/>
      <c r="C99" s="33" t="inlineStr">
        <is>
          <t>pages</t>
        </is>
      </c>
      <c r="D99" s="33" t="n"/>
      <c r="E99" s="33" t="n"/>
      <c r="F99" s="26" t="n"/>
      <c r="G99" s="5" t="n"/>
      <c r="H99" s="33" t="inlineStr">
        <is>
          <t>pages</t>
        </is>
      </c>
      <c r="I99" s="33" t="n"/>
      <c r="J99" s="33" t="n"/>
    </row>
    <row r="100" hidden="1" outlineLevel="1" ht="20" customHeight="1">
      <c r="A100" s="34" t="inlineStr">
        <is>
          <t>Elective / Other 3</t>
        </is>
      </c>
      <c r="B100" s="5" t="n"/>
      <c r="C100" s="32" t="inlineStr">
        <is>
          <t>pages</t>
        </is>
      </c>
      <c r="D100" s="32" t="n"/>
      <c r="E100" s="32" t="n"/>
      <c r="F100" s="26" t="n"/>
      <c r="G100" s="5" t="n"/>
      <c r="H100" s="32" t="inlineStr">
        <is>
          <t>pages</t>
        </is>
      </c>
      <c r="I100" s="32" t="n"/>
      <c r="J100" s="32" t="n"/>
    </row>
    <row r="101" hidden="1" outlineLevel="1" ht="20" customHeight="1">
      <c r="A101" s="34" t="inlineStr">
        <is>
          <t>Elective / Other 4</t>
        </is>
      </c>
      <c r="B101" s="5" t="n"/>
      <c r="C101" s="33" t="inlineStr">
        <is>
          <t>pages</t>
        </is>
      </c>
      <c r="D101" s="33" t="n"/>
      <c r="E101" s="33" t="n"/>
      <c r="F101" s="26" t="n"/>
      <c r="G101" s="5" t="n"/>
      <c r="H101" s="33" t="inlineStr">
        <is>
          <t>pages</t>
        </is>
      </c>
      <c r="I101" s="33" t="n"/>
      <c r="J101" s="33" t="n"/>
    </row>
    <row r="102" hidden="1" outlineLevel="1" ht="6" customHeight="1"/>
    <row r="103" ht="26" customHeight="1">
      <c r="A103" s="40">
        <f>IF('Getting Started'!B34&lt;&gt;"","  "&amp;UPPER('Getting Started'!B34)&amp;"   ·   "&amp;'Getting Started'!F34,"  STUDENT 6")</f>
        <v/>
      </c>
    </row>
    <row r="104" hidden="1" outlineLevel="1" ht="20" customHeight="1">
      <c r="A104" s="31" t="inlineStr">
        <is>
          <t>Bible</t>
        </is>
      </c>
      <c r="B104" s="5" t="n"/>
      <c r="C104" s="32" t="inlineStr">
        <is>
          <t>pages</t>
        </is>
      </c>
      <c r="D104" s="32" t="n"/>
      <c r="E104" s="32" t="n"/>
      <c r="F104" s="26" t="n"/>
      <c r="G104" s="5" t="n"/>
      <c r="H104" s="32" t="inlineStr">
        <is>
          <t>pages</t>
        </is>
      </c>
      <c r="I104" s="32" t="n"/>
      <c r="J104" s="32" t="n"/>
    </row>
    <row r="105" hidden="1" outlineLevel="1" ht="20" customHeight="1">
      <c r="A105" s="31" t="inlineStr">
        <is>
          <t>Math</t>
        </is>
      </c>
      <c r="B105" s="5" t="n"/>
      <c r="C105" s="33" t="inlineStr">
        <is>
          <t>pages</t>
        </is>
      </c>
      <c r="D105" s="33" t="n"/>
      <c r="E105" s="33" t="n"/>
      <c r="F105" s="26" t="n"/>
      <c r="G105" s="5" t="n"/>
      <c r="H105" s="33" t="inlineStr">
        <is>
          <t>pages</t>
        </is>
      </c>
      <c r="I105" s="33" t="n"/>
      <c r="J105" s="33" t="n"/>
    </row>
    <row r="106" hidden="1" outlineLevel="1" ht="20" customHeight="1">
      <c r="A106" s="31" t="inlineStr">
        <is>
          <t>English / Language Arts</t>
        </is>
      </c>
      <c r="B106" s="5" t="n"/>
      <c r="C106" s="32" t="inlineStr">
        <is>
          <t>pages</t>
        </is>
      </c>
      <c r="D106" s="32" t="n"/>
      <c r="E106" s="32" t="n"/>
      <c r="F106" s="26" t="n"/>
      <c r="G106" s="5" t="n"/>
      <c r="H106" s="32" t="inlineStr">
        <is>
          <t>pages</t>
        </is>
      </c>
      <c r="I106" s="32" t="n"/>
      <c r="J106" s="32" t="n"/>
    </row>
    <row r="107" hidden="1" outlineLevel="1" ht="20" customHeight="1">
      <c r="A107" s="31" t="inlineStr">
        <is>
          <t>Reading</t>
        </is>
      </c>
      <c r="B107" s="5" t="n"/>
      <c r="C107" s="33" t="inlineStr">
        <is>
          <t>pages</t>
        </is>
      </c>
      <c r="D107" s="33" t="n"/>
      <c r="E107" s="33" t="n"/>
      <c r="F107" s="26" t="n"/>
      <c r="G107" s="5" t="n"/>
      <c r="H107" s="33" t="inlineStr">
        <is>
          <t>pages</t>
        </is>
      </c>
      <c r="I107" s="33" t="n"/>
      <c r="J107" s="33" t="n"/>
    </row>
    <row r="108" hidden="1" outlineLevel="1" ht="20" customHeight="1">
      <c r="A108" s="31" t="inlineStr">
        <is>
          <t>Writing / Composition</t>
        </is>
      </c>
      <c r="B108" s="5" t="n"/>
      <c r="C108" s="32" t="inlineStr">
        <is>
          <t>pages</t>
        </is>
      </c>
      <c r="D108" s="32" t="n"/>
      <c r="E108" s="32" t="n"/>
      <c r="F108" s="26" t="n"/>
      <c r="G108" s="5" t="n"/>
      <c r="H108" s="32" t="inlineStr">
        <is>
          <t>pages</t>
        </is>
      </c>
      <c r="I108" s="32" t="n"/>
      <c r="J108" s="32" t="n"/>
    </row>
    <row r="109" hidden="1" outlineLevel="1" ht="20" customHeight="1">
      <c r="A109" s="31" t="inlineStr">
        <is>
          <t>Science</t>
        </is>
      </c>
      <c r="B109" s="5" t="n"/>
      <c r="C109" s="33" t="inlineStr">
        <is>
          <t>pages</t>
        </is>
      </c>
      <c r="D109" s="33" t="n"/>
      <c r="E109" s="33" t="n"/>
      <c r="F109" s="26" t="n"/>
      <c r="G109" s="5" t="n"/>
      <c r="H109" s="33" t="inlineStr">
        <is>
          <t>pages</t>
        </is>
      </c>
      <c r="I109" s="33" t="n"/>
      <c r="J109" s="33" t="n"/>
    </row>
    <row r="110" hidden="1" outlineLevel="1" ht="20" customHeight="1">
      <c r="A110" s="31" t="inlineStr">
        <is>
          <t>Social Studies / History</t>
        </is>
      </c>
      <c r="B110" s="5" t="n"/>
      <c r="C110" s="32" t="inlineStr">
        <is>
          <t>pages</t>
        </is>
      </c>
      <c r="D110" s="32" t="n"/>
      <c r="E110" s="32" t="n"/>
      <c r="F110" s="26" t="n"/>
      <c r="G110" s="5" t="n"/>
      <c r="H110" s="32" t="inlineStr">
        <is>
          <t>pages</t>
        </is>
      </c>
      <c r="I110" s="32" t="n"/>
      <c r="J110" s="32" t="n"/>
    </row>
    <row r="111" hidden="1" outlineLevel="1" ht="20" customHeight="1">
      <c r="A111" s="31" t="inlineStr">
        <is>
          <t>Health</t>
        </is>
      </c>
      <c r="B111" s="5" t="n"/>
      <c r="C111" s="33" t="inlineStr">
        <is>
          <t>pages</t>
        </is>
      </c>
      <c r="D111" s="33" t="n"/>
      <c r="E111" s="33" t="n"/>
      <c r="F111" s="26" t="n"/>
      <c r="G111" s="5" t="n"/>
      <c r="H111" s="33" t="inlineStr">
        <is>
          <t>pages</t>
        </is>
      </c>
      <c r="I111" s="33" t="n"/>
      <c r="J111" s="33" t="n"/>
    </row>
    <row r="112" hidden="1" outlineLevel="1" ht="20" customHeight="1">
      <c r="A112" s="31" t="inlineStr">
        <is>
          <t>Physical Education</t>
        </is>
      </c>
      <c r="B112" s="5" t="n"/>
      <c r="C112" s="32" t="inlineStr">
        <is>
          <t>pages</t>
        </is>
      </c>
      <c r="D112" s="32" t="n"/>
      <c r="E112" s="32" t="n"/>
      <c r="F112" s="26" t="n"/>
      <c r="G112" s="5" t="n"/>
      <c r="H112" s="32" t="inlineStr">
        <is>
          <t>pages</t>
        </is>
      </c>
      <c r="I112" s="32" t="n"/>
      <c r="J112" s="32" t="n"/>
    </row>
    <row r="113" hidden="1" outlineLevel="1" ht="20" customHeight="1">
      <c r="A113" s="31" t="inlineStr">
        <is>
          <t>Art / Music</t>
        </is>
      </c>
      <c r="B113" s="5" t="n"/>
      <c r="C113" s="33" t="inlineStr">
        <is>
          <t>pages</t>
        </is>
      </c>
      <c r="D113" s="33" t="n"/>
      <c r="E113" s="33" t="n"/>
      <c r="F113" s="26" t="n"/>
      <c r="G113" s="5" t="n"/>
      <c r="H113" s="33" t="inlineStr">
        <is>
          <t>pages</t>
        </is>
      </c>
      <c r="I113" s="33" t="n"/>
      <c r="J113" s="33" t="n"/>
    </row>
    <row r="114" hidden="1" outlineLevel="1" ht="20" customHeight="1">
      <c r="A114" s="34" t="inlineStr">
        <is>
          <t>Elective / Other 1</t>
        </is>
      </c>
      <c r="B114" s="5" t="n"/>
      <c r="C114" s="32" t="inlineStr">
        <is>
          <t>pages</t>
        </is>
      </c>
      <c r="D114" s="32" t="n"/>
      <c r="E114" s="32" t="n"/>
      <c r="F114" s="26" t="n"/>
      <c r="G114" s="5" t="n"/>
      <c r="H114" s="32" t="inlineStr">
        <is>
          <t>pages</t>
        </is>
      </c>
      <c r="I114" s="32" t="n"/>
      <c r="J114" s="32" t="n"/>
    </row>
    <row r="115" hidden="1" outlineLevel="1" ht="20" customHeight="1">
      <c r="A115" s="34" t="inlineStr">
        <is>
          <t>Elective / Other 2</t>
        </is>
      </c>
      <c r="B115" s="5" t="n"/>
      <c r="C115" s="33" t="inlineStr">
        <is>
          <t>pages</t>
        </is>
      </c>
      <c r="D115" s="33" t="n"/>
      <c r="E115" s="33" t="n"/>
      <c r="F115" s="26" t="n"/>
      <c r="G115" s="5" t="n"/>
      <c r="H115" s="33" t="inlineStr">
        <is>
          <t>pages</t>
        </is>
      </c>
      <c r="I115" s="33" t="n"/>
      <c r="J115" s="33" t="n"/>
    </row>
    <row r="116" hidden="1" outlineLevel="1" ht="20" customHeight="1">
      <c r="A116" s="34" t="inlineStr">
        <is>
          <t>Elective / Other 3</t>
        </is>
      </c>
      <c r="B116" s="5" t="n"/>
      <c r="C116" s="32" t="inlineStr">
        <is>
          <t>pages</t>
        </is>
      </c>
      <c r="D116" s="32" t="n"/>
      <c r="E116" s="32" t="n"/>
      <c r="F116" s="26" t="n"/>
      <c r="G116" s="5" t="n"/>
      <c r="H116" s="32" t="inlineStr">
        <is>
          <t>pages</t>
        </is>
      </c>
      <c r="I116" s="32" t="n"/>
      <c r="J116" s="32" t="n"/>
    </row>
    <row r="117" hidden="1" outlineLevel="1" ht="20" customHeight="1">
      <c r="A117" s="34" t="inlineStr">
        <is>
          <t>Elective / Other 4</t>
        </is>
      </c>
      <c r="B117" s="5" t="n"/>
      <c r="C117" s="33" t="inlineStr">
        <is>
          <t>pages</t>
        </is>
      </c>
      <c r="D117" s="33" t="n"/>
      <c r="E117" s="33" t="n"/>
      <c r="F117" s="26" t="n"/>
      <c r="G117" s="5" t="n"/>
      <c r="H117" s="33" t="inlineStr">
        <is>
          <t>pages</t>
        </is>
      </c>
      <c r="I117" s="33" t="n"/>
      <c r="J117" s="33" t="n"/>
    </row>
    <row r="118" hidden="1" outlineLevel="1" ht="6" customHeight="1"/>
    <row r="119" ht="26" customHeight="1">
      <c r="A119" s="41">
        <f>IF('Getting Started'!B35&lt;&gt;"","  "&amp;UPPER('Getting Started'!B35)&amp;"   ·   "&amp;'Getting Started'!F35,"  STUDENT 7")</f>
        <v/>
      </c>
    </row>
    <row r="120" hidden="1" outlineLevel="1" ht="20" customHeight="1">
      <c r="A120" s="31" t="inlineStr">
        <is>
          <t>Bible</t>
        </is>
      </c>
      <c r="B120" s="5" t="n"/>
      <c r="C120" s="32" t="inlineStr">
        <is>
          <t>pages</t>
        </is>
      </c>
      <c r="D120" s="32" t="n"/>
      <c r="E120" s="32" t="n"/>
      <c r="F120" s="26" t="n"/>
      <c r="G120" s="5" t="n"/>
      <c r="H120" s="32" t="inlineStr">
        <is>
          <t>pages</t>
        </is>
      </c>
      <c r="I120" s="32" t="n"/>
      <c r="J120" s="32" t="n"/>
    </row>
    <row r="121" hidden="1" outlineLevel="1" ht="20" customHeight="1">
      <c r="A121" s="31" t="inlineStr">
        <is>
          <t>Math</t>
        </is>
      </c>
      <c r="B121" s="5" t="n"/>
      <c r="C121" s="33" t="inlineStr">
        <is>
          <t>pages</t>
        </is>
      </c>
      <c r="D121" s="33" t="n"/>
      <c r="E121" s="33" t="n"/>
      <c r="F121" s="26" t="n"/>
      <c r="G121" s="5" t="n"/>
      <c r="H121" s="33" t="inlineStr">
        <is>
          <t>pages</t>
        </is>
      </c>
      <c r="I121" s="33" t="n"/>
      <c r="J121" s="33" t="n"/>
    </row>
    <row r="122" hidden="1" outlineLevel="1" ht="20" customHeight="1">
      <c r="A122" s="31" t="inlineStr">
        <is>
          <t>English / Language Arts</t>
        </is>
      </c>
      <c r="B122" s="5" t="n"/>
      <c r="C122" s="32" t="inlineStr">
        <is>
          <t>pages</t>
        </is>
      </c>
      <c r="D122" s="32" t="n"/>
      <c r="E122" s="32" t="n"/>
      <c r="F122" s="26" t="n"/>
      <c r="G122" s="5" t="n"/>
      <c r="H122" s="32" t="inlineStr">
        <is>
          <t>pages</t>
        </is>
      </c>
      <c r="I122" s="32" t="n"/>
      <c r="J122" s="32" t="n"/>
    </row>
    <row r="123" hidden="1" outlineLevel="1" ht="20" customHeight="1">
      <c r="A123" s="31" t="inlineStr">
        <is>
          <t>Reading</t>
        </is>
      </c>
      <c r="B123" s="5" t="n"/>
      <c r="C123" s="33" t="inlineStr">
        <is>
          <t>pages</t>
        </is>
      </c>
      <c r="D123" s="33" t="n"/>
      <c r="E123" s="33" t="n"/>
      <c r="F123" s="26" t="n"/>
      <c r="G123" s="5" t="n"/>
      <c r="H123" s="33" t="inlineStr">
        <is>
          <t>pages</t>
        </is>
      </c>
      <c r="I123" s="33" t="n"/>
      <c r="J123" s="33" t="n"/>
    </row>
    <row r="124" hidden="1" outlineLevel="1" ht="20" customHeight="1">
      <c r="A124" s="31" t="inlineStr">
        <is>
          <t>Writing / Composition</t>
        </is>
      </c>
      <c r="B124" s="5" t="n"/>
      <c r="C124" s="32" t="inlineStr">
        <is>
          <t>pages</t>
        </is>
      </c>
      <c r="D124" s="32" t="n"/>
      <c r="E124" s="32" t="n"/>
      <c r="F124" s="26" t="n"/>
      <c r="G124" s="5" t="n"/>
      <c r="H124" s="32" t="inlineStr">
        <is>
          <t>pages</t>
        </is>
      </c>
      <c r="I124" s="32" t="n"/>
      <c r="J124" s="32" t="n"/>
    </row>
    <row r="125" hidden="1" outlineLevel="1" ht="20" customHeight="1">
      <c r="A125" s="31" t="inlineStr">
        <is>
          <t>Science</t>
        </is>
      </c>
      <c r="B125" s="5" t="n"/>
      <c r="C125" s="33" t="inlineStr">
        <is>
          <t>pages</t>
        </is>
      </c>
      <c r="D125" s="33" t="n"/>
      <c r="E125" s="33" t="n"/>
      <c r="F125" s="26" t="n"/>
      <c r="G125" s="5" t="n"/>
      <c r="H125" s="33" t="inlineStr">
        <is>
          <t>pages</t>
        </is>
      </c>
      <c r="I125" s="33" t="n"/>
      <c r="J125" s="33" t="n"/>
    </row>
    <row r="126" hidden="1" outlineLevel="1" ht="20" customHeight="1">
      <c r="A126" s="31" t="inlineStr">
        <is>
          <t>Social Studies / History</t>
        </is>
      </c>
      <c r="B126" s="5" t="n"/>
      <c r="C126" s="32" t="inlineStr">
        <is>
          <t>pages</t>
        </is>
      </c>
      <c r="D126" s="32" t="n"/>
      <c r="E126" s="32" t="n"/>
      <c r="F126" s="26" t="n"/>
      <c r="G126" s="5" t="n"/>
      <c r="H126" s="32" t="inlineStr">
        <is>
          <t>pages</t>
        </is>
      </c>
      <c r="I126" s="32" t="n"/>
      <c r="J126" s="32" t="n"/>
    </row>
    <row r="127" hidden="1" outlineLevel="1" ht="20" customHeight="1">
      <c r="A127" s="31" t="inlineStr">
        <is>
          <t>Health</t>
        </is>
      </c>
      <c r="B127" s="5" t="n"/>
      <c r="C127" s="33" t="inlineStr">
        <is>
          <t>pages</t>
        </is>
      </c>
      <c r="D127" s="33" t="n"/>
      <c r="E127" s="33" t="n"/>
      <c r="F127" s="26" t="n"/>
      <c r="G127" s="5" t="n"/>
      <c r="H127" s="33" t="inlineStr">
        <is>
          <t>pages</t>
        </is>
      </c>
      <c r="I127" s="33" t="n"/>
      <c r="J127" s="33" t="n"/>
    </row>
    <row r="128" hidden="1" outlineLevel="1" ht="20" customHeight="1">
      <c r="A128" s="31" t="inlineStr">
        <is>
          <t>Physical Education</t>
        </is>
      </c>
      <c r="B128" s="5" t="n"/>
      <c r="C128" s="32" t="inlineStr">
        <is>
          <t>pages</t>
        </is>
      </c>
      <c r="D128" s="32" t="n"/>
      <c r="E128" s="32" t="n"/>
      <c r="F128" s="26" t="n"/>
      <c r="G128" s="5" t="n"/>
      <c r="H128" s="32" t="inlineStr">
        <is>
          <t>pages</t>
        </is>
      </c>
      <c r="I128" s="32" t="n"/>
      <c r="J128" s="32" t="n"/>
    </row>
    <row r="129" hidden="1" outlineLevel="1" ht="20" customHeight="1">
      <c r="A129" s="31" t="inlineStr">
        <is>
          <t>Art / Music</t>
        </is>
      </c>
      <c r="B129" s="5" t="n"/>
      <c r="C129" s="33" t="inlineStr">
        <is>
          <t>pages</t>
        </is>
      </c>
      <c r="D129" s="33" t="n"/>
      <c r="E129" s="33" t="n"/>
      <c r="F129" s="26" t="n"/>
      <c r="G129" s="5" t="n"/>
      <c r="H129" s="33" t="inlineStr">
        <is>
          <t>pages</t>
        </is>
      </c>
      <c r="I129" s="33" t="n"/>
      <c r="J129" s="33" t="n"/>
    </row>
    <row r="130" hidden="1" outlineLevel="1" ht="20" customHeight="1">
      <c r="A130" s="34" t="inlineStr">
        <is>
          <t>Elective / Other 1</t>
        </is>
      </c>
      <c r="B130" s="5" t="n"/>
      <c r="C130" s="32" t="inlineStr">
        <is>
          <t>pages</t>
        </is>
      </c>
      <c r="D130" s="32" t="n"/>
      <c r="E130" s="32" t="n"/>
      <c r="F130" s="26" t="n"/>
      <c r="G130" s="5" t="n"/>
      <c r="H130" s="32" t="inlineStr">
        <is>
          <t>pages</t>
        </is>
      </c>
      <c r="I130" s="32" t="n"/>
      <c r="J130" s="32" t="n"/>
    </row>
    <row r="131" hidden="1" outlineLevel="1" ht="20" customHeight="1">
      <c r="A131" s="34" t="inlineStr">
        <is>
          <t>Elective / Other 2</t>
        </is>
      </c>
      <c r="B131" s="5" t="n"/>
      <c r="C131" s="33" t="inlineStr">
        <is>
          <t>pages</t>
        </is>
      </c>
      <c r="D131" s="33" t="n"/>
      <c r="E131" s="33" t="n"/>
      <c r="F131" s="26" t="n"/>
      <c r="G131" s="5" t="n"/>
      <c r="H131" s="33" t="inlineStr">
        <is>
          <t>pages</t>
        </is>
      </c>
      <c r="I131" s="33" t="n"/>
      <c r="J131" s="33" t="n"/>
    </row>
    <row r="132" hidden="1" outlineLevel="1" ht="20" customHeight="1">
      <c r="A132" s="34" t="inlineStr">
        <is>
          <t>Elective / Other 3</t>
        </is>
      </c>
      <c r="B132" s="5" t="n"/>
      <c r="C132" s="32" t="inlineStr">
        <is>
          <t>pages</t>
        </is>
      </c>
      <c r="D132" s="32" t="n"/>
      <c r="E132" s="32" t="n"/>
      <c r="F132" s="26" t="n"/>
      <c r="G132" s="5" t="n"/>
      <c r="H132" s="32" t="inlineStr">
        <is>
          <t>pages</t>
        </is>
      </c>
      <c r="I132" s="32" t="n"/>
      <c r="J132" s="32" t="n"/>
    </row>
    <row r="133" hidden="1" outlineLevel="1" ht="20" customHeight="1">
      <c r="A133" s="34" t="inlineStr">
        <is>
          <t>Elective / Other 4</t>
        </is>
      </c>
      <c r="B133" s="5" t="n"/>
      <c r="C133" s="33" t="inlineStr">
        <is>
          <t>pages</t>
        </is>
      </c>
      <c r="D133" s="33" t="n"/>
      <c r="E133" s="33" t="n"/>
      <c r="F133" s="26" t="n"/>
      <c r="G133" s="5" t="n"/>
      <c r="H133" s="33" t="inlineStr">
        <is>
          <t>pages</t>
        </is>
      </c>
      <c r="I133" s="33" t="n"/>
      <c r="J133" s="33" t="n"/>
    </row>
    <row r="134" hidden="1" outlineLevel="1" ht="6" customHeight="1"/>
    <row r="135" ht="26" customHeight="1">
      <c r="A135" s="42">
        <f>IF('Getting Started'!B36&lt;&gt;"","  "&amp;UPPER('Getting Started'!B36)&amp;"   ·   "&amp;'Getting Started'!F36,"  STUDENT 8")</f>
        <v/>
      </c>
    </row>
    <row r="136" hidden="1" outlineLevel="1" ht="20" customHeight="1">
      <c r="A136" s="31" t="inlineStr">
        <is>
          <t>Bible</t>
        </is>
      </c>
      <c r="B136" s="5" t="n"/>
      <c r="C136" s="32" t="inlineStr">
        <is>
          <t>pages</t>
        </is>
      </c>
      <c r="D136" s="32" t="n"/>
      <c r="E136" s="32" t="n"/>
      <c r="F136" s="26" t="n"/>
      <c r="G136" s="5" t="n"/>
      <c r="H136" s="32" t="inlineStr">
        <is>
          <t>pages</t>
        </is>
      </c>
      <c r="I136" s="32" t="n"/>
      <c r="J136" s="32" t="n"/>
    </row>
    <row r="137" hidden="1" outlineLevel="1" ht="20" customHeight="1">
      <c r="A137" s="31" t="inlineStr">
        <is>
          <t>Math</t>
        </is>
      </c>
      <c r="B137" s="5" t="n"/>
      <c r="C137" s="33" t="inlineStr">
        <is>
          <t>pages</t>
        </is>
      </c>
      <c r="D137" s="33" t="n"/>
      <c r="E137" s="33" t="n"/>
      <c r="F137" s="26" t="n"/>
      <c r="G137" s="5" t="n"/>
      <c r="H137" s="33" t="inlineStr">
        <is>
          <t>pages</t>
        </is>
      </c>
      <c r="I137" s="33" t="n"/>
      <c r="J137" s="33" t="n"/>
    </row>
    <row r="138" hidden="1" outlineLevel="1" ht="20" customHeight="1">
      <c r="A138" s="31" t="inlineStr">
        <is>
          <t>English / Language Arts</t>
        </is>
      </c>
      <c r="B138" s="5" t="n"/>
      <c r="C138" s="32" t="inlineStr">
        <is>
          <t>pages</t>
        </is>
      </c>
      <c r="D138" s="32" t="n"/>
      <c r="E138" s="32" t="n"/>
      <c r="F138" s="26" t="n"/>
      <c r="G138" s="5" t="n"/>
      <c r="H138" s="32" t="inlineStr">
        <is>
          <t>pages</t>
        </is>
      </c>
      <c r="I138" s="32" t="n"/>
      <c r="J138" s="32" t="n"/>
    </row>
    <row r="139" hidden="1" outlineLevel="1" ht="20" customHeight="1">
      <c r="A139" s="31" t="inlineStr">
        <is>
          <t>Reading</t>
        </is>
      </c>
      <c r="B139" s="5" t="n"/>
      <c r="C139" s="33" t="inlineStr">
        <is>
          <t>pages</t>
        </is>
      </c>
      <c r="D139" s="33" t="n"/>
      <c r="E139" s="33" t="n"/>
      <c r="F139" s="26" t="n"/>
      <c r="G139" s="5" t="n"/>
      <c r="H139" s="33" t="inlineStr">
        <is>
          <t>pages</t>
        </is>
      </c>
      <c r="I139" s="33" t="n"/>
      <c r="J139" s="33" t="n"/>
    </row>
    <row r="140" hidden="1" outlineLevel="1" ht="20" customHeight="1">
      <c r="A140" s="31" t="inlineStr">
        <is>
          <t>Writing / Composition</t>
        </is>
      </c>
      <c r="B140" s="5" t="n"/>
      <c r="C140" s="32" t="inlineStr">
        <is>
          <t>pages</t>
        </is>
      </c>
      <c r="D140" s="32" t="n"/>
      <c r="E140" s="32" t="n"/>
      <c r="F140" s="26" t="n"/>
      <c r="G140" s="5" t="n"/>
      <c r="H140" s="32" t="inlineStr">
        <is>
          <t>pages</t>
        </is>
      </c>
      <c r="I140" s="32" t="n"/>
      <c r="J140" s="32" t="n"/>
    </row>
    <row r="141" hidden="1" outlineLevel="1" ht="20" customHeight="1">
      <c r="A141" s="31" t="inlineStr">
        <is>
          <t>Science</t>
        </is>
      </c>
      <c r="B141" s="5" t="n"/>
      <c r="C141" s="33" t="inlineStr">
        <is>
          <t>pages</t>
        </is>
      </c>
      <c r="D141" s="33" t="n"/>
      <c r="E141" s="33" t="n"/>
      <c r="F141" s="26" t="n"/>
      <c r="G141" s="5" t="n"/>
      <c r="H141" s="33" t="inlineStr">
        <is>
          <t>pages</t>
        </is>
      </c>
      <c r="I141" s="33" t="n"/>
      <c r="J141" s="33" t="n"/>
    </row>
    <row r="142" hidden="1" outlineLevel="1" ht="20" customHeight="1">
      <c r="A142" s="31" t="inlineStr">
        <is>
          <t>Social Studies / History</t>
        </is>
      </c>
      <c r="B142" s="5" t="n"/>
      <c r="C142" s="32" t="inlineStr">
        <is>
          <t>pages</t>
        </is>
      </c>
      <c r="D142" s="32" t="n"/>
      <c r="E142" s="32" t="n"/>
      <c r="F142" s="26" t="n"/>
      <c r="G142" s="5" t="n"/>
      <c r="H142" s="32" t="inlineStr">
        <is>
          <t>pages</t>
        </is>
      </c>
      <c r="I142" s="32" t="n"/>
      <c r="J142" s="32" t="n"/>
    </row>
    <row r="143" hidden="1" outlineLevel="1" ht="20" customHeight="1">
      <c r="A143" s="31" t="inlineStr">
        <is>
          <t>Health</t>
        </is>
      </c>
      <c r="B143" s="5" t="n"/>
      <c r="C143" s="33" t="inlineStr">
        <is>
          <t>pages</t>
        </is>
      </c>
      <c r="D143" s="33" t="n"/>
      <c r="E143" s="33" t="n"/>
      <c r="F143" s="26" t="n"/>
      <c r="G143" s="5" t="n"/>
      <c r="H143" s="33" t="inlineStr">
        <is>
          <t>pages</t>
        </is>
      </c>
      <c r="I143" s="33" t="n"/>
      <c r="J143" s="33" t="n"/>
    </row>
    <row r="144" hidden="1" outlineLevel="1" ht="20" customHeight="1">
      <c r="A144" s="31" t="inlineStr">
        <is>
          <t>Physical Education</t>
        </is>
      </c>
      <c r="B144" s="5" t="n"/>
      <c r="C144" s="32" t="inlineStr">
        <is>
          <t>pages</t>
        </is>
      </c>
      <c r="D144" s="32" t="n"/>
      <c r="E144" s="32" t="n"/>
      <c r="F144" s="26" t="n"/>
      <c r="G144" s="5" t="n"/>
      <c r="H144" s="32" t="inlineStr">
        <is>
          <t>pages</t>
        </is>
      </c>
      <c r="I144" s="32" t="n"/>
      <c r="J144" s="32" t="n"/>
    </row>
    <row r="145" hidden="1" outlineLevel="1" ht="20" customHeight="1">
      <c r="A145" s="31" t="inlineStr">
        <is>
          <t>Art / Music</t>
        </is>
      </c>
      <c r="B145" s="5" t="n"/>
      <c r="C145" s="33" t="inlineStr">
        <is>
          <t>pages</t>
        </is>
      </c>
      <c r="D145" s="33" t="n"/>
      <c r="E145" s="33" t="n"/>
      <c r="F145" s="26" t="n"/>
      <c r="G145" s="5" t="n"/>
      <c r="H145" s="33" t="inlineStr">
        <is>
          <t>pages</t>
        </is>
      </c>
      <c r="I145" s="33" t="n"/>
      <c r="J145" s="33" t="n"/>
    </row>
    <row r="146" hidden="1" outlineLevel="1" ht="20" customHeight="1">
      <c r="A146" s="34" t="inlineStr">
        <is>
          <t>Elective / Other 1</t>
        </is>
      </c>
      <c r="B146" s="5" t="n"/>
      <c r="C146" s="32" t="inlineStr">
        <is>
          <t>pages</t>
        </is>
      </c>
      <c r="D146" s="32" t="n"/>
      <c r="E146" s="32" t="n"/>
      <c r="F146" s="26" t="n"/>
      <c r="G146" s="5" t="n"/>
      <c r="H146" s="32" t="inlineStr">
        <is>
          <t>pages</t>
        </is>
      </c>
      <c r="I146" s="32" t="n"/>
      <c r="J146" s="32" t="n"/>
    </row>
    <row r="147" hidden="1" outlineLevel="1" ht="20" customHeight="1">
      <c r="A147" s="34" t="inlineStr">
        <is>
          <t>Elective / Other 2</t>
        </is>
      </c>
      <c r="B147" s="5" t="n"/>
      <c r="C147" s="33" t="inlineStr">
        <is>
          <t>pages</t>
        </is>
      </c>
      <c r="D147" s="33" t="n"/>
      <c r="E147" s="33" t="n"/>
      <c r="F147" s="26" t="n"/>
      <c r="G147" s="5" t="n"/>
      <c r="H147" s="33" t="inlineStr">
        <is>
          <t>pages</t>
        </is>
      </c>
      <c r="I147" s="33" t="n"/>
      <c r="J147" s="33" t="n"/>
    </row>
    <row r="148" hidden="1" outlineLevel="1" ht="20" customHeight="1">
      <c r="A148" s="34" t="inlineStr">
        <is>
          <t>Elective / Other 3</t>
        </is>
      </c>
      <c r="B148" s="5" t="n"/>
      <c r="C148" s="32" t="inlineStr">
        <is>
          <t>pages</t>
        </is>
      </c>
      <c r="D148" s="32" t="n"/>
      <c r="E148" s="32" t="n"/>
      <c r="F148" s="26" t="n"/>
      <c r="G148" s="5" t="n"/>
      <c r="H148" s="32" t="inlineStr">
        <is>
          <t>pages</t>
        </is>
      </c>
      <c r="I148" s="32" t="n"/>
      <c r="J148" s="32" t="n"/>
    </row>
    <row r="149" hidden="1" outlineLevel="1" ht="20" customHeight="1">
      <c r="A149" s="34" t="inlineStr">
        <is>
          <t>Elective / Other 4</t>
        </is>
      </c>
      <c r="B149" s="5" t="n"/>
      <c r="C149" s="33" t="inlineStr">
        <is>
          <t>pages</t>
        </is>
      </c>
      <c r="D149" s="33" t="n"/>
      <c r="E149" s="33" t="n"/>
      <c r="F149" s="26" t="n"/>
      <c r="G149" s="5" t="n"/>
      <c r="H149" s="33" t="inlineStr">
        <is>
          <t>pages</t>
        </is>
      </c>
      <c r="I149" s="33" t="n"/>
      <c r="J149" s="33" t="n"/>
    </row>
    <row r="150" hidden="1" outlineLevel="1" ht="6" customHeight="1"/>
    <row r="151" ht="26" customHeight="1">
      <c r="A151" s="43">
        <f>IF('Getting Started'!B37&lt;&gt;"","  "&amp;UPPER('Getting Started'!B37)&amp;"   ·   "&amp;'Getting Started'!F37,"  STUDENT 9")</f>
        <v/>
      </c>
    </row>
    <row r="152" hidden="1" outlineLevel="1" ht="20" customHeight="1">
      <c r="A152" s="31" t="inlineStr">
        <is>
          <t>Bible</t>
        </is>
      </c>
      <c r="B152" s="5" t="n"/>
      <c r="C152" s="32" t="inlineStr">
        <is>
          <t>pages</t>
        </is>
      </c>
      <c r="D152" s="32" t="n"/>
      <c r="E152" s="32" t="n"/>
      <c r="F152" s="26" t="n"/>
      <c r="G152" s="5" t="n"/>
      <c r="H152" s="32" t="inlineStr">
        <is>
          <t>pages</t>
        </is>
      </c>
      <c r="I152" s="32" t="n"/>
      <c r="J152" s="32" t="n"/>
    </row>
    <row r="153" hidden="1" outlineLevel="1" ht="20" customHeight="1">
      <c r="A153" s="31" t="inlineStr">
        <is>
          <t>Math</t>
        </is>
      </c>
      <c r="B153" s="5" t="n"/>
      <c r="C153" s="33" t="inlineStr">
        <is>
          <t>pages</t>
        </is>
      </c>
      <c r="D153" s="33" t="n"/>
      <c r="E153" s="33" t="n"/>
      <c r="F153" s="26" t="n"/>
      <c r="G153" s="5" t="n"/>
      <c r="H153" s="33" t="inlineStr">
        <is>
          <t>pages</t>
        </is>
      </c>
      <c r="I153" s="33" t="n"/>
      <c r="J153" s="33" t="n"/>
    </row>
    <row r="154" hidden="1" outlineLevel="1" ht="20" customHeight="1">
      <c r="A154" s="31" t="inlineStr">
        <is>
          <t>English / Language Arts</t>
        </is>
      </c>
      <c r="B154" s="5" t="n"/>
      <c r="C154" s="32" t="inlineStr">
        <is>
          <t>pages</t>
        </is>
      </c>
      <c r="D154" s="32" t="n"/>
      <c r="E154" s="32" t="n"/>
      <c r="F154" s="26" t="n"/>
      <c r="G154" s="5" t="n"/>
      <c r="H154" s="32" t="inlineStr">
        <is>
          <t>pages</t>
        </is>
      </c>
      <c r="I154" s="32" t="n"/>
      <c r="J154" s="32" t="n"/>
    </row>
    <row r="155" hidden="1" outlineLevel="1" ht="20" customHeight="1">
      <c r="A155" s="31" t="inlineStr">
        <is>
          <t>Reading</t>
        </is>
      </c>
      <c r="B155" s="5" t="n"/>
      <c r="C155" s="33" t="inlineStr">
        <is>
          <t>pages</t>
        </is>
      </c>
      <c r="D155" s="33" t="n"/>
      <c r="E155" s="33" t="n"/>
      <c r="F155" s="26" t="n"/>
      <c r="G155" s="5" t="n"/>
      <c r="H155" s="33" t="inlineStr">
        <is>
          <t>pages</t>
        </is>
      </c>
      <c r="I155" s="33" t="n"/>
      <c r="J155" s="33" t="n"/>
    </row>
    <row r="156" hidden="1" outlineLevel="1" ht="20" customHeight="1">
      <c r="A156" s="31" t="inlineStr">
        <is>
          <t>Writing / Composition</t>
        </is>
      </c>
      <c r="B156" s="5" t="n"/>
      <c r="C156" s="32" t="inlineStr">
        <is>
          <t>pages</t>
        </is>
      </c>
      <c r="D156" s="32" t="n"/>
      <c r="E156" s="32" t="n"/>
      <c r="F156" s="26" t="n"/>
      <c r="G156" s="5" t="n"/>
      <c r="H156" s="32" t="inlineStr">
        <is>
          <t>pages</t>
        </is>
      </c>
      <c r="I156" s="32" t="n"/>
      <c r="J156" s="32" t="n"/>
    </row>
    <row r="157" hidden="1" outlineLevel="1" ht="20" customHeight="1">
      <c r="A157" s="31" t="inlineStr">
        <is>
          <t>Science</t>
        </is>
      </c>
      <c r="B157" s="5" t="n"/>
      <c r="C157" s="33" t="inlineStr">
        <is>
          <t>pages</t>
        </is>
      </c>
      <c r="D157" s="33" t="n"/>
      <c r="E157" s="33" t="n"/>
      <c r="F157" s="26" t="n"/>
      <c r="G157" s="5" t="n"/>
      <c r="H157" s="33" t="inlineStr">
        <is>
          <t>pages</t>
        </is>
      </c>
      <c r="I157" s="33" t="n"/>
      <c r="J157" s="33" t="n"/>
    </row>
    <row r="158" hidden="1" outlineLevel="1" ht="20" customHeight="1">
      <c r="A158" s="31" t="inlineStr">
        <is>
          <t>Social Studies / History</t>
        </is>
      </c>
      <c r="B158" s="5" t="n"/>
      <c r="C158" s="32" t="inlineStr">
        <is>
          <t>pages</t>
        </is>
      </c>
      <c r="D158" s="32" t="n"/>
      <c r="E158" s="32" t="n"/>
      <c r="F158" s="26" t="n"/>
      <c r="G158" s="5" t="n"/>
      <c r="H158" s="32" t="inlineStr">
        <is>
          <t>pages</t>
        </is>
      </c>
      <c r="I158" s="32" t="n"/>
      <c r="J158" s="32" t="n"/>
    </row>
    <row r="159" hidden="1" outlineLevel="1" ht="20" customHeight="1">
      <c r="A159" s="31" t="inlineStr">
        <is>
          <t>Health</t>
        </is>
      </c>
      <c r="B159" s="5" t="n"/>
      <c r="C159" s="33" t="inlineStr">
        <is>
          <t>pages</t>
        </is>
      </c>
      <c r="D159" s="33" t="n"/>
      <c r="E159" s="33" t="n"/>
      <c r="F159" s="26" t="n"/>
      <c r="G159" s="5" t="n"/>
      <c r="H159" s="33" t="inlineStr">
        <is>
          <t>pages</t>
        </is>
      </c>
      <c r="I159" s="33" t="n"/>
      <c r="J159" s="33" t="n"/>
    </row>
    <row r="160" hidden="1" outlineLevel="1" ht="20" customHeight="1">
      <c r="A160" s="31" t="inlineStr">
        <is>
          <t>Physical Education</t>
        </is>
      </c>
      <c r="B160" s="5" t="n"/>
      <c r="C160" s="32" t="inlineStr">
        <is>
          <t>pages</t>
        </is>
      </c>
      <c r="D160" s="32" t="n"/>
      <c r="E160" s="32" t="n"/>
      <c r="F160" s="26" t="n"/>
      <c r="G160" s="5" t="n"/>
      <c r="H160" s="32" t="inlineStr">
        <is>
          <t>pages</t>
        </is>
      </c>
      <c r="I160" s="32" t="n"/>
      <c r="J160" s="32" t="n"/>
    </row>
    <row r="161" hidden="1" outlineLevel="1" ht="20" customHeight="1">
      <c r="A161" s="31" t="inlineStr">
        <is>
          <t>Art / Music</t>
        </is>
      </c>
      <c r="B161" s="5" t="n"/>
      <c r="C161" s="33" t="inlineStr">
        <is>
          <t>pages</t>
        </is>
      </c>
      <c r="D161" s="33" t="n"/>
      <c r="E161" s="33" t="n"/>
      <c r="F161" s="26" t="n"/>
      <c r="G161" s="5" t="n"/>
      <c r="H161" s="33" t="inlineStr">
        <is>
          <t>pages</t>
        </is>
      </c>
      <c r="I161" s="33" t="n"/>
      <c r="J161" s="33" t="n"/>
    </row>
    <row r="162" hidden="1" outlineLevel="1" ht="20" customHeight="1">
      <c r="A162" s="34" t="inlineStr">
        <is>
          <t>Elective / Other 1</t>
        </is>
      </c>
      <c r="B162" s="5" t="n"/>
      <c r="C162" s="32" t="inlineStr">
        <is>
          <t>pages</t>
        </is>
      </c>
      <c r="D162" s="32" t="n"/>
      <c r="E162" s="32" t="n"/>
      <c r="F162" s="26" t="n"/>
      <c r="G162" s="5" t="n"/>
      <c r="H162" s="32" t="inlineStr">
        <is>
          <t>pages</t>
        </is>
      </c>
      <c r="I162" s="32" t="n"/>
      <c r="J162" s="32" t="n"/>
    </row>
    <row r="163" hidden="1" outlineLevel="1" ht="20" customHeight="1">
      <c r="A163" s="34" t="inlineStr">
        <is>
          <t>Elective / Other 2</t>
        </is>
      </c>
      <c r="B163" s="5" t="n"/>
      <c r="C163" s="33" t="inlineStr">
        <is>
          <t>pages</t>
        </is>
      </c>
      <c r="D163" s="33" t="n"/>
      <c r="E163" s="33" t="n"/>
      <c r="F163" s="26" t="n"/>
      <c r="G163" s="5" t="n"/>
      <c r="H163" s="33" t="inlineStr">
        <is>
          <t>pages</t>
        </is>
      </c>
      <c r="I163" s="33" t="n"/>
      <c r="J163" s="33" t="n"/>
    </row>
    <row r="164" hidden="1" outlineLevel="1" ht="20" customHeight="1">
      <c r="A164" s="34" t="inlineStr">
        <is>
          <t>Elective / Other 3</t>
        </is>
      </c>
      <c r="B164" s="5" t="n"/>
      <c r="C164" s="32" t="inlineStr">
        <is>
          <t>pages</t>
        </is>
      </c>
      <c r="D164" s="32" t="n"/>
      <c r="E164" s="32" t="n"/>
      <c r="F164" s="26" t="n"/>
      <c r="G164" s="5" t="n"/>
      <c r="H164" s="32" t="inlineStr">
        <is>
          <t>pages</t>
        </is>
      </c>
      <c r="I164" s="32" t="n"/>
      <c r="J164" s="32" t="n"/>
    </row>
    <row r="165" hidden="1" outlineLevel="1" ht="20" customHeight="1">
      <c r="A165" s="34" t="inlineStr">
        <is>
          <t>Elective / Other 4</t>
        </is>
      </c>
      <c r="B165" s="5" t="n"/>
      <c r="C165" s="33" t="inlineStr">
        <is>
          <t>pages</t>
        </is>
      </c>
      <c r="D165" s="33" t="n"/>
      <c r="E165" s="33" t="n"/>
      <c r="F165" s="26" t="n"/>
      <c r="G165" s="5" t="n"/>
      <c r="H165" s="33" t="inlineStr">
        <is>
          <t>pages</t>
        </is>
      </c>
      <c r="I165" s="33" t="n"/>
      <c r="J165" s="33" t="n"/>
    </row>
    <row r="166" hidden="1" outlineLevel="1" ht="6" customHeight="1"/>
    <row r="167" ht="26" customHeight="1">
      <c r="A167" s="44">
        <f>IF('Getting Started'!B38&lt;&gt;"","  "&amp;UPPER('Getting Started'!B38)&amp;"   ·   "&amp;'Getting Started'!F38,"  STUDENT 10")</f>
        <v/>
      </c>
    </row>
    <row r="168" hidden="1" outlineLevel="1" ht="20" customHeight="1">
      <c r="A168" s="31" t="inlineStr">
        <is>
          <t>Bible</t>
        </is>
      </c>
      <c r="B168" s="5" t="n"/>
      <c r="C168" s="32" t="inlineStr">
        <is>
          <t>pages</t>
        </is>
      </c>
      <c r="D168" s="32" t="n"/>
      <c r="E168" s="32" t="n"/>
      <c r="F168" s="26" t="n"/>
      <c r="G168" s="5" t="n"/>
      <c r="H168" s="32" t="inlineStr">
        <is>
          <t>pages</t>
        </is>
      </c>
      <c r="I168" s="32" t="n"/>
      <c r="J168" s="32" t="n"/>
    </row>
    <row r="169" hidden="1" outlineLevel="1" ht="20" customHeight="1">
      <c r="A169" s="31" t="inlineStr">
        <is>
          <t>Math</t>
        </is>
      </c>
      <c r="B169" s="5" t="n"/>
      <c r="C169" s="33" t="inlineStr">
        <is>
          <t>pages</t>
        </is>
      </c>
      <c r="D169" s="33" t="n"/>
      <c r="E169" s="33" t="n"/>
      <c r="F169" s="26" t="n"/>
      <c r="G169" s="5" t="n"/>
      <c r="H169" s="33" t="inlineStr">
        <is>
          <t>pages</t>
        </is>
      </c>
      <c r="I169" s="33" t="n"/>
      <c r="J169" s="33" t="n"/>
    </row>
    <row r="170" hidden="1" outlineLevel="1" ht="20" customHeight="1">
      <c r="A170" s="31" t="inlineStr">
        <is>
          <t>English / Language Arts</t>
        </is>
      </c>
      <c r="B170" s="5" t="n"/>
      <c r="C170" s="32" t="inlineStr">
        <is>
          <t>pages</t>
        </is>
      </c>
      <c r="D170" s="32" t="n"/>
      <c r="E170" s="32" t="n"/>
      <c r="F170" s="26" t="n"/>
      <c r="G170" s="5" t="n"/>
      <c r="H170" s="32" t="inlineStr">
        <is>
          <t>pages</t>
        </is>
      </c>
      <c r="I170" s="32" t="n"/>
      <c r="J170" s="32" t="n"/>
    </row>
    <row r="171" hidden="1" outlineLevel="1" ht="20" customHeight="1">
      <c r="A171" s="31" t="inlineStr">
        <is>
          <t>Reading</t>
        </is>
      </c>
      <c r="B171" s="5" t="n"/>
      <c r="C171" s="33" t="inlineStr">
        <is>
          <t>pages</t>
        </is>
      </c>
      <c r="D171" s="33" t="n"/>
      <c r="E171" s="33" t="n"/>
      <c r="F171" s="26" t="n"/>
      <c r="G171" s="5" t="n"/>
      <c r="H171" s="33" t="inlineStr">
        <is>
          <t>pages</t>
        </is>
      </c>
      <c r="I171" s="33" t="n"/>
      <c r="J171" s="33" t="n"/>
    </row>
    <row r="172" hidden="1" outlineLevel="1" ht="20" customHeight="1">
      <c r="A172" s="31" t="inlineStr">
        <is>
          <t>Writing / Composition</t>
        </is>
      </c>
      <c r="B172" s="5" t="n"/>
      <c r="C172" s="32" t="inlineStr">
        <is>
          <t>pages</t>
        </is>
      </c>
      <c r="D172" s="32" t="n"/>
      <c r="E172" s="32" t="n"/>
      <c r="F172" s="26" t="n"/>
      <c r="G172" s="5" t="n"/>
      <c r="H172" s="32" t="inlineStr">
        <is>
          <t>pages</t>
        </is>
      </c>
      <c r="I172" s="32" t="n"/>
      <c r="J172" s="32" t="n"/>
    </row>
    <row r="173" hidden="1" outlineLevel="1" ht="20" customHeight="1">
      <c r="A173" s="31" t="inlineStr">
        <is>
          <t>Science</t>
        </is>
      </c>
      <c r="B173" s="5" t="n"/>
      <c r="C173" s="33" t="inlineStr">
        <is>
          <t>pages</t>
        </is>
      </c>
      <c r="D173" s="33" t="n"/>
      <c r="E173" s="33" t="n"/>
      <c r="F173" s="26" t="n"/>
      <c r="G173" s="5" t="n"/>
      <c r="H173" s="33" t="inlineStr">
        <is>
          <t>pages</t>
        </is>
      </c>
      <c r="I173" s="33" t="n"/>
      <c r="J173" s="33" t="n"/>
    </row>
    <row r="174" hidden="1" outlineLevel="1" ht="20" customHeight="1">
      <c r="A174" s="31" t="inlineStr">
        <is>
          <t>Social Studies / History</t>
        </is>
      </c>
      <c r="B174" s="5" t="n"/>
      <c r="C174" s="32" t="inlineStr">
        <is>
          <t>pages</t>
        </is>
      </c>
      <c r="D174" s="32" t="n"/>
      <c r="E174" s="32" t="n"/>
      <c r="F174" s="26" t="n"/>
      <c r="G174" s="5" t="n"/>
      <c r="H174" s="32" t="inlineStr">
        <is>
          <t>pages</t>
        </is>
      </c>
      <c r="I174" s="32" t="n"/>
      <c r="J174" s="32" t="n"/>
    </row>
    <row r="175" hidden="1" outlineLevel="1" ht="20" customHeight="1">
      <c r="A175" s="31" t="inlineStr">
        <is>
          <t>Health</t>
        </is>
      </c>
      <c r="B175" s="5" t="n"/>
      <c r="C175" s="33" t="inlineStr">
        <is>
          <t>pages</t>
        </is>
      </c>
      <c r="D175" s="33" t="n"/>
      <c r="E175" s="33" t="n"/>
      <c r="F175" s="26" t="n"/>
      <c r="G175" s="5" t="n"/>
      <c r="H175" s="33" t="inlineStr">
        <is>
          <t>pages</t>
        </is>
      </c>
      <c r="I175" s="33" t="n"/>
      <c r="J175" s="33" t="n"/>
    </row>
    <row r="176" hidden="1" outlineLevel="1" ht="20" customHeight="1">
      <c r="A176" s="31" t="inlineStr">
        <is>
          <t>Physical Education</t>
        </is>
      </c>
      <c r="B176" s="5" t="n"/>
      <c r="C176" s="32" t="inlineStr">
        <is>
          <t>pages</t>
        </is>
      </c>
      <c r="D176" s="32" t="n"/>
      <c r="E176" s="32" t="n"/>
      <c r="F176" s="26" t="n"/>
      <c r="G176" s="5" t="n"/>
      <c r="H176" s="32" t="inlineStr">
        <is>
          <t>pages</t>
        </is>
      </c>
      <c r="I176" s="32" t="n"/>
      <c r="J176" s="32" t="n"/>
    </row>
    <row r="177" hidden="1" outlineLevel="1" ht="20" customHeight="1">
      <c r="A177" s="31" t="inlineStr">
        <is>
          <t>Art / Music</t>
        </is>
      </c>
      <c r="B177" s="5" t="n"/>
      <c r="C177" s="33" t="inlineStr">
        <is>
          <t>pages</t>
        </is>
      </c>
      <c r="D177" s="33" t="n"/>
      <c r="E177" s="33" t="n"/>
      <c r="F177" s="26" t="n"/>
      <c r="G177" s="5" t="n"/>
      <c r="H177" s="33" t="inlineStr">
        <is>
          <t>pages</t>
        </is>
      </c>
      <c r="I177" s="33" t="n"/>
      <c r="J177" s="33" t="n"/>
    </row>
    <row r="178" hidden="1" outlineLevel="1" ht="20" customHeight="1">
      <c r="A178" s="34" t="inlineStr">
        <is>
          <t>Elective / Other 1</t>
        </is>
      </c>
      <c r="B178" s="5" t="n"/>
      <c r="C178" s="32" t="inlineStr">
        <is>
          <t>pages</t>
        </is>
      </c>
      <c r="D178" s="32" t="n"/>
      <c r="E178" s="32" t="n"/>
      <c r="F178" s="26" t="n"/>
      <c r="G178" s="5" t="n"/>
      <c r="H178" s="32" t="inlineStr">
        <is>
          <t>pages</t>
        </is>
      </c>
      <c r="I178" s="32" t="n"/>
      <c r="J178" s="32" t="n"/>
    </row>
    <row r="179" hidden="1" outlineLevel="1" ht="20" customHeight="1">
      <c r="A179" s="34" t="inlineStr">
        <is>
          <t>Elective / Other 2</t>
        </is>
      </c>
      <c r="B179" s="5" t="n"/>
      <c r="C179" s="33" t="inlineStr">
        <is>
          <t>pages</t>
        </is>
      </c>
      <c r="D179" s="33" t="n"/>
      <c r="E179" s="33" t="n"/>
      <c r="F179" s="26" t="n"/>
      <c r="G179" s="5" t="n"/>
      <c r="H179" s="33" t="inlineStr">
        <is>
          <t>pages</t>
        </is>
      </c>
      <c r="I179" s="33" t="n"/>
      <c r="J179" s="33" t="n"/>
    </row>
    <row r="180" hidden="1" outlineLevel="1" ht="20" customHeight="1">
      <c r="A180" s="34" t="inlineStr">
        <is>
          <t>Elective / Other 3</t>
        </is>
      </c>
      <c r="B180" s="5" t="n"/>
      <c r="C180" s="32" t="inlineStr">
        <is>
          <t>pages</t>
        </is>
      </c>
      <c r="D180" s="32" t="n"/>
      <c r="E180" s="32" t="n"/>
      <c r="F180" s="26" t="n"/>
      <c r="G180" s="5" t="n"/>
      <c r="H180" s="32" t="inlineStr">
        <is>
          <t>pages</t>
        </is>
      </c>
      <c r="I180" s="32" t="n"/>
      <c r="J180" s="32" t="n"/>
    </row>
    <row r="181" hidden="1" outlineLevel="1" ht="20" customHeight="1">
      <c r="A181" s="34" t="inlineStr">
        <is>
          <t>Elective / Other 4</t>
        </is>
      </c>
      <c r="B181" s="5" t="n"/>
      <c r="C181" s="33" t="inlineStr">
        <is>
          <t>pages</t>
        </is>
      </c>
      <c r="D181" s="33" t="n"/>
      <c r="E181" s="33" t="n"/>
      <c r="F181" s="26" t="n"/>
      <c r="G181" s="5" t="n"/>
      <c r="H181" s="33" t="inlineStr">
        <is>
          <t>pages</t>
        </is>
      </c>
      <c r="I181" s="33" t="n"/>
      <c r="J181" s="33" t="n"/>
    </row>
    <row r="182" hidden="1" outlineLevel="1" ht="6" customHeight="1"/>
  </sheetData>
  <mergeCells count="17">
    <mergeCell ref="A5:A6"/>
    <mergeCell ref="A1:J1"/>
    <mergeCell ref="A23:J23"/>
    <mergeCell ref="A103:J103"/>
    <mergeCell ref="A119:J119"/>
    <mergeCell ref="A135:J135"/>
    <mergeCell ref="A167:J167"/>
    <mergeCell ref="A39:J39"/>
    <mergeCell ref="A55:J55"/>
    <mergeCell ref="A87:J87"/>
    <mergeCell ref="A4:J4"/>
    <mergeCell ref="A7:J7"/>
    <mergeCell ref="B5:E5"/>
    <mergeCell ref="A2:J2"/>
    <mergeCell ref="G5:J5"/>
    <mergeCell ref="A151:J151"/>
    <mergeCell ref="A71:J71"/>
  </mergeCells>
  <dataValidations count="1">
    <dataValidation sqref="C8 C9 C10 C11 C12 C13 C14 C15 C16 C17 C18 C19 C20 C21 C24 C25 C26 C27 C28 C29 C30 C31 C32 C33 C34 C35 C36 C37 C40 C41 C42 C43 C44 C45 C46 C47 C48 C49 C50 C51 C52 C53 C56 C57 C58 C59 C60 C61 C62 C63 C64 C65 C66 C67 C68 C69 C72 C73 C74 C75 C76 C77 C78 C79 C80 C81 C82 C83 C84 C85 C88 C89 C90 C91 C92 C93 C94 C95 C96 C97 C98 C99 C100 C101 C104 C105 C106 C107 C108 C109 C110 C111 C112 C113 C114 C115 C116 C117 C120 C121 C122 C123 C124 C125 C126 C127 C128 C129 C130 C131 C132 C133 C136 C137 C138 C139 C140 C141 C142 C143 C144 C145 C146 C147 C148 C149 C152 C153 C154 C155 C156 C157 C158 C159 C160 C161 C162 C163 C164 C165 C168 C169 C170 C171 C172 C173 C174 C175 C176 C177 C178 C179 C180 C181 H8 H9 H10 H11 H12 H13 H14 H15 H16 H17 H18 H19 H20 H21 H24 H25 H26 H27 H28 H29 H30 H31 H32 H33 H34 H35 H36 H37 H40 H41 H42 H43 H44 H45 H46 H47 H48 H49 H50 H51 H52 H53 H56 H57 H58 H59 H60 H61 H62 H63 H64 H65 H66 H67 H68 H69 H72 H73 H74 H75 H76 H77 H78 H79 H80 H81 H82 H83 H84 H85 H88 H89 H90 H91 H92 H93 H94 H95 H96 H97 H98 H99 H100 H101 H104 H105 H106 H107 H108 H109 H110 H111 H112 H113 H114 H115 H116 H117 H120 H121 H122 H123 H124 H125 H126 H127 H128 H129 H130 H131 H132 H133 H136 H137 H138 H139 H140 H141 H142 H143 H144 H145 H146 H147 H148 H149 H152 H153 H154 H155 H156 H157 H158 H159 H160 H161 H162 H163 H164 H165 H168 H169 H170 H171 H172 H173 H174 H175 H176 H177 H178 H179 H180 H181" showDropDown="0" showInputMessage="0" showErrorMessage="0" allowBlank="0" type="list">
      <formula1>"pages,lessons,chapters,units,assignments,projects"</formula1>
    </dataValidation>
  </dataValidations>
  <pageMargins left="0.75" right="0.75" top="1" bottom="1" header="0.5" footer="0.5"/>
</worksheet>
</file>

<file path=xl/worksheets/sheet3.xml><?xml version="1.0" encoding="utf-8"?>
<worksheet xmlns="http://schemas.openxmlformats.org/spreadsheetml/2006/main">
  <sheetPr>
    <tabColor rgb="00CE8282"/>
    <outlinePr summaryBelow="1" summaryRight="1"/>
    <pageSetUpPr/>
  </sheetPr>
  <dimension ref="A1:J173"/>
  <sheetViews>
    <sheetView workbookViewId="0">
      <pane ySplit="6" topLeftCell="A7" activePane="bottomLeft" state="frozen"/>
      <selection pane="bottomLeft" activeCell="A1" sqref="A1"/>
    </sheetView>
  </sheetViews>
  <sheetFormatPr baseColWidth="8" defaultRowHeight="15"/>
  <cols>
    <col width="28" customWidth="1" min="1" max="1"/>
    <col width="14" customWidth="1" min="2" max="2"/>
    <col width="14" customWidth="1" min="3" max="3"/>
    <col width="14" customWidth="1" min="4" max="4"/>
    <col width="18" customWidth="1" min="5" max="5"/>
    <col width="4" customWidth="1" min="6" max="6"/>
    <col width="14" customWidth="1" min="7" max="7"/>
    <col width="14" customWidth="1" min="8" max="8"/>
    <col width="14" customWidth="1" min="9" max="9"/>
    <col width="18" customWidth="1" min="10" max="10"/>
  </cols>
  <sheetData>
    <row r="1" ht="40" customHeight="1">
      <c r="A1" s="1">
        <f>IF('Getting Started'!B29="","Student 1",'Getting Started'!B29)</f>
        <v/>
      </c>
    </row>
    <row r="2" ht="22" customHeight="1">
      <c r="A2" s="45">
        <f>IFERROR("Grade: "&amp;'Getting Started'!F29&amp;"   ·   School Year: "&amp;'Getting Started'!C6,"")</f>
        <v/>
      </c>
    </row>
    <row r="3" ht="8" customHeight="1"/>
    <row r="4" ht="22" customHeight="1">
      <c r="A4" s="46">
        <f>IFERROR("SEMESTER 1   "&amp;TEXT('Getting Started'!C10,"MMM D")&amp;" – "&amp;TEXT('Getting Started'!C11,"MMM D, YYYY")&amp;"   ("&amp;'Getting Started'!C15&amp;" wks)","SEMESTER 1")</f>
        <v/>
      </c>
      <c r="F4" s="26" t="n"/>
      <c r="G4" s="47">
        <f>IFERROR("SEMESTER 2   "&amp;TEXT('Getting Started'!C18,"MMM D")&amp;" – "&amp;TEXT('Getting Started'!C19,"MMM D, YYYY")&amp;"   ("&amp;'Getting Started'!C23&amp;" wks)","SEMESTER 2")</f>
        <v/>
      </c>
    </row>
    <row r="5" ht="24" customHeight="1">
      <c r="A5" s="48" t="inlineStr">
        <is>
          <t>Subject  /  Curriculum</t>
        </is>
      </c>
      <c r="B5" s="49" t="inlineStr">
        <is>
          <t>Sem 1
Units</t>
        </is>
      </c>
      <c r="C5" s="49" t="inlineStr">
        <is>
          <t>/ Week</t>
        </is>
      </c>
      <c r="D5" s="49" t="inlineStr">
        <is>
          <t>/ Day</t>
        </is>
      </c>
      <c r="E5" s="49" t="inlineStr">
        <is>
          <t>Est. End</t>
        </is>
      </c>
      <c r="F5" s="50" t="inlineStr"/>
      <c r="G5" s="51" t="inlineStr">
        <is>
          <t>Sem 2
Units</t>
        </is>
      </c>
      <c r="H5" s="51" t="inlineStr">
        <is>
          <t>/ Week</t>
        </is>
      </c>
      <c r="I5" s="51" t="inlineStr">
        <is>
          <t>/ Day</t>
        </is>
      </c>
      <c r="J5" s="51" t="inlineStr">
        <is>
          <t>Est. End</t>
        </is>
      </c>
    </row>
    <row r="6" ht="8" customHeight="1"/>
    <row r="7" ht="24" customHeight="1">
      <c r="A7" s="52" t="inlineStr">
        <is>
          <t xml:space="preserve">  BIBLE</t>
        </is>
      </c>
      <c r="E7" s="53">
        <f>IFERROR(IF('Course Content'!B24="","← enter on Course Content tab",'Course Content'!B24),"")</f>
        <v/>
      </c>
    </row>
    <row r="8" ht="22" customHeight="1">
      <c r="B8" s="54">
        <f>'Course Content'!D24</f>
        <v/>
      </c>
      <c r="C8" s="55">
        <f>IFERROR(IF(B8="","",ROUND(B8/'Getting Started'!C15,1)),"")</f>
        <v/>
      </c>
      <c r="D8" s="55">
        <f>IFERROR(IF(C8="","",ROUND(C8/'Getting Started'!C7,1)),"")</f>
        <v/>
      </c>
      <c r="E8" s="56">
        <f>IFERROR(IF(B8="","",TEXT('Getting Started'!C10+(B8/D8),"MMM D, YYYY")),"")</f>
        <v/>
      </c>
      <c r="F8" s="26" t="n"/>
      <c r="G8" s="57">
        <f>'Course Content'!E24</f>
        <v/>
      </c>
      <c r="H8" s="58">
        <f>IFERROR(IF(G8="","",ROUND(G8/'Getting Started'!C23,1)),"")</f>
        <v/>
      </c>
      <c r="I8" s="58">
        <f>IFERROR(IF(H8="","",ROUND(H8/'Getting Started'!C7,1)),"")</f>
        <v/>
      </c>
      <c r="J8" s="59">
        <f>IFERROR(IF(G8="","",TEXT('Getting Started'!C18+(G8/I8),"MMM D, YYYY")),"")</f>
        <v/>
      </c>
    </row>
    <row r="9" ht="16" customHeight="1">
      <c r="A9" s="60" t="inlineStr">
        <is>
          <t xml:space="preserve">  Component Breakdown  (optional — use for multi-volume curricula)</t>
        </is>
      </c>
    </row>
    <row r="10" ht="22" customHeight="1">
      <c r="A10" s="48" t="inlineStr">
        <is>
          <t>#</t>
        </is>
      </c>
      <c r="B10" s="48" t="inlineStr">
        <is>
          <t>Book / Component Title</t>
        </is>
      </c>
      <c r="F10" s="48" t="inlineStr">
        <is>
          <t>Units</t>
        </is>
      </c>
      <c r="G10" s="48" t="inlineStr">
        <is>
          <t>Cumul.</t>
        </is>
      </c>
      <c r="H10" s="48" t="inlineStr">
        <is>
          <t>Start
Week</t>
        </is>
      </c>
      <c r="I10" s="48" t="inlineStr">
        <is>
          <t>End
Week</t>
        </is>
      </c>
      <c r="J10" s="48" t="inlineStr">
        <is>
          <t>Est. Dates</t>
        </is>
      </c>
    </row>
    <row r="11" ht="18" customHeight="1">
      <c r="A11" s="61" t="n">
        <v>1</v>
      </c>
      <c r="B11" s="5" t="n"/>
      <c r="F11" s="33" t="n"/>
      <c r="G11" s="17">
        <f>IFERROR(SUM(F11:F11),"")</f>
        <v/>
      </c>
      <c r="H11" s="17">
        <f>IF(F11="","",1)</f>
        <v/>
      </c>
      <c r="I11" s="17">
        <f>IFERROR(IF(F11="","",CEILING(G11/((IFERROR(B8,0)+IFERROR(G8,0))/(IFERROR('Getting Started'!C15,0)+IFERROR('Getting Started'!C23,0))),1)),"")</f>
        <v/>
      </c>
      <c r="J11" s="62">
        <f>IFERROR(IF(F11="","",TEXT('Getting Started'!C10+(H11-1)*7,"MMM D")&amp;" – "&amp;TEXT('Getting Started'!C10+I11*7,"MMM D")),"")</f>
        <v/>
      </c>
    </row>
    <row r="12" ht="18" customHeight="1">
      <c r="A12" s="61" t="n">
        <v>2</v>
      </c>
      <c r="B12" s="18" t="n"/>
      <c r="F12" s="32" t="n"/>
      <c r="G12" s="17">
        <f>IFERROR(SUM(F11:F12),"")</f>
        <v/>
      </c>
      <c r="H12" s="17">
        <f>IFERROR(IF(F12="","",FLOOR(G11/((IFERROR(B8,0)+IFERROR(G8,0))/(IFERROR('Getting Started'!C15,0)+IFERROR('Getting Started'!C23,0))),1)+1),"")</f>
        <v/>
      </c>
      <c r="I12" s="17">
        <f>IFERROR(IF(F12="","",CEILING(G12/((IFERROR(B8,0)+IFERROR(G8,0))/(IFERROR('Getting Started'!C15,0)+IFERROR('Getting Started'!C23,0))),1)),"")</f>
        <v/>
      </c>
      <c r="J12" s="62">
        <f>IFERROR(IF(F12="","",TEXT('Getting Started'!C10+(H12-1)*7,"MMM D")&amp;" – "&amp;TEXT('Getting Started'!C10+I12*7,"MMM D")),"")</f>
        <v/>
      </c>
    </row>
    <row r="13" ht="18" customHeight="1">
      <c r="A13" s="61" t="n">
        <v>3</v>
      </c>
      <c r="B13" s="5" t="n"/>
      <c r="F13" s="33" t="n"/>
      <c r="G13" s="17">
        <f>IFERROR(SUM(F11:F13),"")</f>
        <v/>
      </c>
      <c r="H13" s="17">
        <f>IFERROR(IF(F13="","",FLOOR(G12/((IFERROR(B8,0)+IFERROR(G8,0))/(IFERROR('Getting Started'!C15,0)+IFERROR('Getting Started'!C23,0))),1)+1),"")</f>
        <v/>
      </c>
      <c r="I13" s="17">
        <f>IFERROR(IF(F13="","",CEILING(G13/((IFERROR(B8,0)+IFERROR(G8,0))/(IFERROR('Getting Started'!C15,0)+IFERROR('Getting Started'!C23,0))),1)),"")</f>
        <v/>
      </c>
      <c r="J13" s="62">
        <f>IFERROR(IF(F13="","",TEXT('Getting Started'!C10+(H13-1)*7,"MMM D")&amp;" – "&amp;TEXT('Getting Started'!C10+I13*7,"MMM D")),"")</f>
        <v/>
      </c>
    </row>
    <row r="14" ht="18" customHeight="1">
      <c r="A14" s="61" t="n">
        <v>4</v>
      </c>
      <c r="B14" s="18" t="n"/>
      <c r="F14" s="32" t="n"/>
      <c r="G14" s="17">
        <f>IFERROR(SUM(F11:F14),"")</f>
        <v/>
      </c>
      <c r="H14" s="17">
        <f>IFERROR(IF(F14="","",FLOOR(G13/((IFERROR(B8,0)+IFERROR(G8,0))/(IFERROR('Getting Started'!C15,0)+IFERROR('Getting Started'!C23,0))),1)+1),"")</f>
        <v/>
      </c>
      <c r="I14" s="17">
        <f>IFERROR(IF(F14="","",CEILING(G14/((IFERROR(B8,0)+IFERROR(G8,0))/(IFERROR('Getting Started'!C15,0)+IFERROR('Getting Started'!C23,0))),1)),"")</f>
        <v/>
      </c>
      <c r="J14" s="62">
        <f>IFERROR(IF(F14="","",TEXT('Getting Started'!C10+(H14-1)*7,"MMM D")&amp;" – "&amp;TEXT('Getting Started'!C10+I14*7,"MMM D")),"")</f>
        <v/>
      </c>
    </row>
    <row r="15" ht="18" customHeight="1">
      <c r="A15" s="61" t="n">
        <v>5</v>
      </c>
      <c r="B15" s="5" t="n"/>
      <c r="F15" s="33" t="n"/>
      <c r="G15" s="17">
        <f>IFERROR(SUM(F11:F15),"")</f>
        <v/>
      </c>
      <c r="H15" s="17">
        <f>IFERROR(IF(F15="","",FLOOR(G14/((IFERROR(B8,0)+IFERROR(G8,0))/(IFERROR('Getting Started'!C15,0)+IFERROR('Getting Started'!C23,0))),1)+1),"")</f>
        <v/>
      </c>
      <c r="I15" s="17">
        <f>IFERROR(IF(F15="","",CEILING(G15/((IFERROR(B8,0)+IFERROR(G8,0))/(IFERROR('Getting Started'!C15,0)+IFERROR('Getting Started'!C23,0))),1)),"")</f>
        <v/>
      </c>
      <c r="J15" s="62">
        <f>IFERROR(IF(F15="","",TEXT('Getting Started'!C10+(H15-1)*7,"MMM D")&amp;" – "&amp;TEXT('Getting Started'!C10+I15*7,"MMM D")),"")</f>
        <v/>
      </c>
    </row>
    <row r="16" ht="18" customHeight="1">
      <c r="A16" s="61" t="n">
        <v>6</v>
      </c>
      <c r="B16" s="18" t="n"/>
      <c r="F16" s="32" t="n"/>
      <c r="G16" s="17">
        <f>IFERROR(SUM(F11:F16),"")</f>
        <v/>
      </c>
      <c r="H16" s="17">
        <f>IFERROR(IF(F16="","",FLOOR(G15/((IFERROR(B8,0)+IFERROR(G8,0))/(IFERROR('Getting Started'!C15,0)+IFERROR('Getting Started'!C23,0))),1)+1),"")</f>
        <v/>
      </c>
      <c r="I16" s="17">
        <f>IFERROR(IF(F16="","",CEILING(G16/((IFERROR(B8,0)+IFERROR(G8,0))/(IFERROR('Getting Started'!C15,0)+IFERROR('Getting Started'!C23,0))),1)),"")</f>
        <v/>
      </c>
      <c r="J16" s="62">
        <f>IFERROR(IF(F16="","",TEXT('Getting Started'!C10+(H16-1)*7,"MMM D")&amp;" – "&amp;TEXT('Getting Started'!C10+I16*7,"MMM D")),"")</f>
        <v/>
      </c>
    </row>
    <row r="17" ht="20" customHeight="1">
      <c r="A17" s="63" t="n"/>
    </row>
    <row r="18" ht="8" customHeight="1"/>
    <row r="19" ht="24" customHeight="1">
      <c r="A19" s="52" t="inlineStr">
        <is>
          <t xml:space="preserve">  MATH</t>
        </is>
      </c>
      <c r="E19" s="53">
        <f>IFERROR(IF('Course Content'!B25="","← enter on Course Content tab",'Course Content'!B25),"")</f>
        <v/>
      </c>
    </row>
    <row r="20" ht="22" customHeight="1">
      <c r="B20" s="54">
        <f>'Course Content'!D25</f>
        <v/>
      </c>
      <c r="C20" s="55">
        <f>IFERROR(IF(B20="","",ROUND(B20/'Getting Started'!C15,1)),"")</f>
        <v/>
      </c>
      <c r="D20" s="55">
        <f>IFERROR(IF(C20="","",ROUND(C20/'Getting Started'!C7,1)),"")</f>
        <v/>
      </c>
      <c r="E20" s="56">
        <f>IFERROR(IF(B20="","",TEXT('Getting Started'!C10+(B20/D20),"MMM D, YYYY")),"")</f>
        <v/>
      </c>
      <c r="F20" s="26" t="n"/>
      <c r="G20" s="57">
        <f>'Course Content'!E25</f>
        <v/>
      </c>
      <c r="H20" s="58">
        <f>IFERROR(IF(G20="","",ROUND(G20/'Getting Started'!C23,1)),"")</f>
        <v/>
      </c>
      <c r="I20" s="58">
        <f>IFERROR(IF(H20="","",ROUND(H20/'Getting Started'!C7,1)),"")</f>
        <v/>
      </c>
      <c r="J20" s="59">
        <f>IFERROR(IF(G20="","",TEXT('Getting Started'!C18+(G20/I20),"MMM D, YYYY")),"")</f>
        <v/>
      </c>
    </row>
    <row r="21" ht="16" customHeight="1">
      <c r="A21" s="60" t="inlineStr">
        <is>
          <t xml:space="preserve">  Component Breakdown  (optional — use for multi-volume curricula)</t>
        </is>
      </c>
    </row>
    <row r="22" ht="22" customHeight="1">
      <c r="A22" s="48" t="inlineStr">
        <is>
          <t>#</t>
        </is>
      </c>
      <c r="B22" s="48" t="inlineStr">
        <is>
          <t>Book / Component Title</t>
        </is>
      </c>
      <c r="F22" s="48" t="inlineStr">
        <is>
          <t>Units</t>
        </is>
      </c>
      <c r="G22" s="48" t="inlineStr">
        <is>
          <t>Cumul.</t>
        </is>
      </c>
      <c r="H22" s="48" t="inlineStr">
        <is>
          <t>Start
Week</t>
        </is>
      </c>
      <c r="I22" s="48" t="inlineStr">
        <is>
          <t>End
Week</t>
        </is>
      </c>
      <c r="J22" s="48" t="inlineStr">
        <is>
          <t>Est. Dates</t>
        </is>
      </c>
    </row>
    <row r="23" ht="18" customHeight="1">
      <c r="A23" s="61" t="n">
        <v>1</v>
      </c>
      <c r="B23" s="5" t="n"/>
      <c r="F23" s="33" t="n"/>
      <c r="G23" s="17">
        <f>IFERROR(SUM(F23:F23),"")</f>
        <v/>
      </c>
      <c r="H23" s="17">
        <f>IF(F23="","",1)</f>
        <v/>
      </c>
      <c r="I23" s="17">
        <f>IFERROR(IF(F23="","",CEILING(G23/((IFERROR(B20,0)+IFERROR(G20,0))/(IFERROR('Getting Started'!C15,0)+IFERROR('Getting Started'!C23,0))),1)),"")</f>
        <v/>
      </c>
      <c r="J23" s="62">
        <f>IFERROR(IF(F23="","",TEXT('Getting Started'!C10+(H23-1)*7,"MMM D")&amp;" – "&amp;TEXT('Getting Started'!C10+I23*7,"MMM D")),"")</f>
        <v/>
      </c>
    </row>
    <row r="24" ht="18" customHeight="1">
      <c r="A24" s="61" t="n">
        <v>2</v>
      </c>
      <c r="B24" s="18" t="n"/>
      <c r="F24" s="32" t="n"/>
      <c r="G24" s="17">
        <f>IFERROR(SUM(F23:F24),"")</f>
        <v/>
      </c>
      <c r="H24" s="17">
        <f>IFERROR(IF(F24="","",FLOOR(G23/((IFERROR(B20,0)+IFERROR(G20,0))/(IFERROR('Getting Started'!C15,0)+IFERROR('Getting Started'!C23,0))),1)+1),"")</f>
        <v/>
      </c>
      <c r="I24" s="17">
        <f>IFERROR(IF(F24="","",CEILING(G24/((IFERROR(B20,0)+IFERROR(G20,0))/(IFERROR('Getting Started'!C15,0)+IFERROR('Getting Started'!C23,0))),1)),"")</f>
        <v/>
      </c>
      <c r="J24" s="62">
        <f>IFERROR(IF(F24="","",TEXT('Getting Started'!C10+(H24-1)*7,"MMM D")&amp;" – "&amp;TEXT('Getting Started'!C10+I24*7,"MMM D")),"")</f>
        <v/>
      </c>
    </row>
    <row r="25" ht="18" customHeight="1">
      <c r="A25" s="61" t="n">
        <v>3</v>
      </c>
      <c r="B25" s="5" t="n"/>
      <c r="F25" s="33" t="n"/>
      <c r="G25" s="17">
        <f>IFERROR(SUM(F23:F25),"")</f>
        <v/>
      </c>
      <c r="H25" s="17">
        <f>IFERROR(IF(F25="","",FLOOR(G24/((IFERROR(B20,0)+IFERROR(G20,0))/(IFERROR('Getting Started'!C15,0)+IFERROR('Getting Started'!C23,0))),1)+1),"")</f>
        <v/>
      </c>
      <c r="I25" s="17">
        <f>IFERROR(IF(F25="","",CEILING(G25/((IFERROR(B20,0)+IFERROR(G20,0))/(IFERROR('Getting Started'!C15,0)+IFERROR('Getting Started'!C23,0))),1)),"")</f>
        <v/>
      </c>
      <c r="J25" s="62">
        <f>IFERROR(IF(F25="","",TEXT('Getting Started'!C10+(H25-1)*7,"MMM D")&amp;" – "&amp;TEXT('Getting Started'!C10+I25*7,"MMM D")),"")</f>
        <v/>
      </c>
    </row>
    <row r="26" ht="18" customHeight="1">
      <c r="A26" s="61" t="n">
        <v>4</v>
      </c>
      <c r="B26" s="18" t="n"/>
      <c r="F26" s="32" t="n"/>
      <c r="G26" s="17">
        <f>IFERROR(SUM(F23:F26),"")</f>
        <v/>
      </c>
      <c r="H26" s="17">
        <f>IFERROR(IF(F26="","",FLOOR(G25/((IFERROR(B20,0)+IFERROR(G20,0))/(IFERROR('Getting Started'!C15,0)+IFERROR('Getting Started'!C23,0))),1)+1),"")</f>
        <v/>
      </c>
      <c r="I26" s="17">
        <f>IFERROR(IF(F26="","",CEILING(G26/((IFERROR(B20,0)+IFERROR(G20,0))/(IFERROR('Getting Started'!C15,0)+IFERROR('Getting Started'!C23,0))),1)),"")</f>
        <v/>
      </c>
      <c r="J26" s="62">
        <f>IFERROR(IF(F26="","",TEXT('Getting Started'!C10+(H26-1)*7,"MMM D")&amp;" – "&amp;TEXT('Getting Started'!C10+I26*7,"MMM D")),"")</f>
        <v/>
      </c>
    </row>
    <row r="27" ht="18" customHeight="1">
      <c r="A27" s="61" t="n">
        <v>5</v>
      </c>
      <c r="B27" s="5" t="n"/>
      <c r="F27" s="33" t="n"/>
      <c r="G27" s="17">
        <f>IFERROR(SUM(F23:F27),"")</f>
        <v/>
      </c>
      <c r="H27" s="17">
        <f>IFERROR(IF(F27="","",FLOOR(G26/((IFERROR(B20,0)+IFERROR(G20,0))/(IFERROR('Getting Started'!C15,0)+IFERROR('Getting Started'!C23,0))),1)+1),"")</f>
        <v/>
      </c>
      <c r="I27" s="17">
        <f>IFERROR(IF(F27="","",CEILING(G27/((IFERROR(B20,0)+IFERROR(G20,0))/(IFERROR('Getting Started'!C15,0)+IFERROR('Getting Started'!C23,0))),1)),"")</f>
        <v/>
      </c>
      <c r="J27" s="62">
        <f>IFERROR(IF(F27="","",TEXT('Getting Started'!C10+(H27-1)*7,"MMM D")&amp;" – "&amp;TEXT('Getting Started'!C10+I27*7,"MMM D")),"")</f>
        <v/>
      </c>
    </row>
    <row r="28" ht="18" customHeight="1">
      <c r="A28" s="61" t="n">
        <v>6</v>
      </c>
      <c r="B28" s="18" t="n"/>
      <c r="F28" s="32" t="n"/>
      <c r="G28" s="17">
        <f>IFERROR(SUM(F23:F28),"")</f>
        <v/>
      </c>
      <c r="H28" s="17">
        <f>IFERROR(IF(F28="","",FLOOR(G27/((IFERROR(B20,0)+IFERROR(G20,0))/(IFERROR('Getting Started'!C15,0)+IFERROR('Getting Started'!C23,0))),1)+1),"")</f>
        <v/>
      </c>
      <c r="I28" s="17">
        <f>IFERROR(IF(F28="","",CEILING(G28/((IFERROR(B20,0)+IFERROR(G20,0))/(IFERROR('Getting Started'!C15,0)+IFERROR('Getting Started'!C23,0))),1)),"")</f>
        <v/>
      </c>
      <c r="J28" s="62">
        <f>IFERROR(IF(F28="","",TEXT('Getting Started'!C10+(H28-1)*7,"MMM D")&amp;" – "&amp;TEXT('Getting Started'!C10+I28*7,"MMM D")),"")</f>
        <v/>
      </c>
    </row>
    <row r="29" ht="20" customHeight="1">
      <c r="A29" s="63" t="n"/>
    </row>
    <row r="30" ht="8" customHeight="1"/>
    <row r="31" ht="24" customHeight="1">
      <c r="A31" s="52" t="inlineStr">
        <is>
          <t xml:space="preserve">  ENGLISH / LANGUAGE ARTS</t>
        </is>
      </c>
      <c r="E31" s="53">
        <f>IFERROR(IF('Course Content'!B26="","← enter on Course Content tab",'Course Content'!B26),"")</f>
        <v/>
      </c>
    </row>
    <row r="32" ht="22" customHeight="1">
      <c r="B32" s="54">
        <f>'Course Content'!D26</f>
        <v/>
      </c>
      <c r="C32" s="55">
        <f>IFERROR(IF(B32="","",ROUND(B32/'Getting Started'!C15,1)),"")</f>
        <v/>
      </c>
      <c r="D32" s="55">
        <f>IFERROR(IF(C32="","",ROUND(C32/'Getting Started'!C7,1)),"")</f>
        <v/>
      </c>
      <c r="E32" s="56">
        <f>IFERROR(IF(B32="","",TEXT('Getting Started'!C10+(B32/D32),"MMM D, YYYY")),"")</f>
        <v/>
      </c>
      <c r="F32" s="26" t="n"/>
      <c r="G32" s="57">
        <f>'Course Content'!E26</f>
        <v/>
      </c>
      <c r="H32" s="58">
        <f>IFERROR(IF(G32="","",ROUND(G32/'Getting Started'!C23,1)),"")</f>
        <v/>
      </c>
      <c r="I32" s="58">
        <f>IFERROR(IF(H32="","",ROUND(H32/'Getting Started'!C7,1)),"")</f>
        <v/>
      </c>
      <c r="J32" s="59">
        <f>IFERROR(IF(G32="","",TEXT('Getting Started'!C18+(G32/I32),"MMM D, YYYY")),"")</f>
        <v/>
      </c>
    </row>
    <row r="33" ht="16" customHeight="1">
      <c r="A33" s="60" t="inlineStr">
        <is>
          <t xml:space="preserve">  Component Breakdown  (optional — use for multi-volume curricula)</t>
        </is>
      </c>
    </row>
    <row r="34" ht="22" customHeight="1">
      <c r="A34" s="48" t="inlineStr">
        <is>
          <t>#</t>
        </is>
      </c>
      <c r="B34" s="48" t="inlineStr">
        <is>
          <t>Book / Component Title</t>
        </is>
      </c>
      <c r="F34" s="48" t="inlineStr">
        <is>
          <t>Units</t>
        </is>
      </c>
      <c r="G34" s="48" t="inlineStr">
        <is>
          <t>Cumul.</t>
        </is>
      </c>
      <c r="H34" s="48" t="inlineStr">
        <is>
          <t>Start
Week</t>
        </is>
      </c>
      <c r="I34" s="48" t="inlineStr">
        <is>
          <t>End
Week</t>
        </is>
      </c>
      <c r="J34" s="48" t="inlineStr">
        <is>
          <t>Est. Dates</t>
        </is>
      </c>
    </row>
    <row r="35" ht="18" customHeight="1">
      <c r="A35" s="61" t="n">
        <v>1</v>
      </c>
      <c r="B35" s="5" t="n"/>
      <c r="F35" s="33" t="n"/>
      <c r="G35" s="17">
        <f>IFERROR(SUM(F35:F35),"")</f>
        <v/>
      </c>
      <c r="H35" s="17">
        <f>IF(F35="","",1)</f>
        <v/>
      </c>
      <c r="I35" s="17">
        <f>IFERROR(IF(F35="","",CEILING(G35/((IFERROR(B32,0)+IFERROR(G32,0))/(IFERROR('Getting Started'!C15,0)+IFERROR('Getting Started'!C23,0))),1)),"")</f>
        <v/>
      </c>
      <c r="J35" s="62">
        <f>IFERROR(IF(F35="","",TEXT('Getting Started'!C10+(H35-1)*7,"MMM D")&amp;" – "&amp;TEXT('Getting Started'!C10+I35*7,"MMM D")),"")</f>
        <v/>
      </c>
    </row>
    <row r="36" ht="18" customHeight="1">
      <c r="A36" s="61" t="n">
        <v>2</v>
      </c>
      <c r="B36" s="18" t="n"/>
      <c r="F36" s="32" t="n"/>
      <c r="G36" s="17">
        <f>IFERROR(SUM(F35:F36),"")</f>
        <v/>
      </c>
      <c r="H36" s="17">
        <f>IFERROR(IF(F36="","",FLOOR(G35/((IFERROR(B32,0)+IFERROR(G32,0))/(IFERROR('Getting Started'!C15,0)+IFERROR('Getting Started'!C23,0))),1)+1),"")</f>
        <v/>
      </c>
      <c r="I36" s="17">
        <f>IFERROR(IF(F36="","",CEILING(G36/((IFERROR(B32,0)+IFERROR(G32,0))/(IFERROR('Getting Started'!C15,0)+IFERROR('Getting Started'!C23,0))),1)),"")</f>
        <v/>
      </c>
      <c r="J36" s="62">
        <f>IFERROR(IF(F36="","",TEXT('Getting Started'!C10+(H36-1)*7,"MMM D")&amp;" – "&amp;TEXT('Getting Started'!C10+I36*7,"MMM D")),"")</f>
        <v/>
      </c>
    </row>
    <row r="37" ht="18" customHeight="1">
      <c r="A37" s="61" t="n">
        <v>3</v>
      </c>
      <c r="B37" s="5" t="n"/>
      <c r="F37" s="33" t="n"/>
      <c r="G37" s="17">
        <f>IFERROR(SUM(F35:F37),"")</f>
        <v/>
      </c>
      <c r="H37" s="17">
        <f>IFERROR(IF(F37="","",FLOOR(G36/((IFERROR(B32,0)+IFERROR(G32,0))/(IFERROR('Getting Started'!C15,0)+IFERROR('Getting Started'!C23,0))),1)+1),"")</f>
        <v/>
      </c>
      <c r="I37" s="17">
        <f>IFERROR(IF(F37="","",CEILING(G37/((IFERROR(B32,0)+IFERROR(G32,0))/(IFERROR('Getting Started'!C15,0)+IFERROR('Getting Started'!C23,0))),1)),"")</f>
        <v/>
      </c>
      <c r="J37" s="62">
        <f>IFERROR(IF(F37="","",TEXT('Getting Started'!C10+(H37-1)*7,"MMM D")&amp;" – "&amp;TEXT('Getting Started'!C10+I37*7,"MMM D")),"")</f>
        <v/>
      </c>
    </row>
    <row r="38" ht="18" customHeight="1">
      <c r="A38" s="61" t="n">
        <v>4</v>
      </c>
      <c r="B38" s="18" t="n"/>
      <c r="F38" s="32" t="n"/>
      <c r="G38" s="17">
        <f>IFERROR(SUM(F35:F38),"")</f>
        <v/>
      </c>
      <c r="H38" s="17">
        <f>IFERROR(IF(F38="","",FLOOR(G37/((IFERROR(B32,0)+IFERROR(G32,0))/(IFERROR('Getting Started'!C15,0)+IFERROR('Getting Started'!C23,0))),1)+1),"")</f>
        <v/>
      </c>
      <c r="I38" s="17">
        <f>IFERROR(IF(F38="","",CEILING(G38/((IFERROR(B32,0)+IFERROR(G32,0))/(IFERROR('Getting Started'!C15,0)+IFERROR('Getting Started'!C23,0))),1)),"")</f>
        <v/>
      </c>
      <c r="J38" s="62">
        <f>IFERROR(IF(F38="","",TEXT('Getting Started'!C10+(H38-1)*7,"MMM D")&amp;" – "&amp;TEXT('Getting Started'!C10+I38*7,"MMM D")),"")</f>
        <v/>
      </c>
    </row>
    <row r="39" ht="18" customHeight="1">
      <c r="A39" s="61" t="n">
        <v>5</v>
      </c>
      <c r="B39" s="5" t="n"/>
      <c r="F39" s="33" t="n"/>
      <c r="G39" s="17">
        <f>IFERROR(SUM(F35:F39),"")</f>
        <v/>
      </c>
      <c r="H39" s="17">
        <f>IFERROR(IF(F39="","",FLOOR(G38/((IFERROR(B32,0)+IFERROR(G32,0))/(IFERROR('Getting Started'!C15,0)+IFERROR('Getting Started'!C23,0))),1)+1),"")</f>
        <v/>
      </c>
      <c r="I39" s="17">
        <f>IFERROR(IF(F39="","",CEILING(G39/((IFERROR(B32,0)+IFERROR(G32,0))/(IFERROR('Getting Started'!C15,0)+IFERROR('Getting Started'!C23,0))),1)),"")</f>
        <v/>
      </c>
      <c r="J39" s="62">
        <f>IFERROR(IF(F39="","",TEXT('Getting Started'!C10+(H39-1)*7,"MMM D")&amp;" – "&amp;TEXT('Getting Started'!C10+I39*7,"MMM D")),"")</f>
        <v/>
      </c>
    </row>
    <row r="40" ht="18" customHeight="1">
      <c r="A40" s="61" t="n">
        <v>6</v>
      </c>
      <c r="B40" s="18" t="n"/>
      <c r="F40" s="32" t="n"/>
      <c r="G40" s="17">
        <f>IFERROR(SUM(F35:F40),"")</f>
        <v/>
      </c>
      <c r="H40" s="17">
        <f>IFERROR(IF(F40="","",FLOOR(G39/((IFERROR(B32,0)+IFERROR(G32,0))/(IFERROR('Getting Started'!C15,0)+IFERROR('Getting Started'!C23,0))),1)+1),"")</f>
        <v/>
      </c>
      <c r="I40" s="17">
        <f>IFERROR(IF(F40="","",CEILING(G40/((IFERROR(B32,0)+IFERROR(G32,0))/(IFERROR('Getting Started'!C15,0)+IFERROR('Getting Started'!C23,0))),1)),"")</f>
        <v/>
      </c>
      <c r="J40" s="62">
        <f>IFERROR(IF(F40="","",TEXT('Getting Started'!C10+(H40-1)*7,"MMM D")&amp;" – "&amp;TEXT('Getting Started'!C10+I40*7,"MMM D")),"")</f>
        <v/>
      </c>
    </row>
    <row r="41" ht="20" customHeight="1">
      <c r="A41" s="63" t="n"/>
    </row>
    <row r="42" ht="8" customHeight="1"/>
    <row r="43" ht="24" customHeight="1">
      <c r="A43" s="52" t="inlineStr">
        <is>
          <t xml:space="preserve">  READING</t>
        </is>
      </c>
      <c r="E43" s="53">
        <f>IFERROR(IF('Course Content'!B27="","← enter on Course Content tab",'Course Content'!B27),"")</f>
        <v/>
      </c>
    </row>
    <row r="44" ht="22" customHeight="1">
      <c r="B44" s="54">
        <f>'Course Content'!D27</f>
        <v/>
      </c>
      <c r="C44" s="55">
        <f>IFERROR(IF(B44="","",ROUND(B44/'Getting Started'!C15,1)),"")</f>
        <v/>
      </c>
      <c r="D44" s="55">
        <f>IFERROR(IF(C44="","",ROUND(C44/'Getting Started'!C7,1)),"")</f>
        <v/>
      </c>
      <c r="E44" s="56">
        <f>IFERROR(IF(B44="","",TEXT('Getting Started'!C10+(B44/D44),"MMM D, YYYY")),"")</f>
        <v/>
      </c>
      <c r="F44" s="26" t="n"/>
      <c r="G44" s="57">
        <f>'Course Content'!E27</f>
        <v/>
      </c>
      <c r="H44" s="58">
        <f>IFERROR(IF(G44="","",ROUND(G44/'Getting Started'!C23,1)),"")</f>
        <v/>
      </c>
      <c r="I44" s="58">
        <f>IFERROR(IF(H44="","",ROUND(H44/'Getting Started'!C7,1)),"")</f>
        <v/>
      </c>
      <c r="J44" s="59">
        <f>IFERROR(IF(G44="","",TEXT('Getting Started'!C18+(G44/I44),"MMM D, YYYY")),"")</f>
        <v/>
      </c>
    </row>
    <row r="45" ht="16" customHeight="1">
      <c r="A45" s="60" t="inlineStr">
        <is>
          <t xml:space="preserve">  Component Breakdown  (optional — use for multi-volume curricula)</t>
        </is>
      </c>
    </row>
    <row r="46" ht="22" customHeight="1">
      <c r="A46" s="48" t="inlineStr">
        <is>
          <t>#</t>
        </is>
      </c>
      <c r="B46" s="48" t="inlineStr">
        <is>
          <t>Book / Component Title</t>
        </is>
      </c>
      <c r="F46" s="48" t="inlineStr">
        <is>
          <t>Units</t>
        </is>
      </c>
      <c r="G46" s="48" t="inlineStr">
        <is>
          <t>Cumul.</t>
        </is>
      </c>
      <c r="H46" s="48" t="inlineStr">
        <is>
          <t>Start
Week</t>
        </is>
      </c>
      <c r="I46" s="48" t="inlineStr">
        <is>
          <t>End
Week</t>
        </is>
      </c>
      <c r="J46" s="48" t="inlineStr">
        <is>
          <t>Est. Dates</t>
        </is>
      </c>
    </row>
    <row r="47" ht="18" customHeight="1">
      <c r="A47" s="61" t="n">
        <v>1</v>
      </c>
      <c r="B47" s="5" t="n"/>
      <c r="F47" s="33" t="n"/>
      <c r="G47" s="17">
        <f>IFERROR(SUM(F47:F47),"")</f>
        <v/>
      </c>
      <c r="H47" s="17">
        <f>IF(F47="","",1)</f>
        <v/>
      </c>
      <c r="I47" s="17">
        <f>IFERROR(IF(F47="","",CEILING(G47/((IFERROR(B44,0)+IFERROR(G44,0))/(IFERROR('Getting Started'!C15,0)+IFERROR('Getting Started'!C23,0))),1)),"")</f>
        <v/>
      </c>
      <c r="J47" s="62">
        <f>IFERROR(IF(F47="","",TEXT('Getting Started'!C10+(H47-1)*7,"MMM D")&amp;" – "&amp;TEXT('Getting Started'!C10+I47*7,"MMM D")),"")</f>
        <v/>
      </c>
    </row>
    <row r="48" ht="18" customHeight="1">
      <c r="A48" s="61" t="n">
        <v>2</v>
      </c>
      <c r="B48" s="18" t="n"/>
      <c r="F48" s="32" t="n"/>
      <c r="G48" s="17">
        <f>IFERROR(SUM(F47:F48),"")</f>
        <v/>
      </c>
      <c r="H48" s="17">
        <f>IFERROR(IF(F48="","",FLOOR(G47/((IFERROR(B44,0)+IFERROR(G44,0))/(IFERROR('Getting Started'!C15,0)+IFERROR('Getting Started'!C23,0))),1)+1),"")</f>
        <v/>
      </c>
      <c r="I48" s="17">
        <f>IFERROR(IF(F48="","",CEILING(G48/((IFERROR(B44,0)+IFERROR(G44,0))/(IFERROR('Getting Started'!C15,0)+IFERROR('Getting Started'!C23,0))),1)),"")</f>
        <v/>
      </c>
      <c r="J48" s="62">
        <f>IFERROR(IF(F48="","",TEXT('Getting Started'!C10+(H48-1)*7,"MMM D")&amp;" – "&amp;TEXT('Getting Started'!C10+I48*7,"MMM D")),"")</f>
        <v/>
      </c>
    </row>
    <row r="49" ht="18" customHeight="1">
      <c r="A49" s="61" t="n">
        <v>3</v>
      </c>
      <c r="B49" s="5" t="n"/>
      <c r="F49" s="33" t="n"/>
      <c r="G49" s="17">
        <f>IFERROR(SUM(F47:F49),"")</f>
        <v/>
      </c>
      <c r="H49" s="17">
        <f>IFERROR(IF(F49="","",FLOOR(G48/((IFERROR(B44,0)+IFERROR(G44,0))/(IFERROR('Getting Started'!C15,0)+IFERROR('Getting Started'!C23,0))),1)+1),"")</f>
        <v/>
      </c>
      <c r="I49" s="17">
        <f>IFERROR(IF(F49="","",CEILING(G49/((IFERROR(B44,0)+IFERROR(G44,0))/(IFERROR('Getting Started'!C15,0)+IFERROR('Getting Started'!C23,0))),1)),"")</f>
        <v/>
      </c>
      <c r="J49" s="62">
        <f>IFERROR(IF(F49="","",TEXT('Getting Started'!C10+(H49-1)*7,"MMM D")&amp;" – "&amp;TEXT('Getting Started'!C10+I49*7,"MMM D")),"")</f>
        <v/>
      </c>
    </row>
    <row r="50" ht="18" customHeight="1">
      <c r="A50" s="61" t="n">
        <v>4</v>
      </c>
      <c r="B50" s="18" t="n"/>
      <c r="F50" s="32" t="n"/>
      <c r="G50" s="17">
        <f>IFERROR(SUM(F47:F50),"")</f>
        <v/>
      </c>
      <c r="H50" s="17">
        <f>IFERROR(IF(F50="","",FLOOR(G49/((IFERROR(B44,0)+IFERROR(G44,0))/(IFERROR('Getting Started'!C15,0)+IFERROR('Getting Started'!C23,0))),1)+1),"")</f>
        <v/>
      </c>
      <c r="I50" s="17">
        <f>IFERROR(IF(F50="","",CEILING(G50/((IFERROR(B44,0)+IFERROR(G44,0))/(IFERROR('Getting Started'!C15,0)+IFERROR('Getting Started'!C23,0))),1)),"")</f>
        <v/>
      </c>
      <c r="J50" s="62">
        <f>IFERROR(IF(F50="","",TEXT('Getting Started'!C10+(H50-1)*7,"MMM D")&amp;" – "&amp;TEXT('Getting Started'!C10+I50*7,"MMM D")),"")</f>
        <v/>
      </c>
    </row>
    <row r="51" ht="18" customHeight="1">
      <c r="A51" s="61" t="n">
        <v>5</v>
      </c>
      <c r="B51" s="5" t="n"/>
      <c r="F51" s="33" t="n"/>
      <c r="G51" s="17">
        <f>IFERROR(SUM(F47:F51),"")</f>
        <v/>
      </c>
      <c r="H51" s="17">
        <f>IFERROR(IF(F51="","",FLOOR(G50/((IFERROR(B44,0)+IFERROR(G44,0))/(IFERROR('Getting Started'!C15,0)+IFERROR('Getting Started'!C23,0))),1)+1),"")</f>
        <v/>
      </c>
      <c r="I51" s="17">
        <f>IFERROR(IF(F51="","",CEILING(G51/((IFERROR(B44,0)+IFERROR(G44,0))/(IFERROR('Getting Started'!C15,0)+IFERROR('Getting Started'!C23,0))),1)),"")</f>
        <v/>
      </c>
      <c r="J51" s="62">
        <f>IFERROR(IF(F51="","",TEXT('Getting Started'!C10+(H51-1)*7,"MMM D")&amp;" – "&amp;TEXT('Getting Started'!C10+I51*7,"MMM D")),"")</f>
        <v/>
      </c>
    </row>
    <row r="52" ht="18" customHeight="1">
      <c r="A52" s="61" t="n">
        <v>6</v>
      </c>
      <c r="B52" s="18" t="n"/>
      <c r="F52" s="32" t="n"/>
      <c r="G52" s="17">
        <f>IFERROR(SUM(F47:F52),"")</f>
        <v/>
      </c>
      <c r="H52" s="17">
        <f>IFERROR(IF(F52="","",FLOOR(G51/((IFERROR(B44,0)+IFERROR(G44,0))/(IFERROR('Getting Started'!C15,0)+IFERROR('Getting Started'!C23,0))),1)+1),"")</f>
        <v/>
      </c>
      <c r="I52" s="17">
        <f>IFERROR(IF(F52="","",CEILING(G52/((IFERROR(B44,0)+IFERROR(G44,0))/(IFERROR('Getting Started'!C15,0)+IFERROR('Getting Started'!C23,0))),1)),"")</f>
        <v/>
      </c>
      <c r="J52" s="62">
        <f>IFERROR(IF(F52="","",TEXT('Getting Started'!C10+(H52-1)*7,"MMM D")&amp;" – "&amp;TEXT('Getting Started'!C10+I52*7,"MMM D")),"")</f>
        <v/>
      </c>
    </row>
    <row r="53" ht="20" customHeight="1">
      <c r="A53" s="63" t="n"/>
    </row>
    <row r="54" ht="8" customHeight="1"/>
    <row r="55" ht="24" customHeight="1">
      <c r="A55" s="52" t="inlineStr">
        <is>
          <t xml:space="preserve">  WRITING / COMPOSITION</t>
        </is>
      </c>
      <c r="E55" s="53">
        <f>IFERROR(IF('Course Content'!B28="","← enter on Course Content tab",'Course Content'!B28),"")</f>
        <v/>
      </c>
    </row>
    <row r="56" ht="22" customHeight="1">
      <c r="B56" s="54">
        <f>'Course Content'!D28</f>
        <v/>
      </c>
      <c r="C56" s="55">
        <f>IFERROR(IF(B56="","",ROUND(B56/'Getting Started'!C15,1)),"")</f>
        <v/>
      </c>
      <c r="D56" s="55">
        <f>IFERROR(IF(C56="","",ROUND(C56/'Getting Started'!C7,1)),"")</f>
        <v/>
      </c>
      <c r="E56" s="56">
        <f>IFERROR(IF(B56="","",TEXT('Getting Started'!C10+(B56/D56),"MMM D, YYYY")),"")</f>
        <v/>
      </c>
      <c r="F56" s="26" t="n"/>
      <c r="G56" s="57">
        <f>'Course Content'!E28</f>
        <v/>
      </c>
      <c r="H56" s="58">
        <f>IFERROR(IF(G56="","",ROUND(G56/'Getting Started'!C23,1)),"")</f>
        <v/>
      </c>
      <c r="I56" s="58">
        <f>IFERROR(IF(H56="","",ROUND(H56/'Getting Started'!C7,1)),"")</f>
        <v/>
      </c>
      <c r="J56" s="59">
        <f>IFERROR(IF(G56="","",TEXT('Getting Started'!C18+(G56/I56),"MMM D, YYYY")),"")</f>
        <v/>
      </c>
    </row>
    <row r="57" ht="16" customHeight="1">
      <c r="A57" s="60" t="inlineStr">
        <is>
          <t xml:space="preserve">  Component Breakdown  (optional — use for multi-volume curricula)</t>
        </is>
      </c>
    </row>
    <row r="58" ht="22" customHeight="1">
      <c r="A58" s="48" t="inlineStr">
        <is>
          <t>#</t>
        </is>
      </c>
      <c r="B58" s="48" t="inlineStr">
        <is>
          <t>Book / Component Title</t>
        </is>
      </c>
      <c r="F58" s="48" t="inlineStr">
        <is>
          <t>Units</t>
        </is>
      </c>
      <c r="G58" s="48" t="inlineStr">
        <is>
          <t>Cumul.</t>
        </is>
      </c>
      <c r="H58" s="48" t="inlineStr">
        <is>
          <t>Start
Week</t>
        </is>
      </c>
      <c r="I58" s="48" t="inlineStr">
        <is>
          <t>End
Week</t>
        </is>
      </c>
      <c r="J58" s="48" t="inlineStr">
        <is>
          <t>Est. Dates</t>
        </is>
      </c>
    </row>
    <row r="59" ht="18" customHeight="1">
      <c r="A59" s="61" t="n">
        <v>1</v>
      </c>
      <c r="B59" s="5" t="n"/>
      <c r="F59" s="33" t="n"/>
      <c r="G59" s="17">
        <f>IFERROR(SUM(F59:F59),"")</f>
        <v/>
      </c>
      <c r="H59" s="17">
        <f>IF(F59="","",1)</f>
        <v/>
      </c>
      <c r="I59" s="17">
        <f>IFERROR(IF(F59="","",CEILING(G59/((IFERROR(B56,0)+IFERROR(G56,0))/(IFERROR('Getting Started'!C15,0)+IFERROR('Getting Started'!C23,0))),1)),"")</f>
        <v/>
      </c>
      <c r="J59" s="62">
        <f>IFERROR(IF(F59="","",TEXT('Getting Started'!C10+(H59-1)*7,"MMM D")&amp;" – "&amp;TEXT('Getting Started'!C10+I59*7,"MMM D")),"")</f>
        <v/>
      </c>
    </row>
    <row r="60" ht="18" customHeight="1">
      <c r="A60" s="61" t="n">
        <v>2</v>
      </c>
      <c r="B60" s="18" t="n"/>
      <c r="F60" s="32" t="n"/>
      <c r="G60" s="17">
        <f>IFERROR(SUM(F59:F60),"")</f>
        <v/>
      </c>
      <c r="H60" s="17">
        <f>IFERROR(IF(F60="","",FLOOR(G59/((IFERROR(B56,0)+IFERROR(G56,0))/(IFERROR('Getting Started'!C15,0)+IFERROR('Getting Started'!C23,0))),1)+1),"")</f>
        <v/>
      </c>
      <c r="I60" s="17">
        <f>IFERROR(IF(F60="","",CEILING(G60/((IFERROR(B56,0)+IFERROR(G56,0))/(IFERROR('Getting Started'!C15,0)+IFERROR('Getting Started'!C23,0))),1)),"")</f>
        <v/>
      </c>
      <c r="J60" s="62">
        <f>IFERROR(IF(F60="","",TEXT('Getting Started'!C10+(H60-1)*7,"MMM D")&amp;" – "&amp;TEXT('Getting Started'!C10+I60*7,"MMM D")),"")</f>
        <v/>
      </c>
    </row>
    <row r="61" ht="18" customHeight="1">
      <c r="A61" s="61" t="n">
        <v>3</v>
      </c>
      <c r="B61" s="5" t="n"/>
      <c r="F61" s="33" t="n"/>
      <c r="G61" s="17">
        <f>IFERROR(SUM(F59:F61),"")</f>
        <v/>
      </c>
      <c r="H61" s="17">
        <f>IFERROR(IF(F61="","",FLOOR(G60/((IFERROR(B56,0)+IFERROR(G56,0))/(IFERROR('Getting Started'!C15,0)+IFERROR('Getting Started'!C23,0))),1)+1),"")</f>
        <v/>
      </c>
      <c r="I61" s="17">
        <f>IFERROR(IF(F61="","",CEILING(G61/((IFERROR(B56,0)+IFERROR(G56,0))/(IFERROR('Getting Started'!C15,0)+IFERROR('Getting Started'!C23,0))),1)),"")</f>
        <v/>
      </c>
      <c r="J61" s="62">
        <f>IFERROR(IF(F61="","",TEXT('Getting Started'!C10+(H61-1)*7,"MMM D")&amp;" – "&amp;TEXT('Getting Started'!C10+I61*7,"MMM D")),"")</f>
        <v/>
      </c>
    </row>
    <row r="62" ht="18" customHeight="1">
      <c r="A62" s="61" t="n">
        <v>4</v>
      </c>
      <c r="B62" s="18" t="n"/>
      <c r="F62" s="32" t="n"/>
      <c r="G62" s="17">
        <f>IFERROR(SUM(F59:F62),"")</f>
        <v/>
      </c>
      <c r="H62" s="17">
        <f>IFERROR(IF(F62="","",FLOOR(G61/((IFERROR(B56,0)+IFERROR(G56,0))/(IFERROR('Getting Started'!C15,0)+IFERROR('Getting Started'!C23,0))),1)+1),"")</f>
        <v/>
      </c>
      <c r="I62" s="17">
        <f>IFERROR(IF(F62="","",CEILING(G62/((IFERROR(B56,0)+IFERROR(G56,0))/(IFERROR('Getting Started'!C15,0)+IFERROR('Getting Started'!C23,0))),1)),"")</f>
        <v/>
      </c>
      <c r="J62" s="62">
        <f>IFERROR(IF(F62="","",TEXT('Getting Started'!C10+(H62-1)*7,"MMM D")&amp;" – "&amp;TEXT('Getting Started'!C10+I62*7,"MMM D")),"")</f>
        <v/>
      </c>
    </row>
    <row r="63" ht="18" customHeight="1">
      <c r="A63" s="61" t="n">
        <v>5</v>
      </c>
      <c r="B63" s="5" t="n"/>
      <c r="F63" s="33" t="n"/>
      <c r="G63" s="17">
        <f>IFERROR(SUM(F59:F63),"")</f>
        <v/>
      </c>
      <c r="H63" s="17">
        <f>IFERROR(IF(F63="","",FLOOR(G62/((IFERROR(B56,0)+IFERROR(G56,0))/(IFERROR('Getting Started'!C15,0)+IFERROR('Getting Started'!C23,0))),1)+1),"")</f>
        <v/>
      </c>
      <c r="I63" s="17">
        <f>IFERROR(IF(F63="","",CEILING(G63/((IFERROR(B56,0)+IFERROR(G56,0))/(IFERROR('Getting Started'!C15,0)+IFERROR('Getting Started'!C23,0))),1)),"")</f>
        <v/>
      </c>
      <c r="J63" s="62">
        <f>IFERROR(IF(F63="","",TEXT('Getting Started'!C10+(H63-1)*7,"MMM D")&amp;" – "&amp;TEXT('Getting Started'!C10+I63*7,"MMM D")),"")</f>
        <v/>
      </c>
    </row>
    <row r="64" ht="18" customHeight="1">
      <c r="A64" s="61" t="n">
        <v>6</v>
      </c>
      <c r="B64" s="18" t="n"/>
      <c r="F64" s="32" t="n"/>
      <c r="G64" s="17">
        <f>IFERROR(SUM(F59:F64),"")</f>
        <v/>
      </c>
      <c r="H64" s="17">
        <f>IFERROR(IF(F64="","",FLOOR(G63/((IFERROR(B56,0)+IFERROR(G56,0))/(IFERROR('Getting Started'!C15,0)+IFERROR('Getting Started'!C23,0))),1)+1),"")</f>
        <v/>
      </c>
      <c r="I64" s="17">
        <f>IFERROR(IF(F64="","",CEILING(G64/((IFERROR(B56,0)+IFERROR(G56,0))/(IFERROR('Getting Started'!C15,0)+IFERROR('Getting Started'!C23,0))),1)),"")</f>
        <v/>
      </c>
      <c r="J64" s="62">
        <f>IFERROR(IF(F64="","",TEXT('Getting Started'!C10+(H64-1)*7,"MMM D")&amp;" – "&amp;TEXT('Getting Started'!C10+I64*7,"MMM D")),"")</f>
        <v/>
      </c>
    </row>
    <row r="65" ht="20" customHeight="1">
      <c r="A65" s="63" t="n"/>
    </row>
    <row r="66" ht="8" customHeight="1"/>
    <row r="67" ht="24" customHeight="1">
      <c r="A67" s="52" t="inlineStr">
        <is>
          <t xml:space="preserve">  SCIENCE</t>
        </is>
      </c>
      <c r="E67" s="53">
        <f>IFERROR(IF('Course Content'!B29="","← enter on Course Content tab",'Course Content'!B29),"")</f>
        <v/>
      </c>
    </row>
    <row r="68" ht="22" customHeight="1">
      <c r="B68" s="54">
        <f>'Course Content'!D29</f>
        <v/>
      </c>
      <c r="C68" s="55">
        <f>IFERROR(IF(B68="","",ROUND(B68/'Getting Started'!C15,1)),"")</f>
        <v/>
      </c>
      <c r="D68" s="55">
        <f>IFERROR(IF(C68="","",ROUND(C68/'Getting Started'!C7,1)),"")</f>
        <v/>
      </c>
      <c r="E68" s="56">
        <f>IFERROR(IF(B68="","",TEXT('Getting Started'!C10+(B68/D68),"MMM D, YYYY")),"")</f>
        <v/>
      </c>
      <c r="F68" s="26" t="n"/>
      <c r="G68" s="57">
        <f>'Course Content'!E29</f>
        <v/>
      </c>
      <c r="H68" s="58">
        <f>IFERROR(IF(G68="","",ROUND(G68/'Getting Started'!C23,1)),"")</f>
        <v/>
      </c>
      <c r="I68" s="58">
        <f>IFERROR(IF(H68="","",ROUND(H68/'Getting Started'!C7,1)),"")</f>
        <v/>
      </c>
      <c r="J68" s="59">
        <f>IFERROR(IF(G68="","",TEXT('Getting Started'!C18+(G68/I68),"MMM D, YYYY")),"")</f>
        <v/>
      </c>
    </row>
    <row r="69" ht="16" customHeight="1">
      <c r="A69" s="60" t="inlineStr">
        <is>
          <t xml:space="preserve">  Component Breakdown  (optional — use for multi-volume curricula)</t>
        </is>
      </c>
    </row>
    <row r="70" ht="22" customHeight="1">
      <c r="A70" s="48" t="inlineStr">
        <is>
          <t>#</t>
        </is>
      </c>
      <c r="B70" s="48" t="inlineStr">
        <is>
          <t>Book / Component Title</t>
        </is>
      </c>
      <c r="F70" s="48" t="inlineStr">
        <is>
          <t>Units</t>
        </is>
      </c>
      <c r="G70" s="48" t="inlineStr">
        <is>
          <t>Cumul.</t>
        </is>
      </c>
      <c r="H70" s="48" t="inlineStr">
        <is>
          <t>Start
Week</t>
        </is>
      </c>
      <c r="I70" s="48" t="inlineStr">
        <is>
          <t>End
Week</t>
        </is>
      </c>
      <c r="J70" s="48" t="inlineStr">
        <is>
          <t>Est. Dates</t>
        </is>
      </c>
    </row>
    <row r="71" ht="18" customHeight="1">
      <c r="A71" s="61" t="n">
        <v>1</v>
      </c>
      <c r="B71" s="5" t="n"/>
      <c r="F71" s="33" t="n"/>
      <c r="G71" s="17">
        <f>IFERROR(SUM(F71:F71),"")</f>
        <v/>
      </c>
      <c r="H71" s="17">
        <f>IF(F71="","",1)</f>
        <v/>
      </c>
      <c r="I71" s="17">
        <f>IFERROR(IF(F71="","",CEILING(G71/((IFERROR(B68,0)+IFERROR(G68,0))/(IFERROR('Getting Started'!C15,0)+IFERROR('Getting Started'!C23,0))),1)),"")</f>
        <v/>
      </c>
      <c r="J71" s="62">
        <f>IFERROR(IF(F71="","",TEXT('Getting Started'!C10+(H71-1)*7,"MMM D")&amp;" – "&amp;TEXT('Getting Started'!C10+I71*7,"MMM D")),"")</f>
        <v/>
      </c>
    </row>
    <row r="72" ht="18" customHeight="1">
      <c r="A72" s="61" t="n">
        <v>2</v>
      </c>
      <c r="B72" s="18" t="n"/>
      <c r="F72" s="32" t="n"/>
      <c r="G72" s="17">
        <f>IFERROR(SUM(F71:F72),"")</f>
        <v/>
      </c>
      <c r="H72" s="17">
        <f>IFERROR(IF(F72="","",FLOOR(G71/((IFERROR(B68,0)+IFERROR(G68,0))/(IFERROR('Getting Started'!C15,0)+IFERROR('Getting Started'!C23,0))),1)+1),"")</f>
        <v/>
      </c>
      <c r="I72" s="17">
        <f>IFERROR(IF(F72="","",CEILING(G72/((IFERROR(B68,0)+IFERROR(G68,0))/(IFERROR('Getting Started'!C15,0)+IFERROR('Getting Started'!C23,0))),1)),"")</f>
        <v/>
      </c>
      <c r="J72" s="62">
        <f>IFERROR(IF(F72="","",TEXT('Getting Started'!C10+(H72-1)*7,"MMM D")&amp;" – "&amp;TEXT('Getting Started'!C10+I72*7,"MMM D")),"")</f>
        <v/>
      </c>
    </row>
    <row r="73" ht="18" customHeight="1">
      <c r="A73" s="61" t="n">
        <v>3</v>
      </c>
      <c r="B73" s="5" t="n"/>
      <c r="F73" s="33" t="n"/>
      <c r="G73" s="17">
        <f>IFERROR(SUM(F71:F73),"")</f>
        <v/>
      </c>
      <c r="H73" s="17">
        <f>IFERROR(IF(F73="","",FLOOR(G72/((IFERROR(B68,0)+IFERROR(G68,0))/(IFERROR('Getting Started'!C15,0)+IFERROR('Getting Started'!C23,0))),1)+1),"")</f>
        <v/>
      </c>
      <c r="I73" s="17">
        <f>IFERROR(IF(F73="","",CEILING(G73/((IFERROR(B68,0)+IFERROR(G68,0))/(IFERROR('Getting Started'!C15,0)+IFERROR('Getting Started'!C23,0))),1)),"")</f>
        <v/>
      </c>
      <c r="J73" s="62">
        <f>IFERROR(IF(F73="","",TEXT('Getting Started'!C10+(H73-1)*7,"MMM D")&amp;" – "&amp;TEXT('Getting Started'!C10+I73*7,"MMM D")),"")</f>
        <v/>
      </c>
    </row>
    <row r="74" ht="18" customHeight="1">
      <c r="A74" s="61" t="n">
        <v>4</v>
      </c>
      <c r="B74" s="18" t="n"/>
      <c r="F74" s="32" t="n"/>
      <c r="G74" s="17">
        <f>IFERROR(SUM(F71:F74),"")</f>
        <v/>
      </c>
      <c r="H74" s="17">
        <f>IFERROR(IF(F74="","",FLOOR(G73/((IFERROR(B68,0)+IFERROR(G68,0))/(IFERROR('Getting Started'!C15,0)+IFERROR('Getting Started'!C23,0))),1)+1),"")</f>
        <v/>
      </c>
      <c r="I74" s="17">
        <f>IFERROR(IF(F74="","",CEILING(G74/((IFERROR(B68,0)+IFERROR(G68,0))/(IFERROR('Getting Started'!C15,0)+IFERROR('Getting Started'!C23,0))),1)),"")</f>
        <v/>
      </c>
      <c r="J74" s="62">
        <f>IFERROR(IF(F74="","",TEXT('Getting Started'!C10+(H74-1)*7,"MMM D")&amp;" – "&amp;TEXT('Getting Started'!C10+I74*7,"MMM D")),"")</f>
        <v/>
      </c>
    </row>
    <row r="75" ht="18" customHeight="1">
      <c r="A75" s="61" t="n">
        <v>5</v>
      </c>
      <c r="B75" s="5" t="n"/>
      <c r="F75" s="33" t="n"/>
      <c r="G75" s="17">
        <f>IFERROR(SUM(F71:F75),"")</f>
        <v/>
      </c>
      <c r="H75" s="17">
        <f>IFERROR(IF(F75="","",FLOOR(G74/((IFERROR(B68,0)+IFERROR(G68,0))/(IFERROR('Getting Started'!C15,0)+IFERROR('Getting Started'!C23,0))),1)+1),"")</f>
        <v/>
      </c>
      <c r="I75" s="17">
        <f>IFERROR(IF(F75="","",CEILING(G75/((IFERROR(B68,0)+IFERROR(G68,0))/(IFERROR('Getting Started'!C15,0)+IFERROR('Getting Started'!C23,0))),1)),"")</f>
        <v/>
      </c>
      <c r="J75" s="62">
        <f>IFERROR(IF(F75="","",TEXT('Getting Started'!C10+(H75-1)*7,"MMM D")&amp;" – "&amp;TEXT('Getting Started'!C10+I75*7,"MMM D")),"")</f>
        <v/>
      </c>
    </row>
    <row r="76" ht="18" customHeight="1">
      <c r="A76" s="61" t="n">
        <v>6</v>
      </c>
      <c r="B76" s="18" t="n"/>
      <c r="F76" s="32" t="n"/>
      <c r="G76" s="17">
        <f>IFERROR(SUM(F71:F76),"")</f>
        <v/>
      </c>
      <c r="H76" s="17">
        <f>IFERROR(IF(F76="","",FLOOR(G75/((IFERROR(B68,0)+IFERROR(G68,0))/(IFERROR('Getting Started'!C15,0)+IFERROR('Getting Started'!C23,0))),1)+1),"")</f>
        <v/>
      </c>
      <c r="I76" s="17">
        <f>IFERROR(IF(F76="","",CEILING(G76/((IFERROR(B68,0)+IFERROR(G68,0))/(IFERROR('Getting Started'!C15,0)+IFERROR('Getting Started'!C23,0))),1)),"")</f>
        <v/>
      </c>
      <c r="J76" s="62">
        <f>IFERROR(IF(F76="","",TEXT('Getting Started'!C10+(H76-1)*7,"MMM D")&amp;" – "&amp;TEXT('Getting Started'!C10+I76*7,"MMM D")),"")</f>
        <v/>
      </c>
    </row>
    <row r="77" ht="20" customHeight="1">
      <c r="A77" s="63" t="n"/>
    </row>
    <row r="78" ht="8" customHeight="1"/>
    <row r="79" ht="24" customHeight="1">
      <c r="A79" s="52" t="inlineStr">
        <is>
          <t xml:space="preserve">  SOCIAL STUDIES / HISTORY</t>
        </is>
      </c>
      <c r="E79" s="53">
        <f>IFERROR(IF('Course Content'!B30="","← enter on Course Content tab",'Course Content'!B30),"")</f>
        <v/>
      </c>
    </row>
    <row r="80" ht="22" customHeight="1">
      <c r="B80" s="54">
        <f>'Course Content'!D30</f>
        <v/>
      </c>
      <c r="C80" s="55">
        <f>IFERROR(IF(B80="","",ROUND(B80/'Getting Started'!C15,1)),"")</f>
        <v/>
      </c>
      <c r="D80" s="55">
        <f>IFERROR(IF(C80="","",ROUND(C80/'Getting Started'!C7,1)),"")</f>
        <v/>
      </c>
      <c r="E80" s="56">
        <f>IFERROR(IF(B80="","",TEXT('Getting Started'!C10+(B80/D80),"MMM D, YYYY")),"")</f>
        <v/>
      </c>
      <c r="F80" s="26" t="n"/>
      <c r="G80" s="57">
        <f>'Course Content'!E30</f>
        <v/>
      </c>
      <c r="H80" s="58">
        <f>IFERROR(IF(G80="","",ROUND(G80/'Getting Started'!C23,1)),"")</f>
        <v/>
      </c>
      <c r="I80" s="58">
        <f>IFERROR(IF(H80="","",ROUND(H80/'Getting Started'!C7,1)),"")</f>
        <v/>
      </c>
      <c r="J80" s="59">
        <f>IFERROR(IF(G80="","",TEXT('Getting Started'!C18+(G80/I80),"MMM D, YYYY")),"")</f>
        <v/>
      </c>
    </row>
    <row r="81" ht="16" customHeight="1">
      <c r="A81" s="60" t="inlineStr">
        <is>
          <t xml:space="preserve">  Component Breakdown  (optional — use for multi-volume curricula)</t>
        </is>
      </c>
    </row>
    <row r="82" ht="22" customHeight="1">
      <c r="A82" s="48" t="inlineStr">
        <is>
          <t>#</t>
        </is>
      </c>
      <c r="B82" s="48" t="inlineStr">
        <is>
          <t>Book / Component Title</t>
        </is>
      </c>
      <c r="F82" s="48" t="inlineStr">
        <is>
          <t>Units</t>
        </is>
      </c>
      <c r="G82" s="48" t="inlineStr">
        <is>
          <t>Cumul.</t>
        </is>
      </c>
      <c r="H82" s="48" t="inlineStr">
        <is>
          <t>Start
Week</t>
        </is>
      </c>
      <c r="I82" s="48" t="inlineStr">
        <is>
          <t>End
Week</t>
        </is>
      </c>
      <c r="J82" s="48" t="inlineStr">
        <is>
          <t>Est. Dates</t>
        </is>
      </c>
    </row>
    <row r="83" ht="18" customHeight="1">
      <c r="A83" s="61" t="n">
        <v>1</v>
      </c>
      <c r="B83" s="5" t="n"/>
      <c r="F83" s="33" t="n"/>
      <c r="G83" s="17">
        <f>IFERROR(SUM(F83:F83),"")</f>
        <v/>
      </c>
      <c r="H83" s="17">
        <f>IF(F83="","",1)</f>
        <v/>
      </c>
      <c r="I83" s="17">
        <f>IFERROR(IF(F83="","",CEILING(G83/((IFERROR(B80,0)+IFERROR(G80,0))/(IFERROR('Getting Started'!C15,0)+IFERROR('Getting Started'!C23,0))),1)),"")</f>
        <v/>
      </c>
      <c r="J83" s="62">
        <f>IFERROR(IF(F83="","",TEXT('Getting Started'!C10+(H83-1)*7,"MMM D")&amp;" – "&amp;TEXT('Getting Started'!C10+I83*7,"MMM D")),"")</f>
        <v/>
      </c>
    </row>
    <row r="84" ht="18" customHeight="1">
      <c r="A84" s="61" t="n">
        <v>2</v>
      </c>
      <c r="B84" s="18" t="n"/>
      <c r="F84" s="32" t="n"/>
      <c r="G84" s="17">
        <f>IFERROR(SUM(F83:F84),"")</f>
        <v/>
      </c>
      <c r="H84" s="17">
        <f>IFERROR(IF(F84="","",FLOOR(G83/((IFERROR(B80,0)+IFERROR(G80,0))/(IFERROR('Getting Started'!C15,0)+IFERROR('Getting Started'!C23,0))),1)+1),"")</f>
        <v/>
      </c>
      <c r="I84" s="17">
        <f>IFERROR(IF(F84="","",CEILING(G84/((IFERROR(B80,0)+IFERROR(G80,0))/(IFERROR('Getting Started'!C15,0)+IFERROR('Getting Started'!C23,0))),1)),"")</f>
        <v/>
      </c>
      <c r="J84" s="62">
        <f>IFERROR(IF(F84="","",TEXT('Getting Started'!C10+(H84-1)*7,"MMM D")&amp;" – "&amp;TEXT('Getting Started'!C10+I84*7,"MMM D")),"")</f>
        <v/>
      </c>
    </row>
    <row r="85" ht="18" customHeight="1">
      <c r="A85" s="61" t="n">
        <v>3</v>
      </c>
      <c r="B85" s="5" t="n"/>
      <c r="F85" s="33" t="n"/>
      <c r="G85" s="17">
        <f>IFERROR(SUM(F83:F85),"")</f>
        <v/>
      </c>
      <c r="H85" s="17">
        <f>IFERROR(IF(F85="","",FLOOR(G84/((IFERROR(B80,0)+IFERROR(G80,0))/(IFERROR('Getting Started'!C15,0)+IFERROR('Getting Started'!C23,0))),1)+1),"")</f>
        <v/>
      </c>
      <c r="I85" s="17">
        <f>IFERROR(IF(F85="","",CEILING(G85/((IFERROR(B80,0)+IFERROR(G80,0))/(IFERROR('Getting Started'!C15,0)+IFERROR('Getting Started'!C23,0))),1)),"")</f>
        <v/>
      </c>
      <c r="J85" s="62">
        <f>IFERROR(IF(F85="","",TEXT('Getting Started'!C10+(H85-1)*7,"MMM D")&amp;" – "&amp;TEXT('Getting Started'!C10+I85*7,"MMM D")),"")</f>
        <v/>
      </c>
    </row>
    <row r="86" ht="18" customHeight="1">
      <c r="A86" s="61" t="n">
        <v>4</v>
      </c>
      <c r="B86" s="18" t="n"/>
      <c r="F86" s="32" t="n"/>
      <c r="G86" s="17">
        <f>IFERROR(SUM(F83:F86),"")</f>
        <v/>
      </c>
      <c r="H86" s="17">
        <f>IFERROR(IF(F86="","",FLOOR(G85/((IFERROR(B80,0)+IFERROR(G80,0))/(IFERROR('Getting Started'!C15,0)+IFERROR('Getting Started'!C23,0))),1)+1),"")</f>
        <v/>
      </c>
      <c r="I86" s="17">
        <f>IFERROR(IF(F86="","",CEILING(G86/((IFERROR(B80,0)+IFERROR(G80,0))/(IFERROR('Getting Started'!C15,0)+IFERROR('Getting Started'!C23,0))),1)),"")</f>
        <v/>
      </c>
      <c r="J86" s="62">
        <f>IFERROR(IF(F86="","",TEXT('Getting Started'!C10+(H86-1)*7,"MMM D")&amp;" – "&amp;TEXT('Getting Started'!C10+I86*7,"MMM D")),"")</f>
        <v/>
      </c>
    </row>
    <row r="87" ht="18" customHeight="1">
      <c r="A87" s="61" t="n">
        <v>5</v>
      </c>
      <c r="B87" s="5" t="n"/>
      <c r="F87" s="33" t="n"/>
      <c r="G87" s="17">
        <f>IFERROR(SUM(F83:F87),"")</f>
        <v/>
      </c>
      <c r="H87" s="17">
        <f>IFERROR(IF(F87="","",FLOOR(G86/((IFERROR(B80,0)+IFERROR(G80,0))/(IFERROR('Getting Started'!C15,0)+IFERROR('Getting Started'!C23,0))),1)+1),"")</f>
        <v/>
      </c>
      <c r="I87" s="17">
        <f>IFERROR(IF(F87="","",CEILING(G87/((IFERROR(B80,0)+IFERROR(G80,0))/(IFERROR('Getting Started'!C15,0)+IFERROR('Getting Started'!C23,0))),1)),"")</f>
        <v/>
      </c>
      <c r="J87" s="62">
        <f>IFERROR(IF(F87="","",TEXT('Getting Started'!C10+(H87-1)*7,"MMM D")&amp;" – "&amp;TEXT('Getting Started'!C10+I87*7,"MMM D")),"")</f>
        <v/>
      </c>
    </row>
    <row r="88" ht="18" customHeight="1">
      <c r="A88" s="61" t="n">
        <v>6</v>
      </c>
      <c r="B88" s="18" t="n"/>
      <c r="F88" s="32" t="n"/>
      <c r="G88" s="17">
        <f>IFERROR(SUM(F83:F88),"")</f>
        <v/>
      </c>
      <c r="H88" s="17">
        <f>IFERROR(IF(F88="","",FLOOR(G87/((IFERROR(B80,0)+IFERROR(G80,0))/(IFERROR('Getting Started'!C15,0)+IFERROR('Getting Started'!C23,0))),1)+1),"")</f>
        <v/>
      </c>
      <c r="I88" s="17">
        <f>IFERROR(IF(F88="","",CEILING(G88/((IFERROR(B80,0)+IFERROR(G80,0))/(IFERROR('Getting Started'!C15,0)+IFERROR('Getting Started'!C23,0))),1)),"")</f>
        <v/>
      </c>
      <c r="J88" s="62">
        <f>IFERROR(IF(F88="","",TEXT('Getting Started'!C10+(H88-1)*7,"MMM D")&amp;" – "&amp;TEXT('Getting Started'!C10+I88*7,"MMM D")),"")</f>
        <v/>
      </c>
    </row>
    <row r="89" ht="20" customHeight="1">
      <c r="A89" s="63" t="n"/>
    </row>
    <row r="90" ht="8" customHeight="1"/>
    <row r="91" ht="24" customHeight="1">
      <c r="A91" s="52" t="inlineStr">
        <is>
          <t xml:space="preserve">  HEALTH</t>
        </is>
      </c>
      <c r="E91" s="53">
        <f>IFERROR(IF('Course Content'!B31="","← enter on Course Content tab",'Course Content'!B31),"")</f>
        <v/>
      </c>
    </row>
    <row r="92" ht="22" customHeight="1">
      <c r="B92" s="54">
        <f>'Course Content'!D31</f>
        <v/>
      </c>
      <c r="C92" s="55">
        <f>IFERROR(IF(B92="","",ROUND(B92/'Getting Started'!C15,1)),"")</f>
        <v/>
      </c>
      <c r="D92" s="55">
        <f>IFERROR(IF(C92="","",ROUND(C92/'Getting Started'!C7,1)),"")</f>
        <v/>
      </c>
      <c r="E92" s="56">
        <f>IFERROR(IF(B92="","",TEXT('Getting Started'!C10+(B92/D92),"MMM D, YYYY")),"")</f>
        <v/>
      </c>
      <c r="F92" s="26" t="n"/>
      <c r="G92" s="57">
        <f>'Course Content'!E31</f>
        <v/>
      </c>
      <c r="H92" s="58">
        <f>IFERROR(IF(G92="","",ROUND(G92/'Getting Started'!C23,1)),"")</f>
        <v/>
      </c>
      <c r="I92" s="58">
        <f>IFERROR(IF(H92="","",ROUND(H92/'Getting Started'!C7,1)),"")</f>
        <v/>
      </c>
      <c r="J92" s="59">
        <f>IFERROR(IF(G92="","",TEXT('Getting Started'!C18+(G92/I92),"MMM D, YYYY")),"")</f>
        <v/>
      </c>
    </row>
    <row r="93" ht="16" customHeight="1">
      <c r="A93" s="60" t="inlineStr">
        <is>
          <t xml:space="preserve">  Component Breakdown  (optional — use for multi-volume curricula)</t>
        </is>
      </c>
    </row>
    <row r="94" ht="22" customHeight="1">
      <c r="A94" s="48" t="inlineStr">
        <is>
          <t>#</t>
        </is>
      </c>
      <c r="B94" s="48" t="inlineStr">
        <is>
          <t>Book / Component Title</t>
        </is>
      </c>
      <c r="F94" s="48" t="inlineStr">
        <is>
          <t>Units</t>
        </is>
      </c>
      <c r="G94" s="48" t="inlineStr">
        <is>
          <t>Cumul.</t>
        </is>
      </c>
      <c r="H94" s="48" t="inlineStr">
        <is>
          <t>Start
Week</t>
        </is>
      </c>
      <c r="I94" s="48" t="inlineStr">
        <is>
          <t>End
Week</t>
        </is>
      </c>
      <c r="J94" s="48" t="inlineStr">
        <is>
          <t>Est. Dates</t>
        </is>
      </c>
    </row>
    <row r="95" ht="18" customHeight="1">
      <c r="A95" s="61" t="n">
        <v>1</v>
      </c>
      <c r="B95" s="5" t="n"/>
      <c r="F95" s="33" t="n"/>
      <c r="G95" s="17">
        <f>IFERROR(SUM(F95:F95),"")</f>
        <v/>
      </c>
      <c r="H95" s="17">
        <f>IF(F95="","",1)</f>
        <v/>
      </c>
      <c r="I95" s="17">
        <f>IFERROR(IF(F95="","",CEILING(G95/((IFERROR(B92,0)+IFERROR(G92,0))/(IFERROR('Getting Started'!C15,0)+IFERROR('Getting Started'!C23,0))),1)),"")</f>
        <v/>
      </c>
      <c r="J95" s="62">
        <f>IFERROR(IF(F95="","",TEXT('Getting Started'!C10+(H95-1)*7,"MMM D")&amp;" – "&amp;TEXT('Getting Started'!C10+I95*7,"MMM D")),"")</f>
        <v/>
      </c>
    </row>
    <row r="96" ht="18" customHeight="1">
      <c r="A96" s="61" t="n">
        <v>2</v>
      </c>
      <c r="B96" s="18" t="n"/>
      <c r="F96" s="32" t="n"/>
      <c r="G96" s="17">
        <f>IFERROR(SUM(F95:F96),"")</f>
        <v/>
      </c>
      <c r="H96" s="17">
        <f>IFERROR(IF(F96="","",FLOOR(G95/((IFERROR(B92,0)+IFERROR(G92,0))/(IFERROR('Getting Started'!C15,0)+IFERROR('Getting Started'!C23,0))),1)+1),"")</f>
        <v/>
      </c>
      <c r="I96" s="17">
        <f>IFERROR(IF(F96="","",CEILING(G96/((IFERROR(B92,0)+IFERROR(G92,0))/(IFERROR('Getting Started'!C15,0)+IFERROR('Getting Started'!C23,0))),1)),"")</f>
        <v/>
      </c>
      <c r="J96" s="62">
        <f>IFERROR(IF(F96="","",TEXT('Getting Started'!C10+(H96-1)*7,"MMM D")&amp;" – "&amp;TEXT('Getting Started'!C10+I96*7,"MMM D")),"")</f>
        <v/>
      </c>
    </row>
    <row r="97" ht="18" customHeight="1">
      <c r="A97" s="61" t="n">
        <v>3</v>
      </c>
      <c r="B97" s="5" t="n"/>
      <c r="F97" s="33" t="n"/>
      <c r="G97" s="17">
        <f>IFERROR(SUM(F95:F97),"")</f>
        <v/>
      </c>
      <c r="H97" s="17">
        <f>IFERROR(IF(F97="","",FLOOR(G96/((IFERROR(B92,0)+IFERROR(G92,0))/(IFERROR('Getting Started'!C15,0)+IFERROR('Getting Started'!C23,0))),1)+1),"")</f>
        <v/>
      </c>
      <c r="I97" s="17">
        <f>IFERROR(IF(F97="","",CEILING(G97/((IFERROR(B92,0)+IFERROR(G92,0))/(IFERROR('Getting Started'!C15,0)+IFERROR('Getting Started'!C23,0))),1)),"")</f>
        <v/>
      </c>
      <c r="J97" s="62">
        <f>IFERROR(IF(F97="","",TEXT('Getting Started'!C10+(H97-1)*7,"MMM D")&amp;" – "&amp;TEXT('Getting Started'!C10+I97*7,"MMM D")),"")</f>
        <v/>
      </c>
    </row>
    <row r="98" ht="18" customHeight="1">
      <c r="A98" s="61" t="n">
        <v>4</v>
      </c>
      <c r="B98" s="18" t="n"/>
      <c r="F98" s="32" t="n"/>
      <c r="G98" s="17">
        <f>IFERROR(SUM(F95:F98),"")</f>
        <v/>
      </c>
      <c r="H98" s="17">
        <f>IFERROR(IF(F98="","",FLOOR(G97/((IFERROR(B92,0)+IFERROR(G92,0))/(IFERROR('Getting Started'!C15,0)+IFERROR('Getting Started'!C23,0))),1)+1),"")</f>
        <v/>
      </c>
      <c r="I98" s="17">
        <f>IFERROR(IF(F98="","",CEILING(G98/((IFERROR(B92,0)+IFERROR(G92,0))/(IFERROR('Getting Started'!C15,0)+IFERROR('Getting Started'!C23,0))),1)),"")</f>
        <v/>
      </c>
      <c r="J98" s="62">
        <f>IFERROR(IF(F98="","",TEXT('Getting Started'!C10+(H98-1)*7,"MMM D")&amp;" – "&amp;TEXT('Getting Started'!C10+I98*7,"MMM D")),"")</f>
        <v/>
      </c>
    </row>
    <row r="99" ht="18" customHeight="1">
      <c r="A99" s="61" t="n">
        <v>5</v>
      </c>
      <c r="B99" s="5" t="n"/>
      <c r="F99" s="33" t="n"/>
      <c r="G99" s="17">
        <f>IFERROR(SUM(F95:F99),"")</f>
        <v/>
      </c>
      <c r="H99" s="17">
        <f>IFERROR(IF(F99="","",FLOOR(G98/((IFERROR(B92,0)+IFERROR(G92,0))/(IFERROR('Getting Started'!C15,0)+IFERROR('Getting Started'!C23,0))),1)+1),"")</f>
        <v/>
      </c>
      <c r="I99" s="17">
        <f>IFERROR(IF(F99="","",CEILING(G99/((IFERROR(B92,0)+IFERROR(G92,0))/(IFERROR('Getting Started'!C15,0)+IFERROR('Getting Started'!C23,0))),1)),"")</f>
        <v/>
      </c>
      <c r="J99" s="62">
        <f>IFERROR(IF(F99="","",TEXT('Getting Started'!C10+(H99-1)*7,"MMM D")&amp;" – "&amp;TEXT('Getting Started'!C10+I99*7,"MMM D")),"")</f>
        <v/>
      </c>
    </row>
    <row r="100" ht="18" customHeight="1">
      <c r="A100" s="61" t="n">
        <v>6</v>
      </c>
      <c r="B100" s="18" t="n"/>
      <c r="F100" s="32" t="n"/>
      <c r="G100" s="17">
        <f>IFERROR(SUM(F95:F100),"")</f>
        <v/>
      </c>
      <c r="H100" s="17">
        <f>IFERROR(IF(F100="","",FLOOR(G99/((IFERROR(B92,0)+IFERROR(G92,0))/(IFERROR('Getting Started'!C15,0)+IFERROR('Getting Started'!C23,0))),1)+1),"")</f>
        <v/>
      </c>
      <c r="I100" s="17">
        <f>IFERROR(IF(F100="","",CEILING(G100/((IFERROR(B92,0)+IFERROR(G92,0))/(IFERROR('Getting Started'!C15,0)+IFERROR('Getting Started'!C23,0))),1)),"")</f>
        <v/>
      </c>
      <c r="J100" s="62">
        <f>IFERROR(IF(F100="","",TEXT('Getting Started'!C10+(H100-1)*7,"MMM D")&amp;" – "&amp;TEXT('Getting Started'!C10+I100*7,"MMM D")),"")</f>
        <v/>
      </c>
    </row>
    <row r="101" ht="20" customHeight="1">
      <c r="A101" s="63" t="n"/>
    </row>
    <row r="102" ht="8" customHeight="1"/>
    <row r="103" ht="24" customHeight="1">
      <c r="A103" s="52" t="inlineStr">
        <is>
          <t xml:space="preserve">  PHYSICAL EDUCATION</t>
        </is>
      </c>
      <c r="E103" s="53">
        <f>IFERROR(IF('Course Content'!B32="","← enter on Course Content tab",'Course Content'!B32),"")</f>
        <v/>
      </c>
    </row>
    <row r="104" ht="22" customHeight="1">
      <c r="B104" s="54">
        <f>'Course Content'!D32</f>
        <v/>
      </c>
      <c r="C104" s="55">
        <f>IFERROR(IF(B104="","",ROUND(B104/'Getting Started'!C15,1)),"")</f>
        <v/>
      </c>
      <c r="D104" s="55">
        <f>IFERROR(IF(C104="","",ROUND(C104/'Getting Started'!C7,1)),"")</f>
        <v/>
      </c>
      <c r="E104" s="56">
        <f>IFERROR(IF(B104="","",TEXT('Getting Started'!C10+(B104/D104),"MMM D, YYYY")),"")</f>
        <v/>
      </c>
      <c r="F104" s="26" t="n"/>
      <c r="G104" s="57">
        <f>'Course Content'!E32</f>
        <v/>
      </c>
      <c r="H104" s="58">
        <f>IFERROR(IF(G104="","",ROUND(G104/'Getting Started'!C23,1)),"")</f>
        <v/>
      </c>
      <c r="I104" s="58">
        <f>IFERROR(IF(H104="","",ROUND(H104/'Getting Started'!C7,1)),"")</f>
        <v/>
      </c>
      <c r="J104" s="59">
        <f>IFERROR(IF(G104="","",TEXT('Getting Started'!C18+(G104/I104),"MMM D, YYYY")),"")</f>
        <v/>
      </c>
    </row>
    <row r="105" ht="16" customHeight="1">
      <c r="A105" s="60" t="inlineStr">
        <is>
          <t xml:space="preserve">  Component Breakdown  (optional — use for multi-volume curricula)</t>
        </is>
      </c>
    </row>
    <row r="106" ht="22" customHeight="1">
      <c r="A106" s="48" t="inlineStr">
        <is>
          <t>#</t>
        </is>
      </c>
      <c r="B106" s="48" t="inlineStr">
        <is>
          <t>Book / Component Title</t>
        </is>
      </c>
      <c r="F106" s="48" t="inlineStr">
        <is>
          <t>Units</t>
        </is>
      </c>
      <c r="G106" s="48" t="inlineStr">
        <is>
          <t>Cumul.</t>
        </is>
      </c>
      <c r="H106" s="48" t="inlineStr">
        <is>
          <t>Start
Week</t>
        </is>
      </c>
      <c r="I106" s="48" t="inlineStr">
        <is>
          <t>End
Week</t>
        </is>
      </c>
      <c r="J106" s="48" t="inlineStr">
        <is>
          <t>Est. Dates</t>
        </is>
      </c>
    </row>
    <row r="107" ht="18" customHeight="1">
      <c r="A107" s="61" t="n">
        <v>1</v>
      </c>
      <c r="B107" s="5" t="n"/>
      <c r="F107" s="33" t="n"/>
      <c r="G107" s="17">
        <f>IFERROR(SUM(F107:F107),"")</f>
        <v/>
      </c>
      <c r="H107" s="17">
        <f>IF(F107="","",1)</f>
        <v/>
      </c>
      <c r="I107" s="17">
        <f>IFERROR(IF(F107="","",CEILING(G107/((IFERROR(B104,0)+IFERROR(G104,0))/(IFERROR('Getting Started'!C15,0)+IFERROR('Getting Started'!C23,0))),1)),"")</f>
        <v/>
      </c>
      <c r="J107" s="62">
        <f>IFERROR(IF(F107="","",TEXT('Getting Started'!C10+(H107-1)*7,"MMM D")&amp;" – "&amp;TEXT('Getting Started'!C10+I107*7,"MMM D")),"")</f>
        <v/>
      </c>
    </row>
    <row r="108" ht="18" customHeight="1">
      <c r="A108" s="61" t="n">
        <v>2</v>
      </c>
      <c r="B108" s="18" t="n"/>
      <c r="F108" s="32" t="n"/>
      <c r="G108" s="17">
        <f>IFERROR(SUM(F107:F108),"")</f>
        <v/>
      </c>
      <c r="H108" s="17">
        <f>IFERROR(IF(F108="","",FLOOR(G107/((IFERROR(B104,0)+IFERROR(G104,0))/(IFERROR('Getting Started'!C15,0)+IFERROR('Getting Started'!C23,0))),1)+1),"")</f>
        <v/>
      </c>
      <c r="I108" s="17">
        <f>IFERROR(IF(F108="","",CEILING(G108/((IFERROR(B104,0)+IFERROR(G104,0))/(IFERROR('Getting Started'!C15,0)+IFERROR('Getting Started'!C23,0))),1)),"")</f>
        <v/>
      </c>
      <c r="J108" s="62">
        <f>IFERROR(IF(F108="","",TEXT('Getting Started'!C10+(H108-1)*7,"MMM D")&amp;" – "&amp;TEXT('Getting Started'!C10+I108*7,"MMM D")),"")</f>
        <v/>
      </c>
    </row>
    <row r="109" ht="18" customHeight="1">
      <c r="A109" s="61" t="n">
        <v>3</v>
      </c>
      <c r="B109" s="5" t="n"/>
      <c r="F109" s="33" t="n"/>
      <c r="G109" s="17">
        <f>IFERROR(SUM(F107:F109),"")</f>
        <v/>
      </c>
      <c r="H109" s="17">
        <f>IFERROR(IF(F109="","",FLOOR(G108/((IFERROR(B104,0)+IFERROR(G104,0))/(IFERROR('Getting Started'!C15,0)+IFERROR('Getting Started'!C23,0))),1)+1),"")</f>
        <v/>
      </c>
      <c r="I109" s="17">
        <f>IFERROR(IF(F109="","",CEILING(G109/((IFERROR(B104,0)+IFERROR(G104,0))/(IFERROR('Getting Started'!C15,0)+IFERROR('Getting Started'!C23,0))),1)),"")</f>
        <v/>
      </c>
      <c r="J109" s="62">
        <f>IFERROR(IF(F109="","",TEXT('Getting Started'!C10+(H109-1)*7,"MMM D")&amp;" – "&amp;TEXT('Getting Started'!C10+I109*7,"MMM D")),"")</f>
        <v/>
      </c>
    </row>
    <row r="110" ht="18" customHeight="1">
      <c r="A110" s="61" t="n">
        <v>4</v>
      </c>
      <c r="B110" s="18" t="n"/>
      <c r="F110" s="32" t="n"/>
      <c r="G110" s="17">
        <f>IFERROR(SUM(F107:F110),"")</f>
        <v/>
      </c>
      <c r="H110" s="17">
        <f>IFERROR(IF(F110="","",FLOOR(G109/((IFERROR(B104,0)+IFERROR(G104,0))/(IFERROR('Getting Started'!C15,0)+IFERROR('Getting Started'!C23,0))),1)+1),"")</f>
        <v/>
      </c>
      <c r="I110" s="17">
        <f>IFERROR(IF(F110="","",CEILING(G110/((IFERROR(B104,0)+IFERROR(G104,0))/(IFERROR('Getting Started'!C15,0)+IFERROR('Getting Started'!C23,0))),1)),"")</f>
        <v/>
      </c>
      <c r="J110" s="62">
        <f>IFERROR(IF(F110="","",TEXT('Getting Started'!C10+(H110-1)*7,"MMM D")&amp;" – "&amp;TEXT('Getting Started'!C10+I110*7,"MMM D")),"")</f>
        <v/>
      </c>
    </row>
    <row r="111" ht="18" customHeight="1">
      <c r="A111" s="61" t="n">
        <v>5</v>
      </c>
      <c r="B111" s="5" t="n"/>
      <c r="F111" s="33" t="n"/>
      <c r="G111" s="17">
        <f>IFERROR(SUM(F107:F111),"")</f>
        <v/>
      </c>
      <c r="H111" s="17">
        <f>IFERROR(IF(F111="","",FLOOR(G110/((IFERROR(B104,0)+IFERROR(G104,0))/(IFERROR('Getting Started'!C15,0)+IFERROR('Getting Started'!C23,0))),1)+1),"")</f>
        <v/>
      </c>
      <c r="I111" s="17">
        <f>IFERROR(IF(F111="","",CEILING(G111/((IFERROR(B104,0)+IFERROR(G104,0))/(IFERROR('Getting Started'!C15,0)+IFERROR('Getting Started'!C23,0))),1)),"")</f>
        <v/>
      </c>
      <c r="J111" s="62">
        <f>IFERROR(IF(F111="","",TEXT('Getting Started'!C10+(H111-1)*7,"MMM D")&amp;" – "&amp;TEXT('Getting Started'!C10+I111*7,"MMM D")),"")</f>
        <v/>
      </c>
    </row>
    <row r="112" ht="18" customHeight="1">
      <c r="A112" s="61" t="n">
        <v>6</v>
      </c>
      <c r="B112" s="18" t="n"/>
      <c r="F112" s="32" t="n"/>
      <c r="G112" s="17">
        <f>IFERROR(SUM(F107:F112),"")</f>
        <v/>
      </c>
      <c r="H112" s="17">
        <f>IFERROR(IF(F112="","",FLOOR(G111/((IFERROR(B104,0)+IFERROR(G104,0))/(IFERROR('Getting Started'!C15,0)+IFERROR('Getting Started'!C23,0))),1)+1),"")</f>
        <v/>
      </c>
      <c r="I112" s="17">
        <f>IFERROR(IF(F112="","",CEILING(G112/((IFERROR(B104,0)+IFERROR(G104,0))/(IFERROR('Getting Started'!C15,0)+IFERROR('Getting Started'!C23,0))),1)),"")</f>
        <v/>
      </c>
      <c r="J112" s="62">
        <f>IFERROR(IF(F112="","",TEXT('Getting Started'!C10+(H112-1)*7,"MMM D")&amp;" – "&amp;TEXT('Getting Started'!C10+I112*7,"MMM D")),"")</f>
        <v/>
      </c>
    </row>
    <row r="113" ht="20" customHeight="1">
      <c r="A113" s="63" t="n"/>
    </row>
    <row r="114" ht="8" customHeight="1"/>
    <row r="115" ht="24" customHeight="1">
      <c r="A115" s="52" t="inlineStr">
        <is>
          <t xml:space="preserve">  ART / MUSIC</t>
        </is>
      </c>
      <c r="E115" s="53">
        <f>IFERROR(IF('Course Content'!B33="","← enter on Course Content tab",'Course Content'!B33),"")</f>
        <v/>
      </c>
    </row>
    <row r="116" ht="22" customHeight="1">
      <c r="B116" s="54">
        <f>'Course Content'!D33</f>
        <v/>
      </c>
      <c r="C116" s="55">
        <f>IFERROR(IF(B116="","",ROUND(B116/'Getting Started'!C15,1)),"")</f>
        <v/>
      </c>
      <c r="D116" s="55">
        <f>IFERROR(IF(C116="","",ROUND(C116/'Getting Started'!C7,1)),"")</f>
        <v/>
      </c>
      <c r="E116" s="56">
        <f>IFERROR(IF(B116="","",TEXT('Getting Started'!C10+(B116/D116),"MMM D, YYYY")),"")</f>
        <v/>
      </c>
      <c r="F116" s="26" t="n"/>
      <c r="G116" s="57">
        <f>'Course Content'!E33</f>
        <v/>
      </c>
      <c r="H116" s="58">
        <f>IFERROR(IF(G116="","",ROUND(G116/'Getting Started'!C23,1)),"")</f>
        <v/>
      </c>
      <c r="I116" s="58">
        <f>IFERROR(IF(H116="","",ROUND(H116/'Getting Started'!C7,1)),"")</f>
        <v/>
      </c>
      <c r="J116" s="59">
        <f>IFERROR(IF(G116="","",TEXT('Getting Started'!C18+(G116/I116),"MMM D, YYYY")),"")</f>
        <v/>
      </c>
    </row>
    <row r="117" ht="16" customHeight="1">
      <c r="A117" s="60" t="inlineStr">
        <is>
          <t xml:space="preserve">  Component Breakdown  (optional — use for multi-volume curricula)</t>
        </is>
      </c>
    </row>
    <row r="118" ht="22" customHeight="1">
      <c r="A118" s="48" t="inlineStr">
        <is>
          <t>#</t>
        </is>
      </c>
      <c r="B118" s="48" t="inlineStr">
        <is>
          <t>Book / Component Title</t>
        </is>
      </c>
      <c r="F118" s="48" t="inlineStr">
        <is>
          <t>Units</t>
        </is>
      </c>
      <c r="G118" s="48" t="inlineStr">
        <is>
          <t>Cumul.</t>
        </is>
      </c>
      <c r="H118" s="48" t="inlineStr">
        <is>
          <t>Start
Week</t>
        </is>
      </c>
      <c r="I118" s="48" t="inlineStr">
        <is>
          <t>End
Week</t>
        </is>
      </c>
      <c r="J118" s="48" t="inlineStr">
        <is>
          <t>Est. Dates</t>
        </is>
      </c>
    </row>
    <row r="119" ht="18" customHeight="1">
      <c r="A119" s="61" t="n">
        <v>1</v>
      </c>
      <c r="B119" s="5" t="n"/>
      <c r="F119" s="33" t="n"/>
      <c r="G119" s="17">
        <f>IFERROR(SUM(F119:F119),"")</f>
        <v/>
      </c>
      <c r="H119" s="17">
        <f>IF(F119="","",1)</f>
        <v/>
      </c>
      <c r="I119" s="17">
        <f>IFERROR(IF(F119="","",CEILING(G119/((IFERROR(B116,0)+IFERROR(G116,0))/(IFERROR('Getting Started'!C15,0)+IFERROR('Getting Started'!C23,0))),1)),"")</f>
        <v/>
      </c>
      <c r="J119" s="62">
        <f>IFERROR(IF(F119="","",TEXT('Getting Started'!C10+(H119-1)*7,"MMM D")&amp;" – "&amp;TEXT('Getting Started'!C10+I119*7,"MMM D")),"")</f>
        <v/>
      </c>
    </row>
    <row r="120" ht="18" customHeight="1">
      <c r="A120" s="61" t="n">
        <v>2</v>
      </c>
      <c r="B120" s="18" t="n"/>
      <c r="F120" s="32" t="n"/>
      <c r="G120" s="17">
        <f>IFERROR(SUM(F119:F120),"")</f>
        <v/>
      </c>
      <c r="H120" s="17">
        <f>IFERROR(IF(F120="","",FLOOR(G119/((IFERROR(B116,0)+IFERROR(G116,0))/(IFERROR('Getting Started'!C15,0)+IFERROR('Getting Started'!C23,0))),1)+1),"")</f>
        <v/>
      </c>
      <c r="I120" s="17">
        <f>IFERROR(IF(F120="","",CEILING(G120/((IFERROR(B116,0)+IFERROR(G116,0))/(IFERROR('Getting Started'!C15,0)+IFERROR('Getting Started'!C23,0))),1)),"")</f>
        <v/>
      </c>
      <c r="J120" s="62">
        <f>IFERROR(IF(F120="","",TEXT('Getting Started'!C10+(H120-1)*7,"MMM D")&amp;" – "&amp;TEXT('Getting Started'!C10+I120*7,"MMM D")),"")</f>
        <v/>
      </c>
    </row>
    <row r="121" ht="18" customHeight="1">
      <c r="A121" s="61" t="n">
        <v>3</v>
      </c>
      <c r="B121" s="5" t="n"/>
      <c r="F121" s="33" t="n"/>
      <c r="G121" s="17">
        <f>IFERROR(SUM(F119:F121),"")</f>
        <v/>
      </c>
      <c r="H121" s="17">
        <f>IFERROR(IF(F121="","",FLOOR(G120/((IFERROR(B116,0)+IFERROR(G116,0))/(IFERROR('Getting Started'!C15,0)+IFERROR('Getting Started'!C23,0))),1)+1),"")</f>
        <v/>
      </c>
      <c r="I121" s="17">
        <f>IFERROR(IF(F121="","",CEILING(G121/((IFERROR(B116,0)+IFERROR(G116,0))/(IFERROR('Getting Started'!C15,0)+IFERROR('Getting Started'!C23,0))),1)),"")</f>
        <v/>
      </c>
      <c r="J121" s="62">
        <f>IFERROR(IF(F121="","",TEXT('Getting Started'!C10+(H121-1)*7,"MMM D")&amp;" – "&amp;TEXT('Getting Started'!C10+I121*7,"MMM D")),"")</f>
        <v/>
      </c>
    </row>
    <row r="122" ht="18" customHeight="1">
      <c r="A122" s="61" t="n">
        <v>4</v>
      </c>
      <c r="B122" s="18" t="n"/>
      <c r="F122" s="32" t="n"/>
      <c r="G122" s="17">
        <f>IFERROR(SUM(F119:F122),"")</f>
        <v/>
      </c>
      <c r="H122" s="17">
        <f>IFERROR(IF(F122="","",FLOOR(G121/((IFERROR(B116,0)+IFERROR(G116,0))/(IFERROR('Getting Started'!C15,0)+IFERROR('Getting Started'!C23,0))),1)+1),"")</f>
        <v/>
      </c>
      <c r="I122" s="17">
        <f>IFERROR(IF(F122="","",CEILING(G122/((IFERROR(B116,0)+IFERROR(G116,0))/(IFERROR('Getting Started'!C15,0)+IFERROR('Getting Started'!C23,0))),1)),"")</f>
        <v/>
      </c>
      <c r="J122" s="62">
        <f>IFERROR(IF(F122="","",TEXT('Getting Started'!C10+(H122-1)*7,"MMM D")&amp;" – "&amp;TEXT('Getting Started'!C10+I122*7,"MMM D")),"")</f>
        <v/>
      </c>
    </row>
    <row r="123" ht="18" customHeight="1">
      <c r="A123" s="61" t="n">
        <v>5</v>
      </c>
      <c r="B123" s="5" t="n"/>
      <c r="F123" s="33" t="n"/>
      <c r="G123" s="17">
        <f>IFERROR(SUM(F119:F123),"")</f>
        <v/>
      </c>
      <c r="H123" s="17">
        <f>IFERROR(IF(F123="","",FLOOR(G122/((IFERROR(B116,0)+IFERROR(G116,0))/(IFERROR('Getting Started'!C15,0)+IFERROR('Getting Started'!C23,0))),1)+1),"")</f>
        <v/>
      </c>
      <c r="I123" s="17">
        <f>IFERROR(IF(F123="","",CEILING(G123/((IFERROR(B116,0)+IFERROR(G116,0))/(IFERROR('Getting Started'!C15,0)+IFERROR('Getting Started'!C23,0))),1)),"")</f>
        <v/>
      </c>
      <c r="J123" s="62">
        <f>IFERROR(IF(F123="","",TEXT('Getting Started'!C10+(H123-1)*7,"MMM D")&amp;" – "&amp;TEXT('Getting Started'!C10+I123*7,"MMM D")),"")</f>
        <v/>
      </c>
    </row>
    <row r="124" ht="18" customHeight="1">
      <c r="A124" s="61" t="n">
        <v>6</v>
      </c>
      <c r="B124" s="18" t="n"/>
      <c r="F124" s="32" t="n"/>
      <c r="G124" s="17">
        <f>IFERROR(SUM(F119:F124),"")</f>
        <v/>
      </c>
      <c r="H124" s="17">
        <f>IFERROR(IF(F124="","",FLOOR(G123/((IFERROR(B116,0)+IFERROR(G116,0))/(IFERROR('Getting Started'!C15,0)+IFERROR('Getting Started'!C23,0))),1)+1),"")</f>
        <v/>
      </c>
      <c r="I124" s="17">
        <f>IFERROR(IF(F124="","",CEILING(G124/((IFERROR(B116,0)+IFERROR(G116,0))/(IFERROR('Getting Started'!C15,0)+IFERROR('Getting Started'!C23,0))),1)),"")</f>
        <v/>
      </c>
      <c r="J124" s="62">
        <f>IFERROR(IF(F124="","",TEXT('Getting Started'!C10+(H124-1)*7,"MMM D")&amp;" – "&amp;TEXT('Getting Started'!C10+I124*7,"MMM D")),"")</f>
        <v/>
      </c>
    </row>
    <row r="125" ht="20" customHeight="1">
      <c r="A125" s="63" t="n"/>
    </row>
    <row r="126" ht="8" customHeight="1"/>
    <row r="127" ht="24" customHeight="1">
      <c r="A127" s="52">
        <f>IF('Course Content'!A34="","  ELECTIVE / OTHER 1","  "&amp;UPPER('Course Content'!A34))</f>
        <v/>
      </c>
      <c r="E127" s="53">
        <f>IFERROR(IF('Course Content'!B34="","← enter on Course Content tab",'Course Content'!B34),"")</f>
        <v/>
      </c>
    </row>
    <row r="128" ht="22" customHeight="1">
      <c r="B128" s="54">
        <f>'Course Content'!D34</f>
        <v/>
      </c>
      <c r="C128" s="55">
        <f>IFERROR(IF(B128="","",ROUND(B128/'Getting Started'!C15,1)),"")</f>
        <v/>
      </c>
      <c r="D128" s="55">
        <f>IFERROR(IF(C128="","",ROUND(C128/'Getting Started'!C7,1)),"")</f>
        <v/>
      </c>
      <c r="E128" s="56">
        <f>IFERROR(IF(B128="","",TEXT('Getting Started'!C10+(B128/D128),"MMM D, YYYY")),"")</f>
        <v/>
      </c>
      <c r="F128" s="26" t="n"/>
      <c r="G128" s="57">
        <f>'Course Content'!E34</f>
        <v/>
      </c>
      <c r="H128" s="58">
        <f>IFERROR(IF(G128="","",ROUND(G128/'Getting Started'!C23,1)),"")</f>
        <v/>
      </c>
      <c r="I128" s="58">
        <f>IFERROR(IF(H128="","",ROUND(H128/'Getting Started'!C7,1)),"")</f>
        <v/>
      </c>
      <c r="J128" s="59">
        <f>IFERROR(IF(G128="","",TEXT('Getting Started'!C18+(G128/I128),"MMM D, YYYY")),"")</f>
        <v/>
      </c>
    </row>
    <row r="129" ht="16" customHeight="1">
      <c r="A129" s="60" t="inlineStr">
        <is>
          <t xml:space="preserve">  Component Breakdown  (optional — use for multi-volume curricula)</t>
        </is>
      </c>
    </row>
    <row r="130" ht="22" customHeight="1">
      <c r="A130" s="48" t="inlineStr">
        <is>
          <t>#</t>
        </is>
      </c>
      <c r="B130" s="48" t="inlineStr">
        <is>
          <t>Book / Component Title</t>
        </is>
      </c>
      <c r="F130" s="48" t="inlineStr">
        <is>
          <t>Units</t>
        </is>
      </c>
      <c r="G130" s="48" t="inlineStr">
        <is>
          <t>Cumul.</t>
        </is>
      </c>
      <c r="H130" s="48" t="inlineStr">
        <is>
          <t>Start
Week</t>
        </is>
      </c>
      <c r="I130" s="48" t="inlineStr">
        <is>
          <t>End
Week</t>
        </is>
      </c>
      <c r="J130" s="48" t="inlineStr">
        <is>
          <t>Est. Dates</t>
        </is>
      </c>
    </row>
    <row r="131" ht="18" customHeight="1">
      <c r="A131" s="61" t="n">
        <v>1</v>
      </c>
      <c r="B131" s="5" t="n"/>
      <c r="F131" s="33" t="n"/>
      <c r="G131" s="17">
        <f>IFERROR(SUM(F131:F131),"")</f>
        <v/>
      </c>
      <c r="H131" s="17">
        <f>IF(F131="","",1)</f>
        <v/>
      </c>
      <c r="I131" s="17">
        <f>IFERROR(IF(F131="","",CEILING(G131/((IFERROR(B128,0)+IFERROR(G128,0))/(IFERROR('Getting Started'!C15,0)+IFERROR('Getting Started'!C23,0))),1)),"")</f>
        <v/>
      </c>
      <c r="J131" s="62">
        <f>IFERROR(IF(F131="","",TEXT('Getting Started'!C10+(H131-1)*7,"MMM D")&amp;" – "&amp;TEXT('Getting Started'!C10+I131*7,"MMM D")),"")</f>
        <v/>
      </c>
    </row>
    <row r="132" ht="18" customHeight="1">
      <c r="A132" s="61" t="n">
        <v>2</v>
      </c>
      <c r="B132" s="18" t="n"/>
      <c r="F132" s="32" t="n"/>
      <c r="G132" s="17">
        <f>IFERROR(SUM(F131:F132),"")</f>
        <v/>
      </c>
      <c r="H132" s="17">
        <f>IFERROR(IF(F132="","",FLOOR(G131/((IFERROR(B128,0)+IFERROR(G128,0))/(IFERROR('Getting Started'!C15,0)+IFERROR('Getting Started'!C23,0))),1)+1),"")</f>
        <v/>
      </c>
      <c r="I132" s="17">
        <f>IFERROR(IF(F132="","",CEILING(G132/((IFERROR(B128,0)+IFERROR(G128,0))/(IFERROR('Getting Started'!C15,0)+IFERROR('Getting Started'!C23,0))),1)),"")</f>
        <v/>
      </c>
      <c r="J132" s="62">
        <f>IFERROR(IF(F132="","",TEXT('Getting Started'!C10+(H132-1)*7,"MMM D")&amp;" – "&amp;TEXT('Getting Started'!C10+I132*7,"MMM D")),"")</f>
        <v/>
      </c>
    </row>
    <row r="133" ht="18" customHeight="1">
      <c r="A133" s="61" t="n">
        <v>3</v>
      </c>
      <c r="B133" s="5" t="n"/>
      <c r="F133" s="33" t="n"/>
      <c r="G133" s="17">
        <f>IFERROR(SUM(F131:F133),"")</f>
        <v/>
      </c>
      <c r="H133" s="17">
        <f>IFERROR(IF(F133="","",FLOOR(G132/((IFERROR(B128,0)+IFERROR(G128,0))/(IFERROR('Getting Started'!C15,0)+IFERROR('Getting Started'!C23,0))),1)+1),"")</f>
        <v/>
      </c>
      <c r="I133" s="17">
        <f>IFERROR(IF(F133="","",CEILING(G133/((IFERROR(B128,0)+IFERROR(G128,0))/(IFERROR('Getting Started'!C15,0)+IFERROR('Getting Started'!C23,0))),1)),"")</f>
        <v/>
      </c>
      <c r="J133" s="62">
        <f>IFERROR(IF(F133="","",TEXT('Getting Started'!C10+(H133-1)*7,"MMM D")&amp;" – "&amp;TEXT('Getting Started'!C10+I133*7,"MMM D")),"")</f>
        <v/>
      </c>
    </row>
    <row r="134" ht="18" customHeight="1">
      <c r="A134" s="61" t="n">
        <v>4</v>
      </c>
      <c r="B134" s="18" t="n"/>
      <c r="F134" s="32" t="n"/>
      <c r="G134" s="17">
        <f>IFERROR(SUM(F131:F134),"")</f>
        <v/>
      </c>
      <c r="H134" s="17">
        <f>IFERROR(IF(F134="","",FLOOR(G133/((IFERROR(B128,0)+IFERROR(G128,0))/(IFERROR('Getting Started'!C15,0)+IFERROR('Getting Started'!C23,0))),1)+1),"")</f>
        <v/>
      </c>
      <c r="I134" s="17">
        <f>IFERROR(IF(F134="","",CEILING(G134/((IFERROR(B128,0)+IFERROR(G128,0))/(IFERROR('Getting Started'!C15,0)+IFERROR('Getting Started'!C23,0))),1)),"")</f>
        <v/>
      </c>
      <c r="J134" s="62">
        <f>IFERROR(IF(F134="","",TEXT('Getting Started'!C10+(H134-1)*7,"MMM D")&amp;" – "&amp;TEXT('Getting Started'!C10+I134*7,"MMM D")),"")</f>
        <v/>
      </c>
    </row>
    <row r="135" ht="18" customHeight="1">
      <c r="A135" s="61" t="n">
        <v>5</v>
      </c>
      <c r="B135" s="5" t="n"/>
      <c r="F135" s="33" t="n"/>
      <c r="G135" s="17">
        <f>IFERROR(SUM(F131:F135),"")</f>
        <v/>
      </c>
      <c r="H135" s="17">
        <f>IFERROR(IF(F135="","",FLOOR(G134/((IFERROR(B128,0)+IFERROR(G128,0))/(IFERROR('Getting Started'!C15,0)+IFERROR('Getting Started'!C23,0))),1)+1),"")</f>
        <v/>
      </c>
      <c r="I135" s="17">
        <f>IFERROR(IF(F135="","",CEILING(G135/((IFERROR(B128,0)+IFERROR(G128,0))/(IFERROR('Getting Started'!C15,0)+IFERROR('Getting Started'!C23,0))),1)),"")</f>
        <v/>
      </c>
      <c r="J135" s="62">
        <f>IFERROR(IF(F135="","",TEXT('Getting Started'!C10+(H135-1)*7,"MMM D")&amp;" – "&amp;TEXT('Getting Started'!C10+I135*7,"MMM D")),"")</f>
        <v/>
      </c>
    </row>
    <row r="136" ht="18" customHeight="1">
      <c r="A136" s="61" t="n">
        <v>6</v>
      </c>
      <c r="B136" s="18" t="n"/>
      <c r="F136" s="32" t="n"/>
      <c r="G136" s="17">
        <f>IFERROR(SUM(F131:F136),"")</f>
        <v/>
      </c>
      <c r="H136" s="17">
        <f>IFERROR(IF(F136="","",FLOOR(G135/((IFERROR(B128,0)+IFERROR(G128,0))/(IFERROR('Getting Started'!C15,0)+IFERROR('Getting Started'!C23,0))),1)+1),"")</f>
        <v/>
      </c>
      <c r="I136" s="17">
        <f>IFERROR(IF(F136="","",CEILING(G136/((IFERROR(B128,0)+IFERROR(G128,0))/(IFERROR('Getting Started'!C15,0)+IFERROR('Getting Started'!C23,0))),1)),"")</f>
        <v/>
      </c>
      <c r="J136" s="62">
        <f>IFERROR(IF(F136="","",TEXT('Getting Started'!C10+(H136-1)*7,"MMM D")&amp;" – "&amp;TEXT('Getting Started'!C10+I136*7,"MMM D")),"")</f>
        <v/>
      </c>
    </row>
    <row r="137" ht="20" customHeight="1">
      <c r="A137" s="63" t="n"/>
    </row>
    <row r="138" ht="8" customHeight="1"/>
    <row r="139" ht="24" customHeight="1">
      <c r="A139" s="52">
        <f>IF('Course Content'!A35="","  ELECTIVE / OTHER 2","  "&amp;UPPER('Course Content'!A35))</f>
        <v/>
      </c>
      <c r="E139" s="53">
        <f>IFERROR(IF('Course Content'!B35="","← enter on Course Content tab",'Course Content'!B35),"")</f>
        <v/>
      </c>
    </row>
    <row r="140" ht="22" customHeight="1">
      <c r="B140" s="54">
        <f>'Course Content'!D35</f>
        <v/>
      </c>
      <c r="C140" s="55">
        <f>IFERROR(IF(B140="","",ROUND(B140/'Getting Started'!C15,1)),"")</f>
        <v/>
      </c>
      <c r="D140" s="55">
        <f>IFERROR(IF(C140="","",ROUND(C140/'Getting Started'!C7,1)),"")</f>
        <v/>
      </c>
      <c r="E140" s="56">
        <f>IFERROR(IF(B140="","",TEXT('Getting Started'!C10+(B140/D140),"MMM D, YYYY")),"")</f>
        <v/>
      </c>
      <c r="F140" s="26" t="n"/>
      <c r="G140" s="57">
        <f>'Course Content'!E35</f>
        <v/>
      </c>
      <c r="H140" s="58">
        <f>IFERROR(IF(G140="","",ROUND(G140/'Getting Started'!C23,1)),"")</f>
        <v/>
      </c>
      <c r="I140" s="58">
        <f>IFERROR(IF(H140="","",ROUND(H140/'Getting Started'!C7,1)),"")</f>
        <v/>
      </c>
      <c r="J140" s="59">
        <f>IFERROR(IF(G140="","",TEXT('Getting Started'!C18+(G140/I140),"MMM D, YYYY")),"")</f>
        <v/>
      </c>
    </row>
    <row r="141" ht="16" customHeight="1">
      <c r="A141" s="60" t="inlineStr">
        <is>
          <t xml:space="preserve">  Component Breakdown  (optional — use for multi-volume curricula)</t>
        </is>
      </c>
    </row>
    <row r="142" ht="22" customHeight="1">
      <c r="A142" s="48" t="inlineStr">
        <is>
          <t>#</t>
        </is>
      </c>
      <c r="B142" s="48" t="inlineStr">
        <is>
          <t>Book / Component Title</t>
        </is>
      </c>
      <c r="F142" s="48" t="inlineStr">
        <is>
          <t>Units</t>
        </is>
      </c>
      <c r="G142" s="48" t="inlineStr">
        <is>
          <t>Cumul.</t>
        </is>
      </c>
      <c r="H142" s="48" t="inlineStr">
        <is>
          <t>Start
Week</t>
        </is>
      </c>
      <c r="I142" s="48" t="inlineStr">
        <is>
          <t>End
Week</t>
        </is>
      </c>
      <c r="J142" s="48" t="inlineStr">
        <is>
          <t>Est. Dates</t>
        </is>
      </c>
    </row>
    <row r="143" ht="18" customHeight="1">
      <c r="A143" s="61" t="n">
        <v>1</v>
      </c>
      <c r="B143" s="5" t="n"/>
      <c r="F143" s="33" t="n"/>
      <c r="G143" s="17">
        <f>IFERROR(SUM(F143:F143),"")</f>
        <v/>
      </c>
      <c r="H143" s="17">
        <f>IF(F143="","",1)</f>
        <v/>
      </c>
      <c r="I143" s="17">
        <f>IFERROR(IF(F143="","",CEILING(G143/((IFERROR(B140,0)+IFERROR(G140,0))/(IFERROR('Getting Started'!C15,0)+IFERROR('Getting Started'!C23,0))),1)),"")</f>
        <v/>
      </c>
      <c r="J143" s="62">
        <f>IFERROR(IF(F143="","",TEXT('Getting Started'!C10+(H143-1)*7,"MMM D")&amp;" – "&amp;TEXT('Getting Started'!C10+I143*7,"MMM D")),"")</f>
        <v/>
      </c>
    </row>
    <row r="144" ht="18" customHeight="1">
      <c r="A144" s="61" t="n">
        <v>2</v>
      </c>
      <c r="B144" s="18" t="n"/>
      <c r="F144" s="32" t="n"/>
      <c r="G144" s="17">
        <f>IFERROR(SUM(F143:F144),"")</f>
        <v/>
      </c>
      <c r="H144" s="17">
        <f>IFERROR(IF(F144="","",FLOOR(G143/((IFERROR(B140,0)+IFERROR(G140,0))/(IFERROR('Getting Started'!C15,0)+IFERROR('Getting Started'!C23,0))),1)+1),"")</f>
        <v/>
      </c>
      <c r="I144" s="17">
        <f>IFERROR(IF(F144="","",CEILING(G144/((IFERROR(B140,0)+IFERROR(G140,0))/(IFERROR('Getting Started'!C15,0)+IFERROR('Getting Started'!C23,0))),1)),"")</f>
        <v/>
      </c>
      <c r="J144" s="62">
        <f>IFERROR(IF(F144="","",TEXT('Getting Started'!C10+(H144-1)*7,"MMM D")&amp;" – "&amp;TEXT('Getting Started'!C10+I144*7,"MMM D")),"")</f>
        <v/>
      </c>
    </row>
    <row r="145" ht="18" customHeight="1">
      <c r="A145" s="61" t="n">
        <v>3</v>
      </c>
      <c r="B145" s="5" t="n"/>
      <c r="F145" s="33" t="n"/>
      <c r="G145" s="17">
        <f>IFERROR(SUM(F143:F145),"")</f>
        <v/>
      </c>
      <c r="H145" s="17">
        <f>IFERROR(IF(F145="","",FLOOR(G144/((IFERROR(B140,0)+IFERROR(G140,0))/(IFERROR('Getting Started'!C15,0)+IFERROR('Getting Started'!C23,0))),1)+1),"")</f>
        <v/>
      </c>
      <c r="I145" s="17">
        <f>IFERROR(IF(F145="","",CEILING(G145/((IFERROR(B140,0)+IFERROR(G140,0))/(IFERROR('Getting Started'!C15,0)+IFERROR('Getting Started'!C23,0))),1)),"")</f>
        <v/>
      </c>
      <c r="J145" s="62">
        <f>IFERROR(IF(F145="","",TEXT('Getting Started'!C10+(H145-1)*7,"MMM D")&amp;" – "&amp;TEXT('Getting Started'!C10+I145*7,"MMM D")),"")</f>
        <v/>
      </c>
    </row>
    <row r="146" ht="18" customHeight="1">
      <c r="A146" s="61" t="n">
        <v>4</v>
      </c>
      <c r="B146" s="18" t="n"/>
      <c r="F146" s="32" t="n"/>
      <c r="G146" s="17">
        <f>IFERROR(SUM(F143:F146),"")</f>
        <v/>
      </c>
      <c r="H146" s="17">
        <f>IFERROR(IF(F146="","",FLOOR(G145/((IFERROR(B140,0)+IFERROR(G140,0))/(IFERROR('Getting Started'!C15,0)+IFERROR('Getting Started'!C23,0))),1)+1),"")</f>
        <v/>
      </c>
      <c r="I146" s="17">
        <f>IFERROR(IF(F146="","",CEILING(G146/((IFERROR(B140,0)+IFERROR(G140,0))/(IFERROR('Getting Started'!C15,0)+IFERROR('Getting Started'!C23,0))),1)),"")</f>
        <v/>
      </c>
      <c r="J146" s="62">
        <f>IFERROR(IF(F146="","",TEXT('Getting Started'!C10+(H146-1)*7,"MMM D")&amp;" – "&amp;TEXT('Getting Started'!C10+I146*7,"MMM D")),"")</f>
        <v/>
      </c>
    </row>
    <row r="147" ht="18" customHeight="1">
      <c r="A147" s="61" t="n">
        <v>5</v>
      </c>
      <c r="B147" s="5" t="n"/>
      <c r="F147" s="33" t="n"/>
      <c r="G147" s="17">
        <f>IFERROR(SUM(F143:F147),"")</f>
        <v/>
      </c>
      <c r="H147" s="17">
        <f>IFERROR(IF(F147="","",FLOOR(G146/((IFERROR(B140,0)+IFERROR(G140,0))/(IFERROR('Getting Started'!C15,0)+IFERROR('Getting Started'!C23,0))),1)+1),"")</f>
        <v/>
      </c>
      <c r="I147" s="17">
        <f>IFERROR(IF(F147="","",CEILING(G147/((IFERROR(B140,0)+IFERROR(G140,0))/(IFERROR('Getting Started'!C15,0)+IFERROR('Getting Started'!C23,0))),1)),"")</f>
        <v/>
      </c>
      <c r="J147" s="62">
        <f>IFERROR(IF(F147="","",TEXT('Getting Started'!C10+(H147-1)*7,"MMM D")&amp;" – "&amp;TEXT('Getting Started'!C10+I147*7,"MMM D")),"")</f>
        <v/>
      </c>
    </row>
    <row r="148" ht="18" customHeight="1">
      <c r="A148" s="61" t="n">
        <v>6</v>
      </c>
      <c r="B148" s="18" t="n"/>
      <c r="F148" s="32" t="n"/>
      <c r="G148" s="17">
        <f>IFERROR(SUM(F143:F148),"")</f>
        <v/>
      </c>
      <c r="H148" s="17">
        <f>IFERROR(IF(F148="","",FLOOR(G147/((IFERROR(B140,0)+IFERROR(G140,0))/(IFERROR('Getting Started'!C15,0)+IFERROR('Getting Started'!C23,0))),1)+1),"")</f>
        <v/>
      </c>
      <c r="I148" s="17">
        <f>IFERROR(IF(F148="","",CEILING(G148/((IFERROR(B140,0)+IFERROR(G140,0))/(IFERROR('Getting Started'!C15,0)+IFERROR('Getting Started'!C23,0))),1)),"")</f>
        <v/>
      </c>
      <c r="J148" s="62">
        <f>IFERROR(IF(F148="","",TEXT('Getting Started'!C10+(H148-1)*7,"MMM D")&amp;" – "&amp;TEXT('Getting Started'!C10+I148*7,"MMM D")),"")</f>
        <v/>
      </c>
    </row>
    <row r="149" ht="20" customHeight="1">
      <c r="A149" s="63" t="n"/>
    </row>
    <row r="150" ht="8" customHeight="1"/>
    <row r="151" ht="24" customHeight="1">
      <c r="A151" s="52">
        <f>IF('Course Content'!A36="","  ELECTIVE / OTHER 3","  "&amp;UPPER('Course Content'!A36))</f>
        <v/>
      </c>
      <c r="E151" s="53">
        <f>IFERROR(IF('Course Content'!B36="","← enter on Course Content tab",'Course Content'!B36),"")</f>
        <v/>
      </c>
    </row>
    <row r="152" ht="22" customHeight="1">
      <c r="B152" s="54">
        <f>'Course Content'!D36</f>
        <v/>
      </c>
      <c r="C152" s="55">
        <f>IFERROR(IF(B152="","",ROUND(B152/'Getting Started'!C15,1)),"")</f>
        <v/>
      </c>
      <c r="D152" s="55">
        <f>IFERROR(IF(C152="","",ROUND(C152/'Getting Started'!C7,1)),"")</f>
        <v/>
      </c>
      <c r="E152" s="56">
        <f>IFERROR(IF(B152="","",TEXT('Getting Started'!C10+(B152/D152),"MMM D, YYYY")),"")</f>
        <v/>
      </c>
      <c r="F152" s="26" t="n"/>
      <c r="G152" s="57">
        <f>'Course Content'!E36</f>
        <v/>
      </c>
      <c r="H152" s="58">
        <f>IFERROR(IF(G152="","",ROUND(G152/'Getting Started'!C23,1)),"")</f>
        <v/>
      </c>
      <c r="I152" s="58">
        <f>IFERROR(IF(H152="","",ROUND(H152/'Getting Started'!C7,1)),"")</f>
        <v/>
      </c>
      <c r="J152" s="59">
        <f>IFERROR(IF(G152="","",TEXT('Getting Started'!C18+(G152/I152),"MMM D, YYYY")),"")</f>
        <v/>
      </c>
    </row>
    <row r="153" ht="16" customHeight="1">
      <c r="A153" s="60" t="inlineStr">
        <is>
          <t xml:space="preserve">  Component Breakdown  (optional — use for multi-volume curricula)</t>
        </is>
      </c>
    </row>
    <row r="154" ht="22" customHeight="1">
      <c r="A154" s="48" t="inlineStr">
        <is>
          <t>#</t>
        </is>
      </c>
      <c r="B154" s="48" t="inlineStr">
        <is>
          <t>Book / Component Title</t>
        </is>
      </c>
      <c r="F154" s="48" t="inlineStr">
        <is>
          <t>Units</t>
        </is>
      </c>
      <c r="G154" s="48" t="inlineStr">
        <is>
          <t>Cumul.</t>
        </is>
      </c>
      <c r="H154" s="48" t="inlineStr">
        <is>
          <t>Start
Week</t>
        </is>
      </c>
      <c r="I154" s="48" t="inlineStr">
        <is>
          <t>End
Week</t>
        </is>
      </c>
      <c r="J154" s="48" t="inlineStr">
        <is>
          <t>Est. Dates</t>
        </is>
      </c>
    </row>
    <row r="155" ht="18" customHeight="1">
      <c r="A155" s="61" t="n">
        <v>1</v>
      </c>
      <c r="B155" s="5" t="n"/>
      <c r="F155" s="33" t="n"/>
      <c r="G155" s="17">
        <f>IFERROR(SUM(F155:F155),"")</f>
        <v/>
      </c>
      <c r="H155" s="17">
        <f>IF(F155="","",1)</f>
        <v/>
      </c>
      <c r="I155" s="17">
        <f>IFERROR(IF(F155="","",CEILING(G155/((IFERROR(B152,0)+IFERROR(G152,0))/(IFERROR('Getting Started'!C15,0)+IFERROR('Getting Started'!C23,0))),1)),"")</f>
        <v/>
      </c>
      <c r="J155" s="62">
        <f>IFERROR(IF(F155="","",TEXT('Getting Started'!C10+(H155-1)*7,"MMM D")&amp;" – "&amp;TEXT('Getting Started'!C10+I155*7,"MMM D")),"")</f>
        <v/>
      </c>
    </row>
    <row r="156" ht="18" customHeight="1">
      <c r="A156" s="61" t="n">
        <v>2</v>
      </c>
      <c r="B156" s="18" t="n"/>
      <c r="F156" s="32" t="n"/>
      <c r="G156" s="17">
        <f>IFERROR(SUM(F155:F156),"")</f>
        <v/>
      </c>
      <c r="H156" s="17">
        <f>IFERROR(IF(F156="","",FLOOR(G155/((IFERROR(B152,0)+IFERROR(G152,0))/(IFERROR('Getting Started'!C15,0)+IFERROR('Getting Started'!C23,0))),1)+1),"")</f>
        <v/>
      </c>
      <c r="I156" s="17">
        <f>IFERROR(IF(F156="","",CEILING(G156/((IFERROR(B152,0)+IFERROR(G152,0))/(IFERROR('Getting Started'!C15,0)+IFERROR('Getting Started'!C23,0))),1)),"")</f>
        <v/>
      </c>
      <c r="J156" s="62">
        <f>IFERROR(IF(F156="","",TEXT('Getting Started'!C10+(H156-1)*7,"MMM D")&amp;" – "&amp;TEXT('Getting Started'!C10+I156*7,"MMM D")),"")</f>
        <v/>
      </c>
    </row>
    <row r="157" ht="18" customHeight="1">
      <c r="A157" s="61" t="n">
        <v>3</v>
      </c>
      <c r="B157" s="5" t="n"/>
      <c r="F157" s="33" t="n"/>
      <c r="G157" s="17">
        <f>IFERROR(SUM(F155:F157),"")</f>
        <v/>
      </c>
      <c r="H157" s="17">
        <f>IFERROR(IF(F157="","",FLOOR(G156/((IFERROR(B152,0)+IFERROR(G152,0))/(IFERROR('Getting Started'!C15,0)+IFERROR('Getting Started'!C23,0))),1)+1),"")</f>
        <v/>
      </c>
      <c r="I157" s="17">
        <f>IFERROR(IF(F157="","",CEILING(G157/((IFERROR(B152,0)+IFERROR(G152,0))/(IFERROR('Getting Started'!C15,0)+IFERROR('Getting Started'!C23,0))),1)),"")</f>
        <v/>
      </c>
      <c r="J157" s="62">
        <f>IFERROR(IF(F157="","",TEXT('Getting Started'!C10+(H157-1)*7,"MMM D")&amp;" – "&amp;TEXT('Getting Started'!C10+I157*7,"MMM D")),"")</f>
        <v/>
      </c>
    </row>
    <row r="158" ht="18" customHeight="1">
      <c r="A158" s="61" t="n">
        <v>4</v>
      </c>
      <c r="B158" s="18" t="n"/>
      <c r="F158" s="32" t="n"/>
      <c r="G158" s="17">
        <f>IFERROR(SUM(F155:F158),"")</f>
        <v/>
      </c>
      <c r="H158" s="17">
        <f>IFERROR(IF(F158="","",FLOOR(G157/((IFERROR(B152,0)+IFERROR(G152,0))/(IFERROR('Getting Started'!C15,0)+IFERROR('Getting Started'!C23,0))),1)+1),"")</f>
        <v/>
      </c>
      <c r="I158" s="17">
        <f>IFERROR(IF(F158="","",CEILING(G158/((IFERROR(B152,0)+IFERROR(G152,0))/(IFERROR('Getting Started'!C15,0)+IFERROR('Getting Started'!C23,0))),1)),"")</f>
        <v/>
      </c>
      <c r="J158" s="62">
        <f>IFERROR(IF(F158="","",TEXT('Getting Started'!C10+(H158-1)*7,"MMM D")&amp;" – "&amp;TEXT('Getting Started'!C10+I158*7,"MMM D")),"")</f>
        <v/>
      </c>
    </row>
    <row r="159" ht="18" customHeight="1">
      <c r="A159" s="61" t="n">
        <v>5</v>
      </c>
      <c r="B159" s="5" t="n"/>
      <c r="F159" s="33" t="n"/>
      <c r="G159" s="17">
        <f>IFERROR(SUM(F155:F159),"")</f>
        <v/>
      </c>
      <c r="H159" s="17">
        <f>IFERROR(IF(F159="","",FLOOR(G158/((IFERROR(B152,0)+IFERROR(G152,0))/(IFERROR('Getting Started'!C15,0)+IFERROR('Getting Started'!C23,0))),1)+1),"")</f>
        <v/>
      </c>
      <c r="I159" s="17">
        <f>IFERROR(IF(F159="","",CEILING(G159/((IFERROR(B152,0)+IFERROR(G152,0))/(IFERROR('Getting Started'!C15,0)+IFERROR('Getting Started'!C23,0))),1)),"")</f>
        <v/>
      </c>
      <c r="J159" s="62">
        <f>IFERROR(IF(F159="","",TEXT('Getting Started'!C10+(H159-1)*7,"MMM D")&amp;" – "&amp;TEXT('Getting Started'!C10+I159*7,"MMM D")),"")</f>
        <v/>
      </c>
    </row>
    <row r="160" ht="18" customHeight="1">
      <c r="A160" s="61" t="n">
        <v>6</v>
      </c>
      <c r="B160" s="18" t="n"/>
      <c r="F160" s="32" t="n"/>
      <c r="G160" s="17">
        <f>IFERROR(SUM(F155:F160),"")</f>
        <v/>
      </c>
      <c r="H160" s="17">
        <f>IFERROR(IF(F160="","",FLOOR(G159/((IFERROR(B152,0)+IFERROR(G152,0))/(IFERROR('Getting Started'!C15,0)+IFERROR('Getting Started'!C23,0))),1)+1),"")</f>
        <v/>
      </c>
      <c r="I160" s="17">
        <f>IFERROR(IF(F160="","",CEILING(G160/((IFERROR(B152,0)+IFERROR(G152,0))/(IFERROR('Getting Started'!C15,0)+IFERROR('Getting Started'!C23,0))),1)),"")</f>
        <v/>
      </c>
      <c r="J160" s="62">
        <f>IFERROR(IF(F160="","",TEXT('Getting Started'!C10+(H160-1)*7,"MMM D")&amp;" – "&amp;TEXT('Getting Started'!C10+I160*7,"MMM D")),"")</f>
        <v/>
      </c>
    </row>
    <row r="161" ht="20" customHeight="1">
      <c r="A161" s="63" t="n"/>
    </row>
    <row r="162" ht="8" customHeight="1"/>
    <row r="163" ht="24" customHeight="1">
      <c r="A163" s="52">
        <f>IF('Course Content'!A37="","  ELECTIVE / OTHER 4","  "&amp;UPPER('Course Content'!A37))</f>
        <v/>
      </c>
      <c r="E163" s="53">
        <f>IFERROR(IF('Course Content'!B37="","← enter on Course Content tab",'Course Content'!B37),"")</f>
        <v/>
      </c>
    </row>
    <row r="164" ht="22" customHeight="1">
      <c r="B164" s="54">
        <f>'Course Content'!D37</f>
        <v/>
      </c>
      <c r="C164" s="55">
        <f>IFERROR(IF(B164="","",ROUND(B164/'Getting Started'!C15,1)),"")</f>
        <v/>
      </c>
      <c r="D164" s="55">
        <f>IFERROR(IF(C164="","",ROUND(C164/'Getting Started'!C7,1)),"")</f>
        <v/>
      </c>
      <c r="E164" s="56">
        <f>IFERROR(IF(B164="","",TEXT('Getting Started'!C10+(B164/D164),"MMM D, YYYY")),"")</f>
        <v/>
      </c>
      <c r="F164" s="26" t="n"/>
      <c r="G164" s="57">
        <f>'Course Content'!E37</f>
        <v/>
      </c>
      <c r="H164" s="58">
        <f>IFERROR(IF(G164="","",ROUND(G164/'Getting Started'!C23,1)),"")</f>
        <v/>
      </c>
      <c r="I164" s="58">
        <f>IFERROR(IF(H164="","",ROUND(H164/'Getting Started'!C7,1)),"")</f>
        <v/>
      </c>
      <c r="J164" s="59">
        <f>IFERROR(IF(G164="","",TEXT('Getting Started'!C18+(G164/I164),"MMM D, YYYY")),"")</f>
        <v/>
      </c>
    </row>
    <row r="165" ht="16" customHeight="1">
      <c r="A165" s="60" t="inlineStr">
        <is>
          <t xml:space="preserve">  Component Breakdown  (optional — use for multi-volume curricula)</t>
        </is>
      </c>
    </row>
    <row r="166" ht="22" customHeight="1">
      <c r="A166" s="48" t="inlineStr">
        <is>
          <t>#</t>
        </is>
      </c>
      <c r="B166" s="48" t="inlineStr">
        <is>
          <t>Book / Component Title</t>
        </is>
      </c>
      <c r="F166" s="48" t="inlineStr">
        <is>
          <t>Units</t>
        </is>
      </c>
      <c r="G166" s="48" t="inlineStr">
        <is>
          <t>Cumul.</t>
        </is>
      </c>
      <c r="H166" s="48" t="inlineStr">
        <is>
          <t>Start
Week</t>
        </is>
      </c>
      <c r="I166" s="48" t="inlineStr">
        <is>
          <t>End
Week</t>
        </is>
      </c>
      <c r="J166" s="48" t="inlineStr">
        <is>
          <t>Est. Dates</t>
        </is>
      </c>
    </row>
    <row r="167" ht="18" customHeight="1">
      <c r="A167" s="61" t="n">
        <v>1</v>
      </c>
      <c r="B167" s="5" t="n"/>
      <c r="F167" s="33" t="n"/>
      <c r="G167" s="17">
        <f>IFERROR(SUM(F167:F167),"")</f>
        <v/>
      </c>
      <c r="H167" s="17">
        <f>IF(F167="","",1)</f>
        <v/>
      </c>
      <c r="I167" s="17">
        <f>IFERROR(IF(F167="","",CEILING(G167/((IFERROR(B164,0)+IFERROR(G164,0))/(IFERROR('Getting Started'!C15,0)+IFERROR('Getting Started'!C23,0))),1)),"")</f>
        <v/>
      </c>
      <c r="J167" s="62">
        <f>IFERROR(IF(F167="","",TEXT('Getting Started'!C10+(H167-1)*7,"MMM D")&amp;" – "&amp;TEXT('Getting Started'!C10+I167*7,"MMM D")),"")</f>
        <v/>
      </c>
    </row>
    <row r="168" ht="18" customHeight="1">
      <c r="A168" s="61" t="n">
        <v>2</v>
      </c>
      <c r="B168" s="18" t="n"/>
      <c r="F168" s="32" t="n"/>
      <c r="G168" s="17">
        <f>IFERROR(SUM(F167:F168),"")</f>
        <v/>
      </c>
      <c r="H168" s="17">
        <f>IFERROR(IF(F168="","",FLOOR(G167/((IFERROR(B164,0)+IFERROR(G164,0))/(IFERROR('Getting Started'!C15,0)+IFERROR('Getting Started'!C23,0))),1)+1),"")</f>
        <v/>
      </c>
      <c r="I168" s="17">
        <f>IFERROR(IF(F168="","",CEILING(G168/((IFERROR(B164,0)+IFERROR(G164,0))/(IFERROR('Getting Started'!C15,0)+IFERROR('Getting Started'!C23,0))),1)),"")</f>
        <v/>
      </c>
      <c r="J168" s="62">
        <f>IFERROR(IF(F168="","",TEXT('Getting Started'!C10+(H168-1)*7,"MMM D")&amp;" – "&amp;TEXT('Getting Started'!C10+I168*7,"MMM D")),"")</f>
        <v/>
      </c>
    </row>
    <row r="169" ht="18" customHeight="1">
      <c r="A169" s="61" t="n">
        <v>3</v>
      </c>
      <c r="B169" s="5" t="n"/>
      <c r="F169" s="33" t="n"/>
      <c r="G169" s="17">
        <f>IFERROR(SUM(F167:F169),"")</f>
        <v/>
      </c>
      <c r="H169" s="17">
        <f>IFERROR(IF(F169="","",FLOOR(G168/((IFERROR(B164,0)+IFERROR(G164,0))/(IFERROR('Getting Started'!C15,0)+IFERROR('Getting Started'!C23,0))),1)+1),"")</f>
        <v/>
      </c>
      <c r="I169" s="17">
        <f>IFERROR(IF(F169="","",CEILING(G169/((IFERROR(B164,0)+IFERROR(G164,0))/(IFERROR('Getting Started'!C15,0)+IFERROR('Getting Started'!C23,0))),1)),"")</f>
        <v/>
      </c>
      <c r="J169" s="62">
        <f>IFERROR(IF(F169="","",TEXT('Getting Started'!C10+(H169-1)*7,"MMM D")&amp;" – "&amp;TEXT('Getting Started'!C10+I169*7,"MMM D")),"")</f>
        <v/>
      </c>
    </row>
    <row r="170" ht="18" customHeight="1">
      <c r="A170" s="61" t="n">
        <v>4</v>
      </c>
      <c r="B170" s="18" t="n"/>
      <c r="F170" s="32" t="n"/>
      <c r="G170" s="17">
        <f>IFERROR(SUM(F167:F170),"")</f>
        <v/>
      </c>
      <c r="H170" s="17">
        <f>IFERROR(IF(F170="","",FLOOR(G169/((IFERROR(B164,0)+IFERROR(G164,0))/(IFERROR('Getting Started'!C15,0)+IFERROR('Getting Started'!C23,0))),1)+1),"")</f>
        <v/>
      </c>
      <c r="I170" s="17">
        <f>IFERROR(IF(F170="","",CEILING(G170/((IFERROR(B164,0)+IFERROR(G164,0))/(IFERROR('Getting Started'!C15,0)+IFERROR('Getting Started'!C23,0))),1)),"")</f>
        <v/>
      </c>
      <c r="J170" s="62">
        <f>IFERROR(IF(F170="","",TEXT('Getting Started'!C10+(H170-1)*7,"MMM D")&amp;" – "&amp;TEXT('Getting Started'!C10+I170*7,"MMM D")),"")</f>
        <v/>
      </c>
    </row>
    <row r="171" ht="18" customHeight="1">
      <c r="A171" s="61" t="n">
        <v>5</v>
      </c>
      <c r="B171" s="5" t="n"/>
      <c r="F171" s="33" t="n"/>
      <c r="G171" s="17">
        <f>IFERROR(SUM(F167:F171),"")</f>
        <v/>
      </c>
      <c r="H171" s="17">
        <f>IFERROR(IF(F171="","",FLOOR(G170/((IFERROR(B164,0)+IFERROR(G164,0))/(IFERROR('Getting Started'!C15,0)+IFERROR('Getting Started'!C23,0))),1)+1),"")</f>
        <v/>
      </c>
      <c r="I171" s="17">
        <f>IFERROR(IF(F171="","",CEILING(G171/((IFERROR(B164,0)+IFERROR(G164,0))/(IFERROR('Getting Started'!C15,0)+IFERROR('Getting Started'!C23,0))),1)),"")</f>
        <v/>
      </c>
      <c r="J171" s="62">
        <f>IFERROR(IF(F171="","",TEXT('Getting Started'!C10+(H171-1)*7,"MMM D")&amp;" – "&amp;TEXT('Getting Started'!C10+I171*7,"MMM D")),"")</f>
        <v/>
      </c>
    </row>
    <row r="172" ht="18" customHeight="1">
      <c r="A172" s="61" t="n">
        <v>6</v>
      </c>
      <c r="B172" s="18" t="n"/>
      <c r="F172" s="32" t="n"/>
      <c r="G172" s="17">
        <f>IFERROR(SUM(F167:F172),"")</f>
        <v/>
      </c>
      <c r="H172" s="17">
        <f>IFERROR(IF(F172="","",FLOOR(G171/((IFERROR(B164,0)+IFERROR(G164,0))/(IFERROR('Getting Started'!C15,0)+IFERROR('Getting Started'!C23,0))),1)+1),"")</f>
        <v/>
      </c>
      <c r="I172" s="17">
        <f>IFERROR(IF(F172="","",CEILING(G172/((IFERROR(B164,0)+IFERROR(G164,0))/(IFERROR('Getting Started'!C15,0)+IFERROR('Getting Started'!C23,0))),1)),"")</f>
        <v/>
      </c>
      <c r="J172" s="62">
        <f>IFERROR(IF(F172="","",TEXT('Getting Started'!C10+(H172-1)*7,"MMM D")&amp;" – "&amp;TEXT('Getting Started'!C10+I172*7,"MMM D")),"")</f>
        <v/>
      </c>
    </row>
    <row r="173" ht="20" customHeight="1">
      <c r="A173" s="63" t="n"/>
    </row>
    <row r="174" ht="8" customHeight="1"/>
  </sheetData>
  <mergeCells count="158">
    <mergeCell ref="B146:E146"/>
    <mergeCell ref="E19:J19"/>
    <mergeCell ref="B74:E74"/>
    <mergeCell ref="G4:J4"/>
    <mergeCell ref="A165:J165"/>
    <mergeCell ref="B123:E123"/>
    <mergeCell ref="B36:E36"/>
    <mergeCell ref="B76:E76"/>
    <mergeCell ref="B110:E110"/>
    <mergeCell ref="A93:J93"/>
    <mergeCell ref="A31:D31"/>
    <mergeCell ref="A173:J173"/>
    <mergeCell ref="B100:E100"/>
    <mergeCell ref="A77:J77"/>
    <mergeCell ref="B109:E109"/>
    <mergeCell ref="B47:E47"/>
    <mergeCell ref="B22:E22"/>
    <mergeCell ref="B155:E155"/>
    <mergeCell ref="B12:E12"/>
    <mergeCell ref="B86:E86"/>
    <mergeCell ref="A69:J69"/>
    <mergeCell ref="A7:D7"/>
    <mergeCell ref="B39:E39"/>
    <mergeCell ref="E139:J139"/>
    <mergeCell ref="B14:E14"/>
    <mergeCell ref="B136:E136"/>
    <mergeCell ref="B23:E23"/>
    <mergeCell ref="B13:E13"/>
    <mergeCell ref="A163:D163"/>
    <mergeCell ref="B38:E38"/>
    <mergeCell ref="B112:E112"/>
    <mergeCell ref="E79:J79"/>
    <mergeCell ref="B87:E87"/>
    <mergeCell ref="B40:E40"/>
    <mergeCell ref="B49:E49"/>
    <mergeCell ref="B64:E64"/>
    <mergeCell ref="A29:J29"/>
    <mergeCell ref="A81:J81"/>
    <mergeCell ref="A19:D19"/>
    <mergeCell ref="B51:E51"/>
    <mergeCell ref="A161:J161"/>
    <mergeCell ref="B63:E63"/>
    <mergeCell ref="B26:E26"/>
    <mergeCell ref="B154:E154"/>
    <mergeCell ref="B35:E35"/>
    <mergeCell ref="B50:E50"/>
    <mergeCell ref="B106:E106"/>
    <mergeCell ref="A127:D127"/>
    <mergeCell ref="E163:J163"/>
    <mergeCell ref="B16:E16"/>
    <mergeCell ref="B25:E25"/>
    <mergeCell ref="B156:E156"/>
    <mergeCell ref="E91:J91"/>
    <mergeCell ref="B131:E131"/>
    <mergeCell ref="B27:E27"/>
    <mergeCell ref="A79:D79"/>
    <mergeCell ref="E115:J115"/>
    <mergeCell ref="B130:E130"/>
    <mergeCell ref="B11:E11"/>
    <mergeCell ref="B61:E61"/>
    <mergeCell ref="A4:E4"/>
    <mergeCell ref="B132:E132"/>
    <mergeCell ref="B166:E166"/>
    <mergeCell ref="A149:J149"/>
    <mergeCell ref="B119:E119"/>
    <mergeCell ref="E127:J127"/>
    <mergeCell ref="A139:D139"/>
    <mergeCell ref="B37:E37"/>
    <mergeCell ref="A2:J2"/>
    <mergeCell ref="B168:E168"/>
    <mergeCell ref="B84:E84"/>
    <mergeCell ref="B118:E118"/>
    <mergeCell ref="A141:J141"/>
    <mergeCell ref="A91:D91"/>
    <mergeCell ref="B158:E158"/>
    <mergeCell ref="B15:E15"/>
    <mergeCell ref="B142:E142"/>
    <mergeCell ref="B24:E24"/>
    <mergeCell ref="A125:J125"/>
    <mergeCell ref="B95:E95"/>
    <mergeCell ref="A115:D115"/>
    <mergeCell ref="B160:E160"/>
    <mergeCell ref="B169:E169"/>
    <mergeCell ref="B144:E144"/>
    <mergeCell ref="B97:E97"/>
    <mergeCell ref="B72:E72"/>
    <mergeCell ref="B134:E134"/>
    <mergeCell ref="B121:E121"/>
    <mergeCell ref="A103:D103"/>
    <mergeCell ref="B122:E122"/>
    <mergeCell ref="B71:E71"/>
    <mergeCell ref="B58:E58"/>
    <mergeCell ref="B52:E52"/>
    <mergeCell ref="A153:J153"/>
    <mergeCell ref="B120:E120"/>
    <mergeCell ref="A137:J137"/>
    <mergeCell ref="B107:E107"/>
    <mergeCell ref="A41:J41"/>
    <mergeCell ref="B60:E60"/>
    <mergeCell ref="E151:J151"/>
    <mergeCell ref="B170:E170"/>
    <mergeCell ref="E55:J55"/>
    <mergeCell ref="B148:E148"/>
    <mergeCell ref="B157:E157"/>
    <mergeCell ref="E67:J67"/>
    <mergeCell ref="B171:E171"/>
    <mergeCell ref="A101:J101"/>
    <mergeCell ref="B34:E34"/>
    <mergeCell ref="B172:E172"/>
    <mergeCell ref="B28:E28"/>
    <mergeCell ref="B99:E99"/>
    <mergeCell ref="A33:J33"/>
    <mergeCell ref="B108:E108"/>
    <mergeCell ref="E103:J103"/>
    <mergeCell ref="B83:E83"/>
    <mergeCell ref="A17:J17"/>
    <mergeCell ref="B143:E143"/>
    <mergeCell ref="A53:J53"/>
    <mergeCell ref="E31:J31"/>
    <mergeCell ref="B124:E124"/>
    <mergeCell ref="A43:D43"/>
    <mergeCell ref="B133:E133"/>
    <mergeCell ref="B85:E85"/>
    <mergeCell ref="B94:E94"/>
    <mergeCell ref="A117:J117"/>
    <mergeCell ref="A67:D67"/>
    <mergeCell ref="B75:E75"/>
    <mergeCell ref="A9:J9"/>
    <mergeCell ref="B135:E135"/>
    <mergeCell ref="B62:E62"/>
    <mergeCell ref="B59:E59"/>
    <mergeCell ref="B46:E46"/>
    <mergeCell ref="B159:E159"/>
    <mergeCell ref="E7:J7"/>
    <mergeCell ref="A1:J1"/>
    <mergeCell ref="A45:J45"/>
    <mergeCell ref="B96:E96"/>
    <mergeCell ref="B167:E167"/>
    <mergeCell ref="B70:E70"/>
    <mergeCell ref="B48:E48"/>
    <mergeCell ref="A65:J65"/>
    <mergeCell ref="E43:J43"/>
    <mergeCell ref="B111:E111"/>
    <mergeCell ref="B145:E145"/>
    <mergeCell ref="B98:E98"/>
    <mergeCell ref="A89:J89"/>
    <mergeCell ref="B73:E73"/>
    <mergeCell ref="B88:E88"/>
    <mergeCell ref="B82:E82"/>
    <mergeCell ref="A21:J21"/>
    <mergeCell ref="A55:D55"/>
    <mergeCell ref="A105:J105"/>
    <mergeCell ref="B147:E147"/>
    <mergeCell ref="A57:J57"/>
    <mergeCell ref="A113:J113"/>
    <mergeCell ref="A151:D151"/>
    <mergeCell ref="B10:E10"/>
    <mergeCell ref="A129:J12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2026-06-02T21:37:37Z</dcterms:created>
  <dcterms:modified xsi:type="dcterms:W3CDTF">2026-06-02T21:37:38Z</dcterms:modified>
</cp:coreProperties>
</file>