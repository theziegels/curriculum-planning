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tting Started" sheetId="1" state="visible" r:id="rId1"/>
    <sheet name="Student 1" sheetId="2" state="visible" r:id="rId2"/>
    <sheet name="Student 2" sheetId="3" state="visible" r:id="rId3"/>
    <sheet name="Student 3" sheetId="4" state="visible" r:id="rId4"/>
    <sheet name="Student 4" sheetId="5" state="visible" r:id="rId5"/>
    <sheet name="Student 5" sheetId="6" state="visible" r:id="rId6"/>
    <sheet name="Student 6" sheetId="7" state="visible" r:id="rId7"/>
    <sheet name="Student 7" sheetId="8" state="visible" r:id="rId8"/>
    <sheet name="Student 8" sheetId="9" state="visible" r:id="rId9"/>
    <sheet name="Student 9" sheetId="10" state="visible" r:id="rId10"/>
    <sheet name="Student 10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595959"/>
      <sz val="10"/>
    </font>
    <font>
      <name val="Calibri"/>
      <color rgb="00000000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808080"/>
      <sz val="9"/>
    </font>
    <font>
      <name val="Calibri"/>
      <b val="1"/>
      <color rgb="001F3864"/>
      <sz val="10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color rgb="00595959"/>
      <sz val="10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b val="1"/>
      <color rgb="00FFFFFF"/>
      <sz val="9"/>
    </font>
    <font>
      <name val="Calibri"/>
      <b val="1"/>
      <color rgb="00BDC3C7"/>
      <sz val="9"/>
    </font>
    <font>
      <name val="Calibri"/>
      <i val="1"/>
      <color rgb="00FFFFFF"/>
      <sz val="9"/>
    </font>
    <font>
      <name val="Calibri"/>
      <b val="1"/>
      <color rgb="00C7540A"/>
      <sz val="12"/>
    </font>
    <font>
      <name val="Calibri"/>
      <b val="1"/>
      <color rgb="00B7770D"/>
      <sz val="12"/>
    </font>
    <font>
      <name val="Calibri"/>
      <b val="1"/>
      <color rgb="002E4057"/>
      <sz val="12"/>
    </font>
    <font>
      <name val="Calibri"/>
      <b val="1"/>
      <color rgb="004A235A"/>
      <sz val="12"/>
    </font>
  </fonts>
  <fills count="43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4B5"/>
        <bgColor rgb="002E74B5"/>
      </patternFill>
    </fill>
    <fill>
      <patternFill patternType="solid">
        <fgColor rgb="00F2F2F2"/>
        <bgColor rgb="00F2F2F2"/>
      </patternFill>
    </fill>
    <fill>
      <patternFill patternType="solid">
        <fgColor rgb="00FFFACD"/>
        <bgColor rgb="00FFFACD"/>
      </patternFill>
    </fill>
    <fill>
      <patternFill patternType="solid">
        <fgColor rgb="001A5E3A"/>
        <bgColor rgb="001A5E3A"/>
      </patternFill>
    </fill>
    <fill>
      <patternFill patternType="solid">
        <fgColor rgb="00EBF3FB"/>
        <bgColor rgb="00EBF3FB"/>
      </patternFill>
    </fill>
    <fill>
      <patternFill patternType="solid">
        <fgColor rgb="007B3F00"/>
        <bgColor rgb="007B3F00"/>
      </patternFill>
    </fill>
    <fill>
      <patternFill patternType="solid">
        <fgColor rgb="00DEEAF1"/>
        <bgColor rgb="00DEEAF1"/>
      </patternFill>
    </fill>
    <fill>
      <patternFill patternType="solid">
        <fgColor rgb="00595959"/>
        <bgColor rgb="00595959"/>
      </patternFill>
    </fill>
    <fill>
      <patternFill patternType="solid">
        <fgColor rgb="00375623"/>
        <bgColor rgb="00375623"/>
      </patternFill>
    </fill>
    <fill>
      <patternFill patternType="solid">
        <fgColor rgb="00F0FFF4"/>
        <bgColor rgb="00F0FFF4"/>
      </patternFill>
    </fill>
    <fill>
      <patternFill patternType="solid">
        <fgColor rgb="00FFFFFF"/>
        <bgColor rgb="00FFFFFF"/>
      </patternFill>
    </fill>
    <fill>
      <patternFill patternType="solid">
        <fgColor rgb="00BDC3C7"/>
        <bgColor rgb="00BDC3C7"/>
      </patternFill>
    </fill>
    <fill>
      <patternFill patternType="solid">
        <fgColor rgb="005B2C6F"/>
        <bgColor rgb="005B2C6F"/>
      </patternFill>
    </fill>
    <fill>
      <patternFill patternType="solid">
        <fgColor rgb="00F5EEF8"/>
        <bgColor rgb="00F5EEF8"/>
      </patternFill>
    </fill>
    <fill>
      <patternFill patternType="solid">
        <fgColor rgb="00D4EFDF"/>
        <bgColor rgb="00D4EFDF"/>
      </patternFill>
    </fill>
    <fill>
      <patternFill patternType="solid">
        <fgColor rgb="00FDEBD0"/>
        <bgColor rgb="00FDEBD0"/>
      </patternFill>
    </fill>
    <fill>
      <patternFill patternType="solid">
        <fgColor rgb="00FAFAD2"/>
        <bgColor rgb="00FAFAD2"/>
      </patternFill>
    </fill>
    <fill>
      <patternFill patternType="solid">
        <fgColor rgb="001A5276"/>
        <bgColor rgb="001A5276"/>
      </patternFill>
    </fill>
    <fill>
      <patternFill patternType="solid">
        <fgColor rgb="00D6EAF8"/>
        <bgColor rgb="00D6EAF8"/>
      </patternFill>
    </fill>
    <fill>
      <patternFill patternType="solid">
        <fgColor rgb="00922B21"/>
        <bgColor rgb="00922B21"/>
      </patternFill>
    </fill>
    <fill>
      <patternFill patternType="solid">
        <fgColor rgb="00FDEDEC"/>
        <bgColor rgb="00FDEDEC"/>
      </patternFill>
    </fill>
    <fill>
      <patternFill patternType="solid">
        <fgColor rgb="00784212"/>
        <bgColor rgb="00784212"/>
      </patternFill>
    </fill>
    <fill>
      <patternFill patternType="solid">
        <fgColor rgb="007D6608"/>
        <bgColor rgb="007D6608"/>
      </patternFill>
    </fill>
    <fill>
      <patternFill patternType="solid">
        <fgColor rgb="00FEFDE2"/>
        <bgColor rgb="00FEFDE2"/>
      </patternFill>
    </fill>
    <fill>
      <patternFill patternType="solid">
        <fgColor rgb="000E6655"/>
        <bgColor rgb="000E6655"/>
      </patternFill>
    </fill>
    <fill>
      <patternFill patternType="solid">
        <fgColor rgb="00D5F5E3"/>
        <bgColor rgb="00D5F5E3"/>
      </patternFill>
    </fill>
    <fill>
      <patternFill patternType="solid">
        <fgColor rgb="006E2F0E"/>
        <bgColor rgb="006E2F0E"/>
      </patternFill>
    </fill>
    <fill>
      <patternFill patternType="solid">
        <fgColor rgb="00FAE5D3"/>
        <bgColor rgb="00FAE5D3"/>
      </patternFill>
    </fill>
    <fill>
      <patternFill patternType="solid">
        <fgColor rgb="001E8449"/>
        <bgColor rgb="001E8449"/>
      </patternFill>
    </fill>
    <fill>
      <patternFill patternType="solid">
        <fgColor rgb="00117A65"/>
        <bgColor rgb="00117A65"/>
      </patternFill>
    </fill>
    <fill>
      <patternFill patternType="solid">
        <fgColor rgb="00D1F2EB"/>
        <bgColor rgb="00D1F2EB"/>
      </patternFill>
    </fill>
    <fill>
      <patternFill patternType="solid">
        <fgColor rgb="0076448A"/>
        <bgColor rgb="0076448A"/>
      </patternFill>
    </fill>
    <fill>
      <patternFill patternType="solid">
        <fgColor rgb="00F4ECF7"/>
        <bgColor rgb="00F4ECF7"/>
      </patternFill>
    </fill>
    <fill>
      <patternFill patternType="solid">
        <fgColor rgb="00C7540A"/>
        <bgColor rgb="00C7540A"/>
      </patternFill>
    </fill>
    <fill>
      <patternFill patternType="solid">
        <fgColor rgb="00FEF0E7"/>
        <bgColor rgb="00FEF0E7"/>
      </patternFill>
    </fill>
    <fill>
      <patternFill patternType="solid">
        <fgColor rgb="00B7770D"/>
        <bgColor rgb="00B7770D"/>
      </patternFill>
    </fill>
    <fill>
      <patternFill patternType="solid">
        <fgColor rgb="00FEF9E7"/>
        <bgColor rgb="00FEF9E7"/>
      </patternFill>
    </fill>
    <fill>
      <patternFill patternType="solid">
        <fgColor rgb="002E4057"/>
        <bgColor rgb="002E4057"/>
      </patternFill>
    </fill>
    <fill>
      <patternFill patternType="solid">
        <fgColor rgb="00EAF0FB"/>
        <bgColor rgb="00EAF0FB"/>
      </patternFill>
    </fill>
    <fill>
      <patternFill patternType="solid">
        <fgColor rgb="004A235A"/>
        <bgColor rgb="004A235A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left" vertical="center"/>
    </xf>
    <xf numFmtId="0" fontId="8" fillId="0" borderId="0" pivotButton="0" quotePrefix="0" xfId="0"/>
    <xf numFmtId="1" fontId="7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1" fontId="10" fillId="7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5" borderId="1" pivotButton="0" quotePrefix="0" xfId="0"/>
    <xf numFmtId="0" fontId="12" fillId="0" borderId="0" applyAlignment="1" pivotButton="0" quotePrefix="0" xfId="0">
      <alignment horizontal="left" vertical="center"/>
    </xf>
    <xf numFmtId="0" fontId="0" fillId="7" borderId="1" pivotButton="0" quotePrefix="0" xfId="0"/>
    <xf numFmtId="0" fontId="3" fillId="11" borderId="1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/>
    </xf>
    <xf numFmtId="0" fontId="12" fillId="13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0" fillId="14" borderId="0" pivotButton="0" quotePrefix="0" xfId="0"/>
    <xf numFmtId="0" fontId="15" fillId="2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2" fillId="15" borderId="2" applyAlignment="1" pivotButton="0" quotePrefix="0" xfId="0">
      <alignment horizontal="left" vertical="center"/>
    </xf>
    <xf numFmtId="0" fontId="4" fillId="16" borderId="1" applyAlignment="1" pivotButton="0" quotePrefix="0" xfId="0">
      <alignment horizontal="left" vertical="center"/>
    </xf>
    <xf numFmtId="0" fontId="5" fillId="5" borderId="1" pivotButton="0" quotePrefix="0" xfId="0"/>
    <xf numFmtId="0" fontId="5" fillId="5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left" vertical="center"/>
    </xf>
    <xf numFmtId="0" fontId="15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5" fillId="19" borderId="1" pivotButton="0" quotePrefix="0" xfId="0"/>
    <xf numFmtId="0" fontId="5" fillId="19" borderId="1" applyAlignment="1" pivotButton="0" quotePrefix="0" xfId="0">
      <alignment horizontal="center" vertical="center"/>
    </xf>
    <xf numFmtId="0" fontId="2" fillId="20" borderId="2" applyAlignment="1" pivotButton="0" quotePrefix="0" xfId="0">
      <alignment horizontal="left" vertical="center"/>
    </xf>
    <xf numFmtId="0" fontId="4" fillId="21" borderId="1" applyAlignment="1" pivotButton="0" quotePrefix="0" xfId="0">
      <alignment horizontal="left" vertical="center"/>
    </xf>
    <xf numFmtId="0" fontId="2" fillId="22" borderId="2" applyAlignment="1" pivotButton="0" quotePrefix="0" xfId="0">
      <alignment horizontal="left" vertical="center"/>
    </xf>
    <xf numFmtId="0" fontId="4" fillId="23" borderId="1" applyAlignment="1" pivotButton="0" quotePrefix="0" xfId="0">
      <alignment horizontal="left" vertical="center"/>
    </xf>
    <xf numFmtId="0" fontId="2" fillId="24" borderId="2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2" fillId="25" borderId="2" applyAlignment="1" pivotButton="0" quotePrefix="0" xfId="0">
      <alignment horizontal="left" vertical="center"/>
    </xf>
    <xf numFmtId="0" fontId="4" fillId="26" borderId="1" applyAlignment="1" pivotButton="0" quotePrefix="0" xfId="0">
      <alignment horizontal="left" vertical="center"/>
    </xf>
    <xf numFmtId="0" fontId="2" fillId="27" borderId="2" applyAlignment="1" pivotButton="0" quotePrefix="0" xfId="0">
      <alignment horizontal="left" vertical="center"/>
    </xf>
    <xf numFmtId="0" fontId="4" fillId="28" borderId="1" applyAlignment="1" pivotButton="0" quotePrefix="0" xfId="0">
      <alignment horizontal="left" vertical="center"/>
    </xf>
    <xf numFmtId="0" fontId="2" fillId="29" borderId="2" applyAlignment="1" pivotButton="0" quotePrefix="0" xfId="0">
      <alignment horizontal="left" vertical="center"/>
    </xf>
    <xf numFmtId="0" fontId="4" fillId="30" borderId="1" applyAlignment="1" pivotButton="0" quotePrefix="0" xfId="0">
      <alignment horizontal="left" vertical="center"/>
    </xf>
    <xf numFmtId="0" fontId="2" fillId="31" borderId="2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2" fillId="32" borderId="2" applyAlignment="1" pivotButton="0" quotePrefix="0" xfId="0">
      <alignment horizontal="left" vertical="center"/>
    </xf>
    <xf numFmtId="0" fontId="4" fillId="33" borderId="1" applyAlignment="1" pivotButton="0" quotePrefix="0" xfId="0">
      <alignment horizontal="left" vertical="center"/>
    </xf>
    <xf numFmtId="0" fontId="2" fillId="34" borderId="2" applyAlignment="1" pivotButton="0" quotePrefix="0" xfId="0">
      <alignment horizontal="left" vertical="center"/>
    </xf>
    <xf numFmtId="0" fontId="4" fillId="35" borderId="1" applyAlignment="1" pivotButton="0" quotePrefix="0" xfId="0">
      <alignment horizontal="left" vertical="center"/>
    </xf>
    <xf numFmtId="0" fontId="6" fillId="36" borderId="1" applyAlignment="1" pivotButton="0" quotePrefix="0" xfId="0">
      <alignment horizontal="center" vertical="center"/>
    </xf>
    <xf numFmtId="0" fontId="18" fillId="5" borderId="2" applyAlignment="1" pivotButton="0" quotePrefix="0" xfId="0">
      <alignment horizontal="left" vertical="center"/>
    </xf>
    <xf numFmtId="0" fontId="4" fillId="37" borderId="1" applyAlignment="1" pivotButton="0" quotePrefix="0" xfId="0">
      <alignment horizontal="left" vertical="center"/>
    </xf>
    <xf numFmtId="0" fontId="6" fillId="38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/>
    </xf>
    <xf numFmtId="0" fontId="4" fillId="39" borderId="1" applyAlignment="1" pivotButton="0" quotePrefix="0" xfId="0">
      <alignment horizontal="left" vertical="center"/>
    </xf>
    <xf numFmtId="0" fontId="6" fillId="40" borderId="1" applyAlignment="1" pivotButton="0" quotePrefix="0" xfId="0">
      <alignment horizontal="center" vertical="center"/>
    </xf>
    <xf numFmtId="0" fontId="20" fillId="5" borderId="2" applyAlignment="1" pivotButton="0" quotePrefix="0" xfId="0">
      <alignment horizontal="left" vertical="center"/>
    </xf>
    <xf numFmtId="0" fontId="4" fillId="41" borderId="1" applyAlignment="1" pivotButton="0" quotePrefix="0" xfId="0">
      <alignment horizontal="left" vertical="center"/>
    </xf>
    <xf numFmtId="0" fontId="6" fillId="42" borderId="1" applyAlignment="1" pivotButton="0" quotePrefix="0" xfId="0">
      <alignment horizontal="center" vertical="center"/>
    </xf>
    <xf numFmtId="0" fontId="21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14" customWidth="1" min="10" max="10"/>
  </cols>
  <sheetData>
    <row r="1" ht="48" customHeight="1">
      <c r="A1" s="1" t="inlineStr">
        <is>
          <t>Homeschool Curriculum Planner</t>
        </is>
      </c>
    </row>
    <row r="2" ht="26" customHeight="1">
      <c r="A2" s="2" t="inlineStr">
        <is>
          <t>Getting Started  —  School &amp; Student Information</t>
        </is>
      </c>
    </row>
    <row r="3" ht="6" customHeight="1"/>
    <row r="4" ht="22" customHeight="1">
      <c r="A4" s="3" t="inlineStr">
        <is>
          <t>SCHOOL YEAR SETTINGS</t>
        </is>
      </c>
    </row>
    <row r="5" ht="20" customHeight="1">
      <c r="B5" s="4" t="inlineStr">
        <is>
          <t>School Name:</t>
        </is>
      </c>
      <c r="C5" s="5" t="inlineStr">
        <is>
          <t>Westfield Academy</t>
        </is>
      </c>
    </row>
    <row r="6" ht="20" customHeight="1">
      <c r="B6" s="4" t="inlineStr">
        <is>
          <t>School Year:</t>
        </is>
      </c>
      <c r="C6" s="5" t="inlineStr">
        <is>
          <t>2025-2026</t>
        </is>
      </c>
    </row>
    <row r="7" ht="20" customHeight="1">
      <c r="B7" s="4" t="inlineStr">
        <is>
          <t>School Days / Week:</t>
        </is>
      </c>
      <c r="C7" s="5" t="n">
        <v>5</v>
      </c>
    </row>
    <row r="8" ht="8" customHeight="1"/>
    <row r="9" ht="22" customHeight="1">
      <c r="B9" s="6" t="inlineStr">
        <is>
          <t>SEMESTER 1  (September – December)</t>
        </is>
      </c>
    </row>
    <row r="10" ht="20" customHeight="1">
      <c r="B10" s="4" t="inlineStr">
        <is>
          <t>Sem 1 Start Date:</t>
        </is>
      </c>
      <c r="C10" s="7" t="n"/>
      <c r="G10" s="8" t="inlineStr">
        <is>
          <t>← Enter as MM/DD/YYYY</t>
        </is>
      </c>
    </row>
    <row r="11" ht="20" customHeight="1">
      <c r="B11" s="4" t="inlineStr">
        <is>
          <t>Sem 1 End Date:</t>
        </is>
      </c>
      <c r="C11" s="7" t="n"/>
      <c r="G11" s="8" t="inlineStr">
        <is>
          <t>← Enter as MM/DD/YYYY</t>
        </is>
      </c>
    </row>
    <row r="12" ht="20" customHeight="1">
      <c r="B12" s="4" t="inlineStr">
        <is>
          <t>Sem 1 Weeks:</t>
        </is>
      </c>
      <c r="C12" s="9">
        <f>IFERROR(ROUNDDOWN((C11-C10)/7,0),"")</f>
        <v/>
      </c>
      <c r="G12" s="8" t="inlineStr">
        <is>
          <t>← Auto-calculated</t>
        </is>
      </c>
    </row>
    <row r="13" ht="8" customHeight="1"/>
    <row r="14" ht="22" customHeight="1">
      <c r="B14" s="10" t="inlineStr">
        <is>
          <t>SEMESTER 2  (January – May)</t>
        </is>
      </c>
    </row>
    <row r="15" ht="20" customHeight="1">
      <c r="B15" s="4" t="inlineStr">
        <is>
          <t>Sem 2 Start Date:</t>
        </is>
      </c>
      <c r="C15" s="7" t="n"/>
      <c r="G15" s="8" t="inlineStr">
        <is>
          <t>← Enter as MM/DD/YYYY</t>
        </is>
      </c>
    </row>
    <row r="16" ht="20" customHeight="1">
      <c r="B16" s="4" t="inlineStr">
        <is>
          <t>Sem 2 End Date:</t>
        </is>
      </c>
      <c r="C16" s="7" t="n"/>
      <c r="G16" s="8" t="inlineStr">
        <is>
          <t>← Enter as MM/DD/YYYY</t>
        </is>
      </c>
    </row>
    <row r="17" ht="20" customHeight="1">
      <c r="B17" s="4" t="inlineStr">
        <is>
          <t>Sem 2 Weeks:</t>
        </is>
      </c>
      <c r="C17" s="9">
        <f>IFERROR(ROUNDDOWN((C16-C15)/7,0),"")</f>
        <v/>
      </c>
      <c r="G17" s="8" t="inlineStr">
        <is>
          <t>← Auto-calculated</t>
        </is>
      </c>
    </row>
    <row r="18" ht="8" customHeight="1"/>
    <row r="19" ht="20" customHeight="1">
      <c r="B19" s="11" t="inlineStr">
        <is>
          <t>Total School Weeks:</t>
        </is>
      </c>
      <c r="C19" s="12">
        <f>IFERROR(C12+C17,"")</f>
        <v/>
      </c>
      <c r="G19" s="8" t="inlineStr">
        <is>
          <t>← Sem 1 + Sem 2 combined</t>
        </is>
      </c>
    </row>
    <row r="20" ht="8" customHeight="1"/>
    <row r="21" ht="22" customHeight="1">
      <c r="A21" s="3" t="inlineStr">
        <is>
          <t>STUDENT ROSTER</t>
        </is>
      </c>
    </row>
    <row r="22" ht="32" customHeight="1">
      <c r="A22" s="13" t="inlineStr">
        <is>
          <t>#</t>
        </is>
      </c>
      <c r="B22" s="13" t="inlineStr">
        <is>
          <t>Student Name</t>
        </is>
      </c>
      <c r="D22" s="13" t="inlineStr">
        <is>
          <t>Date of Birth</t>
        </is>
      </c>
      <c r="E22" s="13" t="inlineStr">
        <is>
          <t>Class of
(Grad Year)</t>
        </is>
      </c>
      <c r="F22" s="13" t="inlineStr">
        <is>
          <t>Grade
(Auto)</t>
        </is>
      </c>
      <c r="G22" s="13" t="inlineStr">
        <is>
          <t>Curriculum Notes</t>
        </is>
      </c>
      <c r="I22" s="13" t="inlineStr"/>
    </row>
    <row r="23" ht="20" customHeight="1">
      <c r="A23" s="14" t="n">
        <v>1</v>
      </c>
      <c r="B23" s="5" t="n"/>
      <c r="D23" s="7" t="n"/>
      <c r="E23" s="15" t="n"/>
      <c r="F23" s="16">
        <f>IF(OR(B23="",E23=""),"",LET(g,12-(E23-YEAR($C$16)),IF(g=11,"11th",IF(g=12,"12th",IF(g=1,"1st",IF(g=2,"2nd",IF(g=3,"3rd",g&amp;"th")))))))</f>
        <v/>
      </c>
      <c r="G23" s="5" t="n"/>
    </row>
    <row r="24" ht="20" customHeight="1">
      <c r="A24" s="17" t="n">
        <v>2</v>
      </c>
      <c r="B24" s="5" t="n"/>
      <c r="D24" s="7" t="n"/>
      <c r="E24" s="15" t="n"/>
      <c r="F24" s="16">
        <f>IF(OR(B24="",E24=""),"",LET(g,12-(E24-YEAR($C$16)),IF(g=11,"11th",IF(g=12,"12th",IF(g=1,"1st",IF(g=2,"2nd",IF(g=3,"3rd",g&amp;"th")))))))</f>
        <v/>
      </c>
      <c r="G24" s="5" t="n"/>
    </row>
    <row r="25" ht="20" customHeight="1">
      <c r="A25" s="14" t="n">
        <v>3</v>
      </c>
      <c r="B25" s="5" t="n"/>
      <c r="D25" s="7" t="n"/>
      <c r="E25" s="15" t="n"/>
      <c r="F25" s="16">
        <f>IF(OR(B25="",E25=""),"",LET(g,12-(E25-YEAR($C$16)),IF(g=11,"11th",IF(g=12,"12th",IF(g=1,"1st",IF(g=2,"2nd",IF(g=3,"3rd",g&amp;"th")))))))</f>
        <v/>
      </c>
      <c r="G25" s="5" t="n"/>
    </row>
    <row r="26" ht="20" customHeight="1">
      <c r="A26" s="17" t="n">
        <v>4</v>
      </c>
      <c r="B26" s="5" t="n"/>
      <c r="D26" s="7" t="n"/>
      <c r="E26" s="15" t="n"/>
      <c r="F26" s="16">
        <f>IF(OR(B26="",E26=""),"",LET(g,12-(E26-YEAR($C$16)),IF(g=11,"11th",IF(g=12,"12th",IF(g=1,"1st",IF(g=2,"2nd",IF(g=3,"3rd",g&amp;"th")))))))</f>
        <v/>
      </c>
      <c r="G26" s="5" t="n"/>
    </row>
    <row r="27" ht="20" customHeight="1">
      <c r="A27" s="14" t="n">
        <v>5</v>
      </c>
      <c r="B27" s="5" t="n"/>
      <c r="D27" s="7" t="n"/>
      <c r="E27" s="15" t="n"/>
      <c r="F27" s="16">
        <f>IF(OR(B27="",E27=""),"",LET(g,12-(E27-YEAR($C$16)),IF(g=11,"11th",IF(g=12,"12th",IF(g=1,"1st",IF(g=2,"2nd",IF(g=3,"3rd",g&amp;"th")))))))</f>
        <v/>
      </c>
      <c r="G27" s="5" t="n"/>
    </row>
    <row r="28" ht="20" customHeight="1">
      <c r="A28" s="17" t="n">
        <v>6</v>
      </c>
      <c r="B28" s="5" t="n"/>
      <c r="D28" s="7" t="n"/>
      <c r="E28" s="15" t="n"/>
      <c r="F28" s="16">
        <f>IF(OR(B28="",E28=""),"",LET(g,12-(E28-YEAR($C$16)),IF(g=11,"11th",IF(g=12,"12th",IF(g=1,"1st",IF(g=2,"2nd",IF(g=3,"3rd",g&amp;"th")))))))</f>
        <v/>
      </c>
      <c r="G28" s="5" t="n"/>
    </row>
    <row r="29" ht="20" customHeight="1">
      <c r="A29" s="14" t="n">
        <v>7</v>
      </c>
      <c r="B29" s="5" t="n"/>
      <c r="D29" s="7" t="n"/>
      <c r="E29" s="15" t="n"/>
      <c r="F29" s="16">
        <f>IF(OR(B29="",E29=""),"",LET(g,12-(E29-YEAR($C$16)),IF(g=11,"11th",IF(g=12,"12th",IF(g=1,"1st",IF(g=2,"2nd",IF(g=3,"3rd",g&amp;"th")))))))</f>
        <v/>
      </c>
      <c r="G29" s="5" t="n"/>
    </row>
    <row r="30" ht="20" customHeight="1">
      <c r="A30" s="17" t="n">
        <v>8</v>
      </c>
      <c r="B30" s="5" t="n"/>
      <c r="D30" s="7" t="n"/>
      <c r="E30" s="15" t="n"/>
      <c r="F30" s="16">
        <f>IF(OR(B30="",E30=""),"",LET(g,12-(E30-YEAR($C$16)),IF(g=11,"11th",IF(g=12,"12th",IF(g=1,"1st",IF(g=2,"2nd",IF(g=3,"3rd",g&amp;"th")))))))</f>
        <v/>
      </c>
      <c r="G30" s="5" t="n"/>
    </row>
    <row r="31" ht="20" customHeight="1">
      <c r="A31" s="14" t="n">
        <v>9</v>
      </c>
      <c r="B31" s="5" t="n"/>
      <c r="D31" s="7" t="n"/>
      <c r="E31" s="15" t="n"/>
      <c r="F31" s="16">
        <f>IF(OR(B31="",E31=""),"",LET(g,12-(E31-YEAR($C$16)),IF(g=11,"11th",IF(g=12,"12th",IF(g=1,"1st",IF(g=2,"2nd",IF(g=3,"3rd",g&amp;"th")))))))</f>
        <v/>
      </c>
      <c r="G31" s="5" t="n"/>
    </row>
    <row r="32" ht="20" customHeight="1">
      <c r="A32" s="17" t="n">
        <v>10</v>
      </c>
      <c r="B32" s="5" t="n"/>
      <c r="D32" s="7" t="n"/>
      <c r="E32" s="15" t="n"/>
      <c r="F32" s="16">
        <f>IF(OR(B32="",E32=""),"",LET(g,12-(E32-YEAR($C$16)),IF(g=11,"11th",IF(g=12,"12th",IF(g=1,"1st",IF(g=2,"2nd",IF(g=3,"3rd",g&amp;"th")))))))</f>
        <v/>
      </c>
      <c r="G32" s="5" t="n"/>
    </row>
    <row r="34" ht="6" customHeight="1"/>
    <row r="35" ht="22" customHeight="1">
      <c r="A35" s="18" t="inlineStr">
        <is>
          <t>LEGEND &amp; INSTRUCTIONS</t>
        </is>
      </c>
    </row>
    <row r="36" ht="18" customHeight="1">
      <c r="B36" s="19" t="n"/>
      <c r="C36" s="20" t="inlineStr">
        <is>
          <t>User Input Cell — type your data here</t>
        </is>
      </c>
    </row>
    <row r="37" ht="18" customHeight="1">
      <c r="B37" s="21" t="n"/>
      <c r="C37" s="20" t="inlineStr">
        <is>
          <t>Formula Cell — auto-calculated, do not edit</t>
        </is>
      </c>
    </row>
    <row r="39" ht="22" customHeight="1">
      <c r="A39" s="22" t="inlineStr">
        <is>
          <t>HOW TO USE</t>
        </is>
      </c>
    </row>
    <row r="40" ht="18" customHeight="1">
      <c r="B40" s="23" t="inlineStr">
        <is>
          <t>1.  Fill in School Year Settings: school name, year, days/week, and both semester dates.</t>
        </is>
      </c>
    </row>
    <row r="41" ht="18" customHeight="1">
      <c r="B41" s="24" t="inlineStr">
        <is>
          <t>2.  Semester 1 and Semester 2 weeks auto-calculate from the dates you enter.</t>
        </is>
      </c>
    </row>
    <row r="42" ht="18" customHeight="1">
      <c r="B42" s="23" t="inlineStr">
        <is>
          <t>3.  Enter each student's name, DOB, and graduation year — grade level auto-fills.</t>
        </is>
      </c>
    </row>
    <row r="43" ht="18" customHeight="1">
      <c r="B43" s="24" t="inlineStr">
        <is>
          <t>4.  Open each Student tab and fill in each subject's curriculum title and unit counts.</t>
        </is>
      </c>
    </row>
    <row r="44" ht="18" customHeight="1">
      <c r="B44" s="23" t="inlineStr">
        <is>
          <t>5.  Enter units separately for Semester 1 and Semester 2, or just fill in one semester.</t>
        </is>
      </c>
    </row>
    <row r="45" ht="18" customHeight="1">
      <c r="B45" s="24" t="inlineStr">
        <is>
          <t>6.  Pace (units/week, units/day, est. end date) auto-calculates for each semester.</t>
        </is>
      </c>
    </row>
    <row r="46" ht="18" customHeight="1">
      <c r="B46" s="23" t="inlineStr">
        <is>
          <t>7.  Use the Component Breakdown table for multi-volume curricula (e.g., 10 math books).</t>
        </is>
      </c>
    </row>
    <row r="47" ht="18" customHeight="1">
      <c r="B47" s="24" t="inlineStr">
        <is>
          <t>8.  Elective rows have an editable name — just type over 'Elective / Other 1' etc.</t>
        </is>
      </c>
    </row>
  </sheetData>
  <mergeCells count="58">
    <mergeCell ref="C17:F17"/>
    <mergeCell ref="G26:J26"/>
    <mergeCell ref="B25:C25"/>
    <mergeCell ref="B42:J42"/>
    <mergeCell ref="B14:J14"/>
    <mergeCell ref="C7:F7"/>
    <mergeCell ref="B22:C22"/>
    <mergeCell ref="A4:J4"/>
    <mergeCell ref="G16:J16"/>
    <mergeCell ref="G29:J29"/>
    <mergeCell ref="B31:C31"/>
    <mergeCell ref="A35:J35"/>
    <mergeCell ref="G25:J25"/>
    <mergeCell ref="C19:F19"/>
    <mergeCell ref="B27:C27"/>
    <mergeCell ref="C37:J37"/>
    <mergeCell ref="G32:J32"/>
    <mergeCell ref="B44:J44"/>
    <mergeCell ref="G31:J31"/>
    <mergeCell ref="G22:H22"/>
    <mergeCell ref="G12:J12"/>
    <mergeCell ref="C6:F6"/>
    <mergeCell ref="B23:C23"/>
    <mergeCell ref="B9:J9"/>
    <mergeCell ref="A39:J39"/>
    <mergeCell ref="C15:F15"/>
    <mergeCell ref="B40:J40"/>
    <mergeCell ref="I22:J22"/>
    <mergeCell ref="B43:J43"/>
    <mergeCell ref="G11:J11"/>
    <mergeCell ref="C5:F5"/>
    <mergeCell ref="G27:J27"/>
    <mergeCell ref="A1:J1"/>
    <mergeCell ref="B29:C29"/>
    <mergeCell ref="G17:J17"/>
    <mergeCell ref="G23:J23"/>
    <mergeCell ref="B45:J45"/>
    <mergeCell ref="B28:C28"/>
    <mergeCell ref="C16:F16"/>
    <mergeCell ref="C36:J36"/>
    <mergeCell ref="B41:J41"/>
    <mergeCell ref="C10:F10"/>
    <mergeCell ref="G19:J19"/>
    <mergeCell ref="B47:J47"/>
    <mergeCell ref="G10:J10"/>
    <mergeCell ref="G28:J28"/>
    <mergeCell ref="B24:C24"/>
    <mergeCell ref="B30:C30"/>
    <mergeCell ref="B26:C26"/>
    <mergeCell ref="B46:J46"/>
    <mergeCell ref="C12:F12"/>
    <mergeCell ref="A21:J21"/>
    <mergeCell ref="G24:J24"/>
    <mergeCell ref="G30:J30"/>
    <mergeCell ref="B32:C32"/>
    <mergeCell ref="C11:F11"/>
    <mergeCell ref="A2:J2"/>
    <mergeCell ref="G15:J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Started'!B23="","Student 1",'Getting Started'!B23)</f>
        <v/>
      </c>
    </row>
    <row r="2" ht="22" customHeight="1">
      <c r="A2" s="26">
        <f>IFERROR("Grade: "&amp;'Getting Started'!F23&amp;"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4B5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Started'!B24="","Student 2",'Getting Started'!B24)</f>
        <v/>
      </c>
    </row>
    <row r="2" ht="22" customHeight="1">
      <c r="A2" s="26">
        <f>IFERROR("Grade: "&amp;'Getting Started'!F24&amp;"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2C6F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Started'!B25="","Student 3",'Getting Started'!B25)</f>
        <v/>
      </c>
    </row>
    <row r="2" ht="22" customHeight="1">
      <c r="A2" s="26">
        <f>IFERROR("Grade: "&amp;'Getting Started'!F25&amp;"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22B21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Started'!B26="","Student 4",'Getting Started'!B26)</f>
        <v/>
      </c>
    </row>
    <row r="2" ht="22" customHeight="1">
      <c r="A2" s="26">
        <f>IFERROR("Grade: "&amp;'Getting Started'!F26&amp;"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84212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Started'!B27="","Student 5",'Getting Started'!B27)</f>
        <v/>
      </c>
    </row>
    <row r="2" ht="22" customHeight="1">
      <c r="A2" s="26">
        <f>IFERROR("Grade: "&amp;'Getting Started'!F27&amp;"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D6608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Started'!B28="","Student 6",'Getting Started'!B28)</f>
        <v/>
      </c>
    </row>
    <row r="2" ht="22" customHeight="1">
      <c r="A2" s="26">
        <f>IFERROR("Grade: "&amp;'Getting Started'!F28&amp;"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E6655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Started'!B29="","Student 7",'Getting Started'!B29)</f>
        <v/>
      </c>
    </row>
    <row r="2" ht="22" customHeight="1">
      <c r="A2" s="26">
        <f>IFERROR("Grade: "&amp;'Getting Started'!F29&amp;"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E2F0E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Started'!B30="","Student 8",'Getting Started'!B30)</f>
        <v/>
      </c>
    </row>
    <row r="2" ht="22" customHeight="1">
      <c r="A2" s="26">
        <f>IFERROR("Grade: "&amp;'Getting Started'!F30&amp;"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8449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Started'!B31="","Student 9",'Getting Started'!B31)</f>
        <v/>
      </c>
    </row>
    <row r="2" ht="22" customHeight="1">
      <c r="A2" s="26">
        <f>IFERROR("Grade: "&amp;'Getting Started'!F31&amp;"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6448A"/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44" customHeight="1">
      <c r="A1" s="25">
        <f>IF('Getting Started'!B32="","Student 10",'Getting Started'!B32)</f>
        <v/>
      </c>
    </row>
    <row r="2" ht="22" customHeight="1">
      <c r="A2" s="26">
        <f>IFERROR("Grade: "&amp;'Getting Started'!F32&amp;"   ·   School Year: "&amp;'Getting Started'!C6,"")</f>
        <v/>
      </c>
    </row>
    <row r="3" ht="6" customHeight="1"/>
    <row r="4" ht="22" customHeight="1">
      <c r="A4" s="3" t="inlineStr">
        <is>
          <t>SEMESTER OVERVIEW  (auto-populated from Getting Started)</t>
        </is>
      </c>
    </row>
    <row r="5" ht="20" customHeight="1">
      <c r="A5" s="6">
        <f>IFERROR("SEMESTER 1:  "&amp;TEXT('Getting Started'!C10,"MMM D")&amp;"  –  "&amp;TEXT('Getting Started'!C11,"MMM D, YYYY")&amp;"   ("&amp;'Getting Started'!C12&amp;" weeks)","SEMESTER 1")</f>
        <v/>
      </c>
      <c r="F5" s="27" t="n"/>
      <c r="G5" s="10">
        <f>IFERROR("SEMESTER 2:  "&amp;TEXT('Getting Started'!C15,"MMM D")&amp;"  –  "&amp;TEXT('Getting Started'!C16,"MMM D, YYYY")&amp;"   ("&amp;'Getting Started'!C17&amp;" weeks)","SEMESTER 2")</f>
        <v/>
      </c>
    </row>
    <row r="6" ht="28" customHeight="1">
      <c r="A6" s="28" t="inlineStr">
        <is>
          <t>Subject / Curriculum</t>
        </is>
      </c>
      <c r="B6" s="29" t="inlineStr">
        <is>
          <t>Sem 1
Units</t>
        </is>
      </c>
      <c r="C6" s="29" t="inlineStr">
        <is>
          <t>Sem 1
/ Week</t>
        </is>
      </c>
      <c r="D6" s="29" t="inlineStr">
        <is>
          <t>Sem 1
/ Day</t>
        </is>
      </c>
      <c r="E6" s="29" t="inlineStr">
        <is>
          <t>Sem 1
Est. End</t>
        </is>
      </c>
      <c r="F6" s="30" t="inlineStr"/>
      <c r="G6" s="31" t="inlineStr">
        <is>
          <t>Sem 2
Units</t>
        </is>
      </c>
      <c r="H6" s="31" t="inlineStr">
        <is>
          <t>Sem 2
/ Week</t>
        </is>
      </c>
      <c r="I6" s="31" t="inlineStr">
        <is>
          <t>Sem 2
/ Day</t>
        </is>
      </c>
      <c r="J6" s="31" t="inlineStr">
        <is>
          <t>Sem 2
Est. End</t>
        </is>
      </c>
    </row>
    <row r="7" ht="6" customHeight="1"/>
    <row r="8" ht="24" customHeight="1">
      <c r="A8" s="32" t="inlineStr">
        <is>
          <t xml:space="preserve">  BIBLE</t>
        </is>
      </c>
    </row>
    <row r="9" ht="20" customHeight="1">
      <c r="A9" s="33" t="inlineStr">
        <is>
          <t>Curriculum / Title:</t>
        </is>
      </c>
      <c r="B9" s="5" t="n"/>
      <c r="F9" s="27" t="n"/>
      <c r="G9" s="33" t="inlineStr">
        <is>
          <t>Unit type:</t>
        </is>
      </c>
      <c r="H9" s="34" t="inlineStr">
        <is>
          <t>pages</t>
        </is>
      </c>
    </row>
    <row r="10" ht="22" customHeight="1">
      <c r="B10" s="35" t="n"/>
      <c r="C10" s="36">
        <f>IFERROR(IF(B10="","",ROUND(B10/'Getting Started'!C12,1)),"")</f>
        <v/>
      </c>
      <c r="D10" s="36">
        <f>IFERROR(IF(C10="","",ROUND(C10/'Getting Started'!C7,1)),"")</f>
        <v/>
      </c>
      <c r="E10" s="36">
        <f>IFERROR(IF(B10="","",TEXT('Getting Started'!C10+(B10/D10),"MMM D, YYYY")),"")</f>
        <v/>
      </c>
      <c r="F10" s="27" t="n"/>
      <c r="G10" s="35" t="n"/>
      <c r="H10" s="37">
        <f>IFERROR(IF(G10="","",ROUND(G10/'Getting Started'!C17,1)),"")</f>
        <v/>
      </c>
      <c r="I10" s="37">
        <f>IFERROR(IF(H10="","",ROUND(H10/'Getting Started'!C7,1)),"")</f>
        <v/>
      </c>
      <c r="J10" s="37">
        <f>IFERROR(IF(G10="","",TEXT('Getting Started'!C15+(G10/I10),"MMM D, YYYY")),"")</f>
        <v/>
      </c>
    </row>
    <row r="11" ht="16" customHeight="1">
      <c r="A11" s="38" t="inlineStr">
        <is>
          <t xml:space="preserve">  Optional: Component / Volume Breakdown  (fill in if the curriculum has multiple books or parts)</t>
        </is>
      </c>
    </row>
    <row r="12" ht="28" customHeight="1">
      <c r="A12" s="39" t="inlineStr">
        <is>
          <t>#</t>
        </is>
      </c>
      <c r="B12" s="39" t="inlineStr">
        <is>
          <t>Component / Book Title</t>
        </is>
      </c>
      <c r="E12" s="39" t="inlineStr">
        <is>
          <t>Units in
Component</t>
        </is>
      </c>
      <c r="F12" s="39" t="inlineStr">
        <is>
          <t>Cumul.
Units</t>
        </is>
      </c>
      <c r="G12" s="39" t="inlineStr">
        <is>
          <t>Start
Week</t>
        </is>
      </c>
      <c r="H12" s="39" t="inlineStr">
        <is>
          <t>End
Week</t>
        </is>
      </c>
      <c r="I12" s="39" t="inlineStr">
        <is>
          <t>Start
Date</t>
        </is>
      </c>
      <c r="J12" s="39" t="inlineStr">
        <is>
          <t>End
Date</t>
        </is>
      </c>
    </row>
    <row r="13" ht="18" customHeight="1">
      <c r="A13" s="14" t="n">
        <v>1</v>
      </c>
      <c r="B13" s="34" t="n"/>
      <c r="E13" s="35" t="n"/>
      <c r="F13" s="40">
        <f>IFERROR(SUM(E13:E13),"")</f>
        <v/>
      </c>
      <c r="G13" s="40">
        <f>IF(E13="","",1)</f>
        <v/>
      </c>
      <c r="H13" s="40">
        <f>IFERROR(IF(E13="","",CEILING(F13/((IFERROR(B10,0)+IFERROR(G10,0))/(IFERROR('Getting Started'!C12,0)+IFERROR('Getting Started'!C17,0))),1)),"")</f>
        <v/>
      </c>
      <c r="I13" s="40">
        <f>IFERROR(IF(E13="","",TEXT('Getting Started'!C10+(G13-1)*7,"MMM D")),"")</f>
        <v/>
      </c>
      <c r="J13" s="40">
        <f>IFERROR(IF(E13="","",TEXT('Getting Started'!C10+(H13)*7,"MMM D")),"")</f>
        <v/>
      </c>
    </row>
    <row r="14" ht="18" customHeight="1">
      <c r="A14" s="17" t="n">
        <v>2</v>
      </c>
      <c r="B14" s="41" t="n"/>
      <c r="E14" s="42" t="n"/>
      <c r="F14" s="40">
        <f>IFERROR(SUM(E13:E14),"")</f>
        <v/>
      </c>
      <c r="G14" s="40">
        <f>IFERROR(IF(E14="","",FLOOR(F13/((IFERROR(B10,0)+IFERROR(G10,0))/(IFERROR('Getting Started'!C12,0)+IFERROR('Getting Started'!C17,0))),1)+1),"")</f>
        <v/>
      </c>
      <c r="H14" s="40">
        <f>IFERROR(IF(E14="","",CEILING(F14/((IFERROR(B10,0)+IFERROR(G10,0))/(IFERROR('Getting Started'!C12,0)+IFERROR('Getting Started'!C17,0))),1)),"")</f>
        <v/>
      </c>
      <c r="I14" s="40">
        <f>IFERROR(IF(E14="","",TEXT('Getting Started'!C10+(G14-1)*7,"MMM D")),"")</f>
        <v/>
      </c>
      <c r="J14" s="40">
        <f>IFERROR(IF(E14="","",TEXT('Getting Started'!C10+(H14)*7,"MMM D")),"")</f>
        <v/>
      </c>
    </row>
    <row r="15" ht="18" customHeight="1">
      <c r="A15" s="14" t="n">
        <v>3</v>
      </c>
      <c r="B15" s="34" t="n"/>
      <c r="E15" s="35" t="n"/>
      <c r="F15" s="40">
        <f>IFERROR(SUM(E13:E15),"")</f>
        <v/>
      </c>
      <c r="G15" s="40">
        <f>IFERROR(IF(E15="","",FLOOR(F14/((IFERROR(B10,0)+IFERROR(G10,0))/(IFERROR('Getting Started'!C12,0)+IFERROR('Getting Started'!C17,0))),1)+1),"")</f>
        <v/>
      </c>
      <c r="H15" s="40">
        <f>IFERROR(IF(E15="","",CEILING(F15/((IFERROR(B10,0)+IFERROR(G10,0))/(IFERROR('Getting Started'!C12,0)+IFERROR('Getting Started'!C17,0))),1)),"")</f>
        <v/>
      </c>
      <c r="I15" s="40">
        <f>IFERROR(IF(E15="","",TEXT('Getting Started'!C10+(G15-1)*7,"MMM D")),"")</f>
        <v/>
      </c>
      <c r="J15" s="40">
        <f>IFERROR(IF(E15="","",TEXT('Getting Started'!C10+(H15)*7,"MMM D")),"")</f>
        <v/>
      </c>
    </row>
    <row r="16" ht="18" customHeight="1">
      <c r="A16" s="17" t="n">
        <v>4</v>
      </c>
      <c r="B16" s="41" t="n"/>
      <c r="E16" s="42" t="n"/>
      <c r="F16" s="40">
        <f>IFERROR(SUM(E13:E16),"")</f>
        <v/>
      </c>
      <c r="G16" s="40">
        <f>IFERROR(IF(E16="","",FLOOR(F15/((IFERROR(B10,0)+IFERROR(G10,0))/(IFERROR('Getting Started'!C12,0)+IFERROR('Getting Started'!C17,0))),1)+1),"")</f>
        <v/>
      </c>
      <c r="H16" s="40">
        <f>IFERROR(IF(E16="","",CEILING(F16/((IFERROR(B10,0)+IFERROR(G10,0))/(IFERROR('Getting Started'!C12,0)+IFERROR('Getting Started'!C17,0))),1)),"")</f>
        <v/>
      </c>
      <c r="I16" s="40">
        <f>IFERROR(IF(E16="","",TEXT('Getting Started'!C10+(G16-1)*7,"MMM D")),"")</f>
        <v/>
      </c>
      <c r="J16" s="40">
        <f>IFERROR(IF(E16="","",TEXT('Getting Started'!C10+(H16)*7,"MMM D")),"")</f>
        <v/>
      </c>
    </row>
    <row r="17" ht="18" customHeight="1">
      <c r="A17" s="14" t="n">
        <v>5</v>
      </c>
      <c r="B17" s="34" t="n"/>
      <c r="E17" s="35" t="n"/>
      <c r="F17" s="40">
        <f>IFERROR(SUM(E13:E17),"")</f>
        <v/>
      </c>
      <c r="G17" s="40">
        <f>IFERROR(IF(E17="","",FLOOR(F16/((IFERROR(B10,0)+IFERROR(G10,0))/(IFERROR('Getting Started'!C12,0)+IFERROR('Getting Started'!C17,0))),1)+1),"")</f>
        <v/>
      </c>
      <c r="H17" s="40">
        <f>IFERROR(IF(E17="","",CEILING(F17/((IFERROR(B10,0)+IFERROR(G10,0))/(IFERROR('Getting Started'!C12,0)+IFERROR('Getting Started'!C17,0))),1)),"")</f>
        <v/>
      </c>
      <c r="I17" s="40">
        <f>IFERROR(IF(E17="","",TEXT('Getting Started'!C10+(G17-1)*7,"MMM D")),"")</f>
        <v/>
      </c>
      <c r="J17" s="40">
        <f>IFERROR(IF(E17="","",TEXT('Getting Started'!C10+(H17)*7,"MMM D")),"")</f>
        <v/>
      </c>
    </row>
    <row r="18" ht="18" customHeight="1">
      <c r="A18" s="17" t="n">
        <v>6</v>
      </c>
      <c r="B18" s="41" t="n"/>
      <c r="E18" s="42" t="n"/>
      <c r="F18" s="40">
        <f>IFERROR(SUM(E13:E18),"")</f>
        <v/>
      </c>
      <c r="G18" s="40">
        <f>IFERROR(IF(E18="","",FLOOR(F17/((IFERROR(B10,0)+IFERROR(G10,0))/(IFERROR('Getting Started'!C12,0)+IFERROR('Getting Started'!C17,0))),1)+1),"")</f>
        <v/>
      </c>
      <c r="H18" s="40">
        <f>IFERROR(IF(E18="","",CEILING(F18/((IFERROR(B10,0)+IFERROR(G10,0))/(IFERROR('Getting Started'!C12,0)+IFERROR('Getting Started'!C17,0))),1)),"")</f>
        <v/>
      </c>
      <c r="I18" s="40">
        <f>IFERROR(IF(E18="","",TEXT('Getting Started'!C10+(G18-1)*7,"MMM D")),"")</f>
        <v/>
      </c>
      <c r="J18" s="40">
        <f>IFERROR(IF(E18="","",TEXT('Getting Started'!C10+(H18)*7,"MMM D")),"")</f>
        <v/>
      </c>
    </row>
    <row r="19" ht="20" customHeight="1">
      <c r="A19" s="33" t="inlineStr">
        <is>
          <t>Notes:</t>
        </is>
      </c>
      <c r="B19" s="5" t="n"/>
    </row>
    <row r="20" ht="6" customHeight="1"/>
    <row r="21" ht="24" customHeight="1">
      <c r="A21" s="43" t="inlineStr">
        <is>
          <t xml:space="preserve">  MATH</t>
        </is>
      </c>
    </row>
    <row r="22" ht="20" customHeight="1">
      <c r="A22" s="44" t="inlineStr">
        <is>
          <t>Curriculum / Title:</t>
        </is>
      </c>
      <c r="B22" s="5" t="n"/>
      <c r="F22" s="27" t="n"/>
      <c r="G22" s="44" t="inlineStr">
        <is>
          <t>Unit type:</t>
        </is>
      </c>
      <c r="H22" s="34" t="inlineStr">
        <is>
          <t>pages</t>
        </is>
      </c>
    </row>
    <row r="23" ht="22" customHeight="1">
      <c r="B23" s="35" t="n"/>
      <c r="C23" s="36">
        <f>IFERROR(IF(B23="","",ROUND(B23/'Getting Started'!C12,1)),"")</f>
        <v/>
      </c>
      <c r="D23" s="36">
        <f>IFERROR(IF(C23="","",ROUND(C23/'Getting Started'!C7,1)),"")</f>
        <v/>
      </c>
      <c r="E23" s="36">
        <f>IFERROR(IF(B23="","",TEXT('Getting Started'!C10+(B23/D23),"MMM D, YYYY")),"")</f>
        <v/>
      </c>
      <c r="F23" s="27" t="n"/>
      <c r="G23" s="35" t="n"/>
      <c r="H23" s="37">
        <f>IFERROR(IF(G23="","",ROUND(G23/'Getting Started'!C17,1)),"")</f>
        <v/>
      </c>
      <c r="I23" s="37">
        <f>IFERROR(IF(H23="","",ROUND(H23/'Getting Started'!C7,1)),"")</f>
        <v/>
      </c>
      <c r="J23" s="37">
        <f>IFERROR(IF(G23="","",TEXT('Getting Started'!C15+(G23/I23),"MMM D, YYYY")),"")</f>
        <v/>
      </c>
    </row>
    <row r="24" ht="16" customHeight="1">
      <c r="A24" s="38" t="inlineStr">
        <is>
          <t xml:space="preserve">  Optional: Component / Volume Breakdown  (fill in if the curriculum has multiple books or parts)</t>
        </is>
      </c>
    </row>
    <row r="25" ht="28" customHeight="1">
      <c r="A25" s="39" t="inlineStr">
        <is>
          <t>#</t>
        </is>
      </c>
      <c r="B25" s="39" t="inlineStr">
        <is>
          <t>Component / Book Title</t>
        </is>
      </c>
      <c r="E25" s="39" t="inlineStr">
        <is>
          <t>Units in
Component</t>
        </is>
      </c>
      <c r="F25" s="39" t="inlineStr">
        <is>
          <t>Cumul.
Units</t>
        </is>
      </c>
      <c r="G25" s="39" t="inlineStr">
        <is>
          <t>Start
Week</t>
        </is>
      </c>
      <c r="H25" s="39" t="inlineStr">
        <is>
          <t>End
Week</t>
        </is>
      </c>
      <c r="I25" s="39" t="inlineStr">
        <is>
          <t>Start
Date</t>
        </is>
      </c>
      <c r="J25" s="39" t="inlineStr">
        <is>
          <t>End
Date</t>
        </is>
      </c>
    </row>
    <row r="26" ht="18" customHeight="1">
      <c r="A26" s="14" t="n">
        <v>1</v>
      </c>
      <c r="B26" s="34" t="n"/>
      <c r="E26" s="35" t="n"/>
      <c r="F26" s="40">
        <f>IFERROR(SUM(E26:E26),"")</f>
        <v/>
      </c>
      <c r="G26" s="40">
        <f>IF(E26="","",1)</f>
        <v/>
      </c>
      <c r="H26" s="40">
        <f>IFERROR(IF(E26="","",CEILING(F26/((IFERROR(B23,0)+IFERROR(G23,0))/(IFERROR('Getting Started'!C12,0)+IFERROR('Getting Started'!C17,0))),1)),"")</f>
        <v/>
      </c>
      <c r="I26" s="40">
        <f>IFERROR(IF(E26="","",TEXT('Getting Started'!C10+(G26-1)*7,"MMM D")),"")</f>
        <v/>
      </c>
      <c r="J26" s="40">
        <f>IFERROR(IF(E26="","",TEXT('Getting Started'!C10+(H26)*7,"MMM D")),"")</f>
        <v/>
      </c>
    </row>
    <row r="27" ht="18" customHeight="1">
      <c r="A27" s="17" t="n">
        <v>2</v>
      </c>
      <c r="B27" s="41" t="n"/>
      <c r="E27" s="42" t="n"/>
      <c r="F27" s="40">
        <f>IFERROR(SUM(E26:E27),"")</f>
        <v/>
      </c>
      <c r="G27" s="40">
        <f>IFERROR(IF(E27="","",FLOOR(F26/((IFERROR(B23,0)+IFERROR(G23,0))/(IFERROR('Getting Started'!C12,0)+IFERROR('Getting Started'!C17,0))),1)+1),"")</f>
        <v/>
      </c>
      <c r="H27" s="40">
        <f>IFERROR(IF(E27="","",CEILING(F27/((IFERROR(B23,0)+IFERROR(G23,0))/(IFERROR('Getting Started'!C12,0)+IFERROR('Getting Started'!C17,0))),1)),"")</f>
        <v/>
      </c>
      <c r="I27" s="40">
        <f>IFERROR(IF(E27="","",TEXT('Getting Started'!C10+(G27-1)*7,"MMM D")),"")</f>
        <v/>
      </c>
      <c r="J27" s="40">
        <f>IFERROR(IF(E27="","",TEXT('Getting Started'!C10+(H27)*7,"MMM D")),"")</f>
        <v/>
      </c>
    </row>
    <row r="28" ht="18" customHeight="1">
      <c r="A28" s="14" t="n">
        <v>3</v>
      </c>
      <c r="B28" s="34" t="n"/>
      <c r="E28" s="35" t="n"/>
      <c r="F28" s="40">
        <f>IFERROR(SUM(E26:E28),"")</f>
        <v/>
      </c>
      <c r="G28" s="40">
        <f>IFERROR(IF(E28="","",FLOOR(F27/((IFERROR(B23,0)+IFERROR(G23,0))/(IFERROR('Getting Started'!C12,0)+IFERROR('Getting Started'!C17,0))),1)+1),"")</f>
        <v/>
      </c>
      <c r="H28" s="40">
        <f>IFERROR(IF(E28="","",CEILING(F28/((IFERROR(B23,0)+IFERROR(G23,0))/(IFERROR('Getting Started'!C12,0)+IFERROR('Getting Started'!C17,0))),1)),"")</f>
        <v/>
      </c>
      <c r="I28" s="40">
        <f>IFERROR(IF(E28="","",TEXT('Getting Started'!C10+(G28-1)*7,"MMM D")),"")</f>
        <v/>
      </c>
      <c r="J28" s="40">
        <f>IFERROR(IF(E28="","",TEXT('Getting Started'!C10+(H28)*7,"MMM D")),"")</f>
        <v/>
      </c>
    </row>
    <row r="29" ht="18" customHeight="1">
      <c r="A29" s="17" t="n">
        <v>4</v>
      </c>
      <c r="B29" s="41" t="n"/>
      <c r="E29" s="42" t="n"/>
      <c r="F29" s="40">
        <f>IFERROR(SUM(E26:E29),"")</f>
        <v/>
      </c>
      <c r="G29" s="40">
        <f>IFERROR(IF(E29="","",FLOOR(F28/((IFERROR(B23,0)+IFERROR(G23,0))/(IFERROR('Getting Started'!C12,0)+IFERROR('Getting Started'!C17,0))),1)+1),"")</f>
        <v/>
      </c>
      <c r="H29" s="40">
        <f>IFERROR(IF(E29="","",CEILING(F29/((IFERROR(B23,0)+IFERROR(G23,0))/(IFERROR('Getting Started'!C12,0)+IFERROR('Getting Started'!C17,0))),1)),"")</f>
        <v/>
      </c>
      <c r="I29" s="40">
        <f>IFERROR(IF(E29="","",TEXT('Getting Started'!C10+(G29-1)*7,"MMM D")),"")</f>
        <v/>
      </c>
      <c r="J29" s="40">
        <f>IFERROR(IF(E29="","",TEXT('Getting Started'!C10+(H29)*7,"MMM D")),"")</f>
        <v/>
      </c>
    </row>
    <row r="30" ht="18" customHeight="1">
      <c r="A30" s="14" t="n">
        <v>5</v>
      </c>
      <c r="B30" s="34" t="n"/>
      <c r="E30" s="35" t="n"/>
      <c r="F30" s="40">
        <f>IFERROR(SUM(E26:E30),"")</f>
        <v/>
      </c>
      <c r="G30" s="40">
        <f>IFERROR(IF(E30="","",FLOOR(F29/((IFERROR(B23,0)+IFERROR(G23,0))/(IFERROR('Getting Started'!C12,0)+IFERROR('Getting Started'!C17,0))),1)+1),"")</f>
        <v/>
      </c>
      <c r="H30" s="40">
        <f>IFERROR(IF(E30="","",CEILING(F30/((IFERROR(B23,0)+IFERROR(G23,0))/(IFERROR('Getting Started'!C12,0)+IFERROR('Getting Started'!C17,0))),1)),"")</f>
        <v/>
      </c>
      <c r="I30" s="40">
        <f>IFERROR(IF(E30="","",TEXT('Getting Started'!C10+(G30-1)*7,"MMM D")),"")</f>
        <v/>
      </c>
      <c r="J30" s="40">
        <f>IFERROR(IF(E30="","",TEXT('Getting Started'!C10+(H30)*7,"MMM D")),"")</f>
        <v/>
      </c>
    </row>
    <row r="31" ht="18" customHeight="1">
      <c r="A31" s="17" t="n">
        <v>6</v>
      </c>
      <c r="B31" s="41" t="n"/>
      <c r="E31" s="42" t="n"/>
      <c r="F31" s="40">
        <f>IFERROR(SUM(E26:E31),"")</f>
        <v/>
      </c>
      <c r="G31" s="40">
        <f>IFERROR(IF(E31="","",FLOOR(F30/((IFERROR(B23,0)+IFERROR(G23,0))/(IFERROR('Getting Started'!C12,0)+IFERROR('Getting Started'!C17,0))),1)+1),"")</f>
        <v/>
      </c>
      <c r="H31" s="40">
        <f>IFERROR(IF(E31="","",CEILING(F31/((IFERROR(B23,0)+IFERROR(G23,0))/(IFERROR('Getting Started'!C12,0)+IFERROR('Getting Started'!C17,0))),1)),"")</f>
        <v/>
      </c>
      <c r="I31" s="40">
        <f>IFERROR(IF(E31="","",TEXT('Getting Started'!C10+(G31-1)*7,"MMM D")),"")</f>
        <v/>
      </c>
      <c r="J31" s="40">
        <f>IFERROR(IF(E31="","",TEXT('Getting Started'!C10+(H31)*7,"MMM D")),"")</f>
        <v/>
      </c>
    </row>
    <row r="32" ht="20" customHeight="1">
      <c r="A32" s="44" t="inlineStr">
        <is>
          <t>Notes:</t>
        </is>
      </c>
      <c r="B32" s="5" t="n"/>
    </row>
    <row r="33" ht="6" customHeight="1"/>
    <row r="34" ht="24" customHeight="1">
      <c r="A34" s="45" t="inlineStr">
        <is>
          <t xml:space="preserve">  ENGLISH / LANGUAGE ARTS</t>
        </is>
      </c>
    </row>
    <row r="35" ht="20" customHeight="1">
      <c r="A35" s="46" t="inlineStr">
        <is>
          <t>Curriculum / Title:</t>
        </is>
      </c>
      <c r="B35" s="5" t="n"/>
      <c r="F35" s="27" t="n"/>
      <c r="G35" s="46" t="inlineStr">
        <is>
          <t>Unit type:</t>
        </is>
      </c>
      <c r="H35" s="34" t="inlineStr">
        <is>
          <t>pages</t>
        </is>
      </c>
    </row>
    <row r="36" ht="22" customHeight="1">
      <c r="B36" s="35" t="n"/>
      <c r="C36" s="36">
        <f>IFERROR(IF(B36="","",ROUND(B36/'Getting Started'!C12,1)),"")</f>
        <v/>
      </c>
      <c r="D36" s="36">
        <f>IFERROR(IF(C36="","",ROUND(C36/'Getting Started'!C7,1)),"")</f>
        <v/>
      </c>
      <c r="E36" s="36">
        <f>IFERROR(IF(B36="","",TEXT('Getting Started'!C10+(B36/D36),"MMM D, YYYY")),"")</f>
        <v/>
      </c>
      <c r="F36" s="27" t="n"/>
      <c r="G36" s="35" t="n"/>
      <c r="H36" s="37">
        <f>IFERROR(IF(G36="","",ROUND(G36/'Getting Started'!C17,1)),"")</f>
        <v/>
      </c>
      <c r="I36" s="37">
        <f>IFERROR(IF(H36="","",ROUND(H36/'Getting Started'!C7,1)),"")</f>
        <v/>
      </c>
      <c r="J36" s="37">
        <f>IFERROR(IF(G36="","",TEXT('Getting Started'!C15+(G36/I36),"MMM D, YYYY")),"")</f>
        <v/>
      </c>
    </row>
    <row r="37" ht="16" customHeight="1">
      <c r="A37" s="38" t="inlineStr">
        <is>
          <t xml:space="preserve">  Optional: Component / Volume Breakdown  (fill in if the curriculum has multiple books or parts)</t>
        </is>
      </c>
    </row>
    <row r="38" ht="28" customHeight="1">
      <c r="A38" s="39" t="inlineStr">
        <is>
          <t>#</t>
        </is>
      </c>
      <c r="B38" s="39" t="inlineStr">
        <is>
          <t>Component / Book Title</t>
        </is>
      </c>
      <c r="E38" s="39" t="inlineStr">
        <is>
          <t>Units in
Component</t>
        </is>
      </c>
      <c r="F38" s="39" t="inlineStr">
        <is>
          <t>Cumul.
Units</t>
        </is>
      </c>
      <c r="G38" s="39" t="inlineStr">
        <is>
          <t>Start
Week</t>
        </is>
      </c>
      <c r="H38" s="39" t="inlineStr">
        <is>
          <t>End
Week</t>
        </is>
      </c>
      <c r="I38" s="39" t="inlineStr">
        <is>
          <t>Start
Date</t>
        </is>
      </c>
      <c r="J38" s="39" t="inlineStr">
        <is>
          <t>End
Date</t>
        </is>
      </c>
    </row>
    <row r="39" ht="18" customHeight="1">
      <c r="A39" s="14" t="n">
        <v>1</v>
      </c>
      <c r="B39" s="34" t="n"/>
      <c r="E39" s="35" t="n"/>
      <c r="F39" s="40">
        <f>IFERROR(SUM(E39:E39),"")</f>
        <v/>
      </c>
      <c r="G39" s="40">
        <f>IF(E39="","",1)</f>
        <v/>
      </c>
      <c r="H39" s="40">
        <f>IFERROR(IF(E39="","",CEILING(F39/((IFERROR(B36,0)+IFERROR(G36,0))/(IFERROR('Getting Started'!C12,0)+IFERROR('Getting Started'!C17,0))),1)),"")</f>
        <v/>
      </c>
      <c r="I39" s="40">
        <f>IFERROR(IF(E39="","",TEXT('Getting Started'!C10+(G39-1)*7,"MMM D")),"")</f>
        <v/>
      </c>
      <c r="J39" s="40">
        <f>IFERROR(IF(E39="","",TEXT('Getting Started'!C10+(H39)*7,"MMM D")),"")</f>
        <v/>
      </c>
    </row>
    <row r="40" ht="18" customHeight="1">
      <c r="A40" s="17" t="n">
        <v>2</v>
      </c>
      <c r="B40" s="41" t="n"/>
      <c r="E40" s="42" t="n"/>
      <c r="F40" s="40">
        <f>IFERROR(SUM(E39:E40),"")</f>
        <v/>
      </c>
      <c r="G40" s="40">
        <f>IFERROR(IF(E40="","",FLOOR(F39/((IFERROR(B36,0)+IFERROR(G36,0))/(IFERROR('Getting Started'!C12,0)+IFERROR('Getting Started'!C17,0))),1)+1),"")</f>
        <v/>
      </c>
      <c r="H40" s="40">
        <f>IFERROR(IF(E40="","",CEILING(F40/((IFERROR(B36,0)+IFERROR(G36,0))/(IFERROR('Getting Started'!C12,0)+IFERROR('Getting Started'!C17,0))),1)),"")</f>
        <v/>
      </c>
      <c r="I40" s="40">
        <f>IFERROR(IF(E40="","",TEXT('Getting Started'!C10+(G40-1)*7,"MMM D")),"")</f>
        <v/>
      </c>
      <c r="J40" s="40">
        <f>IFERROR(IF(E40="","",TEXT('Getting Started'!C10+(H40)*7,"MMM D")),"")</f>
        <v/>
      </c>
    </row>
    <row r="41" ht="18" customHeight="1">
      <c r="A41" s="14" t="n">
        <v>3</v>
      </c>
      <c r="B41" s="34" t="n"/>
      <c r="E41" s="35" t="n"/>
      <c r="F41" s="40">
        <f>IFERROR(SUM(E39:E41),"")</f>
        <v/>
      </c>
      <c r="G41" s="40">
        <f>IFERROR(IF(E41="","",FLOOR(F40/((IFERROR(B36,0)+IFERROR(G36,0))/(IFERROR('Getting Started'!C12,0)+IFERROR('Getting Started'!C17,0))),1)+1),"")</f>
        <v/>
      </c>
      <c r="H41" s="40">
        <f>IFERROR(IF(E41="","",CEILING(F41/((IFERROR(B36,0)+IFERROR(G36,0))/(IFERROR('Getting Started'!C12,0)+IFERROR('Getting Started'!C17,0))),1)),"")</f>
        <v/>
      </c>
      <c r="I41" s="40">
        <f>IFERROR(IF(E41="","",TEXT('Getting Started'!C10+(G41-1)*7,"MMM D")),"")</f>
        <v/>
      </c>
      <c r="J41" s="40">
        <f>IFERROR(IF(E41="","",TEXT('Getting Started'!C10+(H41)*7,"MMM D")),"")</f>
        <v/>
      </c>
    </row>
    <row r="42" ht="18" customHeight="1">
      <c r="A42" s="17" t="n">
        <v>4</v>
      </c>
      <c r="B42" s="41" t="n"/>
      <c r="E42" s="42" t="n"/>
      <c r="F42" s="40">
        <f>IFERROR(SUM(E39:E42),"")</f>
        <v/>
      </c>
      <c r="G42" s="40">
        <f>IFERROR(IF(E42="","",FLOOR(F41/((IFERROR(B36,0)+IFERROR(G36,0))/(IFERROR('Getting Started'!C12,0)+IFERROR('Getting Started'!C17,0))),1)+1),"")</f>
        <v/>
      </c>
      <c r="H42" s="40">
        <f>IFERROR(IF(E42="","",CEILING(F42/((IFERROR(B36,0)+IFERROR(G36,0))/(IFERROR('Getting Started'!C12,0)+IFERROR('Getting Started'!C17,0))),1)),"")</f>
        <v/>
      </c>
      <c r="I42" s="40">
        <f>IFERROR(IF(E42="","",TEXT('Getting Started'!C10+(G42-1)*7,"MMM D")),"")</f>
        <v/>
      </c>
      <c r="J42" s="40">
        <f>IFERROR(IF(E42="","",TEXT('Getting Started'!C10+(H42)*7,"MMM D")),"")</f>
        <v/>
      </c>
    </row>
    <row r="43" ht="18" customHeight="1">
      <c r="A43" s="14" t="n">
        <v>5</v>
      </c>
      <c r="B43" s="34" t="n"/>
      <c r="E43" s="35" t="n"/>
      <c r="F43" s="40">
        <f>IFERROR(SUM(E39:E43),"")</f>
        <v/>
      </c>
      <c r="G43" s="40">
        <f>IFERROR(IF(E43="","",FLOOR(F42/((IFERROR(B36,0)+IFERROR(G36,0))/(IFERROR('Getting Started'!C12,0)+IFERROR('Getting Started'!C17,0))),1)+1),"")</f>
        <v/>
      </c>
      <c r="H43" s="40">
        <f>IFERROR(IF(E43="","",CEILING(F43/((IFERROR(B36,0)+IFERROR(G36,0))/(IFERROR('Getting Started'!C12,0)+IFERROR('Getting Started'!C17,0))),1)),"")</f>
        <v/>
      </c>
      <c r="I43" s="40">
        <f>IFERROR(IF(E43="","",TEXT('Getting Started'!C10+(G43-1)*7,"MMM D")),"")</f>
        <v/>
      </c>
      <c r="J43" s="40">
        <f>IFERROR(IF(E43="","",TEXT('Getting Started'!C10+(H43)*7,"MMM D")),"")</f>
        <v/>
      </c>
    </row>
    <row r="44" ht="18" customHeight="1">
      <c r="A44" s="17" t="n">
        <v>6</v>
      </c>
      <c r="B44" s="41" t="n"/>
      <c r="E44" s="42" t="n"/>
      <c r="F44" s="40">
        <f>IFERROR(SUM(E39:E44),"")</f>
        <v/>
      </c>
      <c r="G44" s="40">
        <f>IFERROR(IF(E44="","",FLOOR(F43/((IFERROR(B36,0)+IFERROR(G36,0))/(IFERROR('Getting Started'!C12,0)+IFERROR('Getting Started'!C17,0))),1)+1),"")</f>
        <v/>
      </c>
      <c r="H44" s="40">
        <f>IFERROR(IF(E44="","",CEILING(F44/((IFERROR(B36,0)+IFERROR(G36,0))/(IFERROR('Getting Started'!C12,0)+IFERROR('Getting Started'!C17,0))),1)),"")</f>
        <v/>
      </c>
      <c r="I44" s="40">
        <f>IFERROR(IF(E44="","",TEXT('Getting Started'!C10+(G44-1)*7,"MMM D")),"")</f>
        <v/>
      </c>
      <c r="J44" s="40">
        <f>IFERROR(IF(E44="","",TEXT('Getting Started'!C10+(H44)*7,"MMM D")),"")</f>
        <v/>
      </c>
    </row>
    <row r="45" ht="20" customHeight="1">
      <c r="A45" s="46" t="inlineStr">
        <is>
          <t>Notes:</t>
        </is>
      </c>
      <c r="B45" s="5" t="n"/>
    </row>
    <row r="46" ht="6" customHeight="1"/>
    <row r="47" ht="24" customHeight="1">
      <c r="A47" s="47" t="inlineStr">
        <is>
          <t xml:space="preserve">  READING</t>
        </is>
      </c>
    </row>
    <row r="48" ht="20" customHeight="1">
      <c r="A48" s="48" t="inlineStr">
        <is>
          <t>Curriculum / Title:</t>
        </is>
      </c>
      <c r="B48" s="5" t="n"/>
      <c r="F48" s="27" t="n"/>
      <c r="G48" s="48" t="inlineStr">
        <is>
          <t>Unit type:</t>
        </is>
      </c>
      <c r="H48" s="34" t="inlineStr">
        <is>
          <t>pages</t>
        </is>
      </c>
    </row>
    <row r="49" ht="22" customHeight="1">
      <c r="B49" s="35" t="n"/>
      <c r="C49" s="36">
        <f>IFERROR(IF(B49="","",ROUND(B49/'Getting Started'!C12,1)),"")</f>
        <v/>
      </c>
      <c r="D49" s="36">
        <f>IFERROR(IF(C49="","",ROUND(C49/'Getting Started'!C7,1)),"")</f>
        <v/>
      </c>
      <c r="E49" s="36">
        <f>IFERROR(IF(B49="","",TEXT('Getting Started'!C10+(B49/D49),"MMM D, YYYY")),"")</f>
        <v/>
      </c>
      <c r="F49" s="27" t="n"/>
      <c r="G49" s="35" t="n"/>
      <c r="H49" s="37">
        <f>IFERROR(IF(G49="","",ROUND(G49/'Getting Started'!C17,1)),"")</f>
        <v/>
      </c>
      <c r="I49" s="37">
        <f>IFERROR(IF(H49="","",ROUND(H49/'Getting Started'!C7,1)),"")</f>
        <v/>
      </c>
      <c r="J49" s="37">
        <f>IFERROR(IF(G49="","",TEXT('Getting Started'!C15+(G49/I49),"MMM D, YYYY")),"")</f>
        <v/>
      </c>
    </row>
    <row r="50" ht="16" customHeight="1">
      <c r="A50" s="38" t="inlineStr">
        <is>
          <t xml:space="preserve">  Optional: Component / Volume Breakdown  (fill in if the curriculum has multiple books or parts)</t>
        </is>
      </c>
    </row>
    <row r="51" ht="28" customHeight="1">
      <c r="A51" s="39" t="inlineStr">
        <is>
          <t>#</t>
        </is>
      </c>
      <c r="B51" s="39" t="inlineStr">
        <is>
          <t>Component / Book Title</t>
        </is>
      </c>
      <c r="E51" s="39" t="inlineStr">
        <is>
          <t>Units in
Component</t>
        </is>
      </c>
      <c r="F51" s="39" t="inlineStr">
        <is>
          <t>Cumul.
Units</t>
        </is>
      </c>
      <c r="G51" s="39" t="inlineStr">
        <is>
          <t>Start
Week</t>
        </is>
      </c>
      <c r="H51" s="39" t="inlineStr">
        <is>
          <t>End
Week</t>
        </is>
      </c>
      <c r="I51" s="39" t="inlineStr">
        <is>
          <t>Start
Date</t>
        </is>
      </c>
      <c r="J51" s="39" t="inlineStr">
        <is>
          <t>End
Date</t>
        </is>
      </c>
    </row>
    <row r="52" ht="18" customHeight="1">
      <c r="A52" s="14" t="n">
        <v>1</v>
      </c>
      <c r="B52" s="34" t="n"/>
      <c r="E52" s="35" t="n"/>
      <c r="F52" s="40">
        <f>IFERROR(SUM(E52:E52),"")</f>
        <v/>
      </c>
      <c r="G52" s="40">
        <f>IF(E52="","",1)</f>
        <v/>
      </c>
      <c r="H52" s="40">
        <f>IFERROR(IF(E52="","",CEILING(F52/((IFERROR(B49,0)+IFERROR(G49,0))/(IFERROR('Getting Started'!C12,0)+IFERROR('Getting Started'!C17,0))),1)),"")</f>
        <v/>
      </c>
      <c r="I52" s="40">
        <f>IFERROR(IF(E52="","",TEXT('Getting Started'!C10+(G52-1)*7,"MMM D")),"")</f>
        <v/>
      </c>
      <c r="J52" s="40">
        <f>IFERROR(IF(E52="","",TEXT('Getting Started'!C10+(H52)*7,"MMM D")),"")</f>
        <v/>
      </c>
    </row>
    <row r="53" ht="18" customHeight="1">
      <c r="A53" s="17" t="n">
        <v>2</v>
      </c>
      <c r="B53" s="41" t="n"/>
      <c r="E53" s="42" t="n"/>
      <c r="F53" s="40">
        <f>IFERROR(SUM(E52:E53),"")</f>
        <v/>
      </c>
      <c r="G53" s="40">
        <f>IFERROR(IF(E53="","",FLOOR(F52/((IFERROR(B49,0)+IFERROR(G49,0))/(IFERROR('Getting Started'!C12,0)+IFERROR('Getting Started'!C17,0))),1)+1),"")</f>
        <v/>
      </c>
      <c r="H53" s="40">
        <f>IFERROR(IF(E53="","",CEILING(F53/((IFERROR(B49,0)+IFERROR(G49,0))/(IFERROR('Getting Started'!C12,0)+IFERROR('Getting Started'!C17,0))),1)),"")</f>
        <v/>
      </c>
      <c r="I53" s="40">
        <f>IFERROR(IF(E53="","",TEXT('Getting Started'!C10+(G53-1)*7,"MMM D")),"")</f>
        <v/>
      </c>
      <c r="J53" s="40">
        <f>IFERROR(IF(E53="","",TEXT('Getting Started'!C10+(H53)*7,"MMM D")),"")</f>
        <v/>
      </c>
    </row>
    <row r="54" ht="18" customHeight="1">
      <c r="A54" s="14" t="n">
        <v>3</v>
      </c>
      <c r="B54" s="34" t="n"/>
      <c r="E54" s="35" t="n"/>
      <c r="F54" s="40">
        <f>IFERROR(SUM(E52:E54),"")</f>
        <v/>
      </c>
      <c r="G54" s="40">
        <f>IFERROR(IF(E54="","",FLOOR(F53/((IFERROR(B49,0)+IFERROR(G49,0))/(IFERROR('Getting Started'!C12,0)+IFERROR('Getting Started'!C17,0))),1)+1),"")</f>
        <v/>
      </c>
      <c r="H54" s="40">
        <f>IFERROR(IF(E54="","",CEILING(F54/((IFERROR(B49,0)+IFERROR(G49,0))/(IFERROR('Getting Started'!C12,0)+IFERROR('Getting Started'!C17,0))),1)),"")</f>
        <v/>
      </c>
      <c r="I54" s="40">
        <f>IFERROR(IF(E54="","",TEXT('Getting Started'!C10+(G54-1)*7,"MMM D")),"")</f>
        <v/>
      </c>
      <c r="J54" s="40">
        <f>IFERROR(IF(E54="","",TEXT('Getting Started'!C10+(H54)*7,"MMM D")),"")</f>
        <v/>
      </c>
    </row>
    <row r="55" ht="18" customHeight="1">
      <c r="A55" s="17" t="n">
        <v>4</v>
      </c>
      <c r="B55" s="41" t="n"/>
      <c r="E55" s="42" t="n"/>
      <c r="F55" s="40">
        <f>IFERROR(SUM(E52:E55),"")</f>
        <v/>
      </c>
      <c r="G55" s="40">
        <f>IFERROR(IF(E55="","",FLOOR(F54/((IFERROR(B49,0)+IFERROR(G49,0))/(IFERROR('Getting Started'!C12,0)+IFERROR('Getting Started'!C17,0))),1)+1),"")</f>
        <v/>
      </c>
      <c r="H55" s="40">
        <f>IFERROR(IF(E55="","",CEILING(F55/((IFERROR(B49,0)+IFERROR(G49,0))/(IFERROR('Getting Started'!C12,0)+IFERROR('Getting Started'!C17,0))),1)),"")</f>
        <v/>
      </c>
      <c r="I55" s="40">
        <f>IFERROR(IF(E55="","",TEXT('Getting Started'!C10+(G55-1)*7,"MMM D")),"")</f>
        <v/>
      </c>
      <c r="J55" s="40">
        <f>IFERROR(IF(E55="","",TEXT('Getting Started'!C10+(H55)*7,"MMM D")),"")</f>
        <v/>
      </c>
    </row>
    <row r="56" ht="18" customHeight="1">
      <c r="A56" s="14" t="n">
        <v>5</v>
      </c>
      <c r="B56" s="34" t="n"/>
      <c r="E56" s="35" t="n"/>
      <c r="F56" s="40">
        <f>IFERROR(SUM(E52:E56),"")</f>
        <v/>
      </c>
      <c r="G56" s="40">
        <f>IFERROR(IF(E56="","",FLOOR(F55/((IFERROR(B49,0)+IFERROR(G49,0))/(IFERROR('Getting Started'!C12,0)+IFERROR('Getting Started'!C17,0))),1)+1),"")</f>
        <v/>
      </c>
      <c r="H56" s="40">
        <f>IFERROR(IF(E56="","",CEILING(F56/((IFERROR(B49,0)+IFERROR(G49,0))/(IFERROR('Getting Started'!C12,0)+IFERROR('Getting Started'!C17,0))),1)),"")</f>
        <v/>
      </c>
      <c r="I56" s="40">
        <f>IFERROR(IF(E56="","",TEXT('Getting Started'!C10+(G56-1)*7,"MMM D")),"")</f>
        <v/>
      </c>
      <c r="J56" s="40">
        <f>IFERROR(IF(E56="","",TEXT('Getting Started'!C10+(H56)*7,"MMM D")),"")</f>
        <v/>
      </c>
    </row>
    <row r="57" ht="18" customHeight="1">
      <c r="A57" s="17" t="n">
        <v>6</v>
      </c>
      <c r="B57" s="41" t="n"/>
      <c r="E57" s="42" t="n"/>
      <c r="F57" s="40">
        <f>IFERROR(SUM(E52:E57),"")</f>
        <v/>
      </c>
      <c r="G57" s="40">
        <f>IFERROR(IF(E57="","",FLOOR(F56/((IFERROR(B49,0)+IFERROR(G49,0))/(IFERROR('Getting Started'!C12,0)+IFERROR('Getting Started'!C17,0))),1)+1),"")</f>
        <v/>
      </c>
      <c r="H57" s="40">
        <f>IFERROR(IF(E57="","",CEILING(F57/((IFERROR(B49,0)+IFERROR(G49,0))/(IFERROR('Getting Started'!C12,0)+IFERROR('Getting Started'!C17,0))),1)),"")</f>
        <v/>
      </c>
      <c r="I57" s="40">
        <f>IFERROR(IF(E57="","",TEXT('Getting Started'!C10+(G57-1)*7,"MMM D")),"")</f>
        <v/>
      </c>
      <c r="J57" s="40">
        <f>IFERROR(IF(E57="","",TEXT('Getting Started'!C10+(H57)*7,"MMM D")),"")</f>
        <v/>
      </c>
    </row>
    <row r="58" ht="20" customHeight="1">
      <c r="A58" s="48" t="inlineStr">
        <is>
          <t>Notes:</t>
        </is>
      </c>
      <c r="B58" s="5" t="n"/>
    </row>
    <row r="59" ht="6" customHeight="1"/>
    <row r="60" ht="24" customHeight="1">
      <c r="A60" s="49" t="inlineStr">
        <is>
          <t xml:space="preserve">  WRITING / COMPOSITION</t>
        </is>
      </c>
    </row>
    <row r="61" ht="20" customHeight="1">
      <c r="A61" s="50" t="inlineStr">
        <is>
          <t>Curriculum / Title:</t>
        </is>
      </c>
      <c r="B61" s="5" t="n"/>
      <c r="F61" s="27" t="n"/>
      <c r="G61" s="50" t="inlineStr">
        <is>
          <t>Unit type:</t>
        </is>
      </c>
      <c r="H61" s="34" t="inlineStr">
        <is>
          <t>pages</t>
        </is>
      </c>
    </row>
    <row r="62" ht="22" customHeight="1">
      <c r="B62" s="35" t="n"/>
      <c r="C62" s="36">
        <f>IFERROR(IF(B62="","",ROUND(B62/'Getting Started'!C12,1)),"")</f>
        <v/>
      </c>
      <c r="D62" s="36">
        <f>IFERROR(IF(C62="","",ROUND(C62/'Getting Started'!C7,1)),"")</f>
        <v/>
      </c>
      <c r="E62" s="36">
        <f>IFERROR(IF(B62="","",TEXT('Getting Started'!C10+(B62/D62),"MMM D, YYYY")),"")</f>
        <v/>
      </c>
      <c r="F62" s="27" t="n"/>
      <c r="G62" s="35" t="n"/>
      <c r="H62" s="37">
        <f>IFERROR(IF(G62="","",ROUND(G62/'Getting Started'!C17,1)),"")</f>
        <v/>
      </c>
      <c r="I62" s="37">
        <f>IFERROR(IF(H62="","",ROUND(H62/'Getting Started'!C7,1)),"")</f>
        <v/>
      </c>
      <c r="J62" s="37">
        <f>IFERROR(IF(G62="","",TEXT('Getting Started'!C15+(G62/I62),"MMM D, YYYY")),"")</f>
        <v/>
      </c>
    </row>
    <row r="63" ht="16" customHeight="1">
      <c r="A63" s="38" t="inlineStr">
        <is>
          <t xml:space="preserve">  Optional: Component / Volume Breakdown  (fill in if the curriculum has multiple books or parts)</t>
        </is>
      </c>
    </row>
    <row r="64" ht="28" customHeight="1">
      <c r="A64" s="39" t="inlineStr">
        <is>
          <t>#</t>
        </is>
      </c>
      <c r="B64" s="39" t="inlineStr">
        <is>
          <t>Component / Book Title</t>
        </is>
      </c>
      <c r="E64" s="39" t="inlineStr">
        <is>
          <t>Units in
Component</t>
        </is>
      </c>
      <c r="F64" s="39" t="inlineStr">
        <is>
          <t>Cumul.
Units</t>
        </is>
      </c>
      <c r="G64" s="39" t="inlineStr">
        <is>
          <t>Start
Week</t>
        </is>
      </c>
      <c r="H64" s="39" t="inlineStr">
        <is>
          <t>End
Week</t>
        </is>
      </c>
      <c r="I64" s="39" t="inlineStr">
        <is>
          <t>Start
Date</t>
        </is>
      </c>
      <c r="J64" s="39" t="inlineStr">
        <is>
          <t>End
Date</t>
        </is>
      </c>
    </row>
    <row r="65" ht="18" customHeight="1">
      <c r="A65" s="14" t="n">
        <v>1</v>
      </c>
      <c r="B65" s="34" t="n"/>
      <c r="E65" s="35" t="n"/>
      <c r="F65" s="40">
        <f>IFERROR(SUM(E65:E65),"")</f>
        <v/>
      </c>
      <c r="G65" s="40">
        <f>IF(E65="","",1)</f>
        <v/>
      </c>
      <c r="H65" s="40">
        <f>IFERROR(IF(E65="","",CEILING(F65/((IFERROR(B62,0)+IFERROR(G62,0))/(IFERROR('Getting Started'!C12,0)+IFERROR('Getting Started'!C17,0))),1)),"")</f>
        <v/>
      </c>
      <c r="I65" s="40">
        <f>IFERROR(IF(E65="","",TEXT('Getting Started'!C10+(G65-1)*7,"MMM D")),"")</f>
        <v/>
      </c>
      <c r="J65" s="40">
        <f>IFERROR(IF(E65="","",TEXT('Getting Started'!C10+(H65)*7,"MMM D")),"")</f>
        <v/>
      </c>
    </row>
    <row r="66" ht="18" customHeight="1">
      <c r="A66" s="17" t="n">
        <v>2</v>
      </c>
      <c r="B66" s="41" t="n"/>
      <c r="E66" s="42" t="n"/>
      <c r="F66" s="40">
        <f>IFERROR(SUM(E65:E66),"")</f>
        <v/>
      </c>
      <c r="G66" s="40">
        <f>IFERROR(IF(E66="","",FLOOR(F65/((IFERROR(B62,0)+IFERROR(G62,0))/(IFERROR('Getting Started'!C12,0)+IFERROR('Getting Started'!C17,0))),1)+1),"")</f>
        <v/>
      </c>
      <c r="H66" s="40">
        <f>IFERROR(IF(E66="","",CEILING(F66/((IFERROR(B62,0)+IFERROR(G62,0))/(IFERROR('Getting Started'!C12,0)+IFERROR('Getting Started'!C17,0))),1)),"")</f>
        <v/>
      </c>
      <c r="I66" s="40">
        <f>IFERROR(IF(E66="","",TEXT('Getting Started'!C10+(G66-1)*7,"MMM D")),"")</f>
        <v/>
      </c>
      <c r="J66" s="40">
        <f>IFERROR(IF(E66="","",TEXT('Getting Started'!C10+(H66)*7,"MMM D")),"")</f>
        <v/>
      </c>
    </row>
    <row r="67" ht="18" customHeight="1">
      <c r="A67" s="14" t="n">
        <v>3</v>
      </c>
      <c r="B67" s="34" t="n"/>
      <c r="E67" s="35" t="n"/>
      <c r="F67" s="40">
        <f>IFERROR(SUM(E65:E67),"")</f>
        <v/>
      </c>
      <c r="G67" s="40">
        <f>IFERROR(IF(E67="","",FLOOR(F66/((IFERROR(B62,0)+IFERROR(G62,0))/(IFERROR('Getting Started'!C12,0)+IFERROR('Getting Started'!C17,0))),1)+1),"")</f>
        <v/>
      </c>
      <c r="H67" s="40">
        <f>IFERROR(IF(E67="","",CEILING(F67/((IFERROR(B62,0)+IFERROR(G62,0))/(IFERROR('Getting Started'!C12,0)+IFERROR('Getting Started'!C17,0))),1)),"")</f>
        <v/>
      </c>
      <c r="I67" s="40">
        <f>IFERROR(IF(E67="","",TEXT('Getting Started'!C10+(G67-1)*7,"MMM D")),"")</f>
        <v/>
      </c>
      <c r="J67" s="40">
        <f>IFERROR(IF(E67="","",TEXT('Getting Started'!C10+(H67)*7,"MMM D")),"")</f>
        <v/>
      </c>
    </row>
    <row r="68" ht="18" customHeight="1">
      <c r="A68" s="17" t="n">
        <v>4</v>
      </c>
      <c r="B68" s="41" t="n"/>
      <c r="E68" s="42" t="n"/>
      <c r="F68" s="40">
        <f>IFERROR(SUM(E65:E68),"")</f>
        <v/>
      </c>
      <c r="G68" s="40">
        <f>IFERROR(IF(E68="","",FLOOR(F67/((IFERROR(B62,0)+IFERROR(G62,0))/(IFERROR('Getting Started'!C12,0)+IFERROR('Getting Started'!C17,0))),1)+1),"")</f>
        <v/>
      </c>
      <c r="H68" s="40">
        <f>IFERROR(IF(E68="","",CEILING(F68/((IFERROR(B62,0)+IFERROR(G62,0))/(IFERROR('Getting Started'!C12,0)+IFERROR('Getting Started'!C17,0))),1)),"")</f>
        <v/>
      </c>
      <c r="I68" s="40">
        <f>IFERROR(IF(E68="","",TEXT('Getting Started'!C10+(G68-1)*7,"MMM D")),"")</f>
        <v/>
      </c>
      <c r="J68" s="40">
        <f>IFERROR(IF(E68="","",TEXT('Getting Started'!C10+(H68)*7,"MMM D")),"")</f>
        <v/>
      </c>
    </row>
    <row r="69" ht="18" customHeight="1">
      <c r="A69" s="14" t="n">
        <v>5</v>
      </c>
      <c r="B69" s="34" t="n"/>
      <c r="E69" s="35" t="n"/>
      <c r="F69" s="40">
        <f>IFERROR(SUM(E65:E69),"")</f>
        <v/>
      </c>
      <c r="G69" s="40">
        <f>IFERROR(IF(E69="","",FLOOR(F68/((IFERROR(B62,0)+IFERROR(G62,0))/(IFERROR('Getting Started'!C12,0)+IFERROR('Getting Started'!C17,0))),1)+1),"")</f>
        <v/>
      </c>
      <c r="H69" s="40">
        <f>IFERROR(IF(E69="","",CEILING(F69/((IFERROR(B62,0)+IFERROR(G62,0))/(IFERROR('Getting Started'!C12,0)+IFERROR('Getting Started'!C17,0))),1)),"")</f>
        <v/>
      </c>
      <c r="I69" s="40">
        <f>IFERROR(IF(E69="","",TEXT('Getting Started'!C10+(G69-1)*7,"MMM D")),"")</f>
        <v/>
      </c>
      <c r="J69" s="40">
        <f>IFERROR(IF(E69="","",TEXT('Getting Started'!C10+(H69)*7,"MMM D")),"")</f>
        <v/>
      </c>
    </row>
    <row r="70" ht="18" customHeight="1">
      <c r="A70" s="17" t="n">
        <v>6</v>
      </c>
      <c r="B70" s="41" t="n"/>
      <c r="E70" s="42" t="n"/>
      <c r="F70" s="40">
        <f>IFERROR(SUM(E65:E70),"")</f>
        <v/>
      </c>
      <c r="G70" s="40">
        <f>IFERROR(IF(E70="","",FLOOR(F69/((IFERROR(B62,0)+IFERROR(G62,0))/(IFERROR('Getting Started'!C12,0)+IFERROR('Getting Started'!C17,0))),1)+1),"")</f>
        <v/>
      </c>
      <c r="H70" s="40">
        <f>IFERROR(IF(E70="","",CEILING(F70/((IFERROR(B62,0)+IFERROR(G62,0))/(IFERROR('Getting Started'!C12,0)+IFERROR('Getting Started'!C17,0))),1)),"")</f>
        <v/>
      </c>
      <c r="I70" s="40">
        <f>IFERROR(IF(E70="","",TEXT('Getting Started'!C10+(G70-1)*7,"MMM D")),"")</f>
        <v/>
      </c>
      <c r="J70" s="40">
        <f>IFERROR(IF(E70="","",TEXT('Getting Started'!C10+(H70)*7,"MMM D")),"")</f>
        <v/>
      </c>
    </row>
    <row r="71" ht="20" customHeight="1">
      <c r="A71" s="50" t="inlineStr">
        <is>
          <t>Notes:</t>
        </is>
      </c>
      <c r="B71" s="5" t="n"/>
    </row>
    <row r="72" ht="6" customHeight="1"/>
    <row r="73" ht="24" customHeight="1">
      <c r="A73" s="51" t="inlineStr">
        <is>
          <t xml:space="preserve">  SCIENCE</t>
        </is>
      </c>
    </row>
    <row r="74" ht="20" customHeight="1">
      <c r="A74" s="52" t="inlineStr">
        <is>
          <t>Curriculum / Title:</t>
        </is>
      </c>
      <c r="B74" s="5" t="n"/>
      <c r="F74" s="27" t="n"/>
      <c r="G74" s="52" t="inlineStr">
        <is>
          <t>Unit type:</t>
        </is>
      </c>
      <c r="H74" s="34" t="inlineStr">
        <is>
          <t>pages</t>
        </is>
      </c>
    </row>
    <row r="75" ht="22" customHeight="1">
      <c r="B75" s="35" t="n"/>
      <c r="C75" s="36">
        <f>IFERROR(IF(B75="","",ROUND(B75/'Getting Started'!C12,1)),"")</f>
        <v/>
      </c>
      <c r="D75" s="36">
        <f>IFERROR(IF(C75="","",ROUND(C75/'Getting Started'!C7,1)),"")</f>
        <v/>
      </c>
      <c r="E75" s="36">
        <f>IFERROR(IF(B75="","",TEXT('Getting Started'!C10+(B75/D75),"MMM D, YYYY")),"")</f>
        <v/>
      </c>
      <c r="F75" s="27" t="n"/>
      <c r="G75" s="35" t="n"/>
      <c r="H75" s="37">
        <f>IFERROR(IF(G75="","",ROUND(G75/'Getting Started'!C17,1)),"")</f>
        <v/>
      </c>
      <c r="I75" s="37">
        <f>IFERROR(IF(H75="","",ROUND(H75/'Getting Started'!C7,1)),"")</f>
        <v/>
      </c>
      <c r="J75" s="37">
        <f>IFERROR(IF(G75="","",TEXT('Getting Started'!C15+(G75/I75),"MMM D, YYYY")),"")</f>
        <v/>
      </c>
    </row>
    <row r="76" ht="16" customHeight="1">
      <c r="A76" s="38" t="inlineStr">
        <is>
          <t xml:space="preserve">  Optional: Component / Volume Breakdown  (fill in if the curriculum has multiple books or parts)</t>
        </is>
      </c>
    </row>
    <row r="77" ht="28" customHeight="1">
      <c r="A77" s="39" t="inlineStr">
        <is>
          <t>#</t>
        </is>
      </c>
      <c r="B77" s="39" t="inlineStr">
        <is>
          <t>Component / Book Title</t>
        </is>
      </c>
      <c r="E77" s="39" t="inlineStr">
        <is>
          <t>Units in
Component</t>
        </is>
      </c>
      <c r="F77" s="39" t="inlineStr">
        <is>
          <t>Cumul.
Units</t>
        </is>
      </c>
      <c r="G77" s="39" t="inlineStr">
        <is>
          <t>Start
Week</t>
        </is>
      </c>
      <c r="H77" s="39" t="inlineStr">
        <is>
          <t>End
Week</t>
        </is>
      </c>
      <c r="I77" s="39" t="inlineStr">
        <is>
          <t>Start
Date</t>
        </is>
      </c>
      <c r="J77" s="39" t="inlineStr">
        <is>
          <t>End
Date</t>
        </is>
      </c>
    </row>
    <row r="78" ht="18" customHeight="1">
      <c r="A78" s="14" t="n">
        <v>1</v>
      </c>
      <c r="B78" s="34" t="n"/>
      <c r="E78" s="35" t="n"/>
      <c r="F78" s="40">
        <f>IFERROR(SUM(E78:E78),"")</f>
        <v/>
      </c>
      <c r="G78" s="40">
        <f>IF(E78="","",1)</f>
        <v/>
      </c>
      <c r="H78" s="40">
        <f>IFERROR(IF(E78="","",CEILING(F78/((IFERROR(B75,0)+IFERROR(G75,0))/(IFERROR('Getting Started'!C12,0)+IFERROR('Getting Started'!C17,0))),1)),"")</f>
        <v/>
      </c>
      <c r="I78" s="40">
        <f>IFERROR(IF(E78="","",TEXT('Getting Started'!C10+(G78-1)*7,"MMM D")),"")</f>
        <v/>
      </c>
      <c r="J78" s="40">
        <f>IFERROR(IF(E78="","",TEXT('Getting Started'!C10+(H78)*7,"MMM D")),"")</f>
        <v/>
      </c>
    </row>
    <row r="79" ht="18" customHeight="1">
      <c r="A79" s="17" t="n">
        <v>2</v>
      </c>
      <c r="B79" s="41" t="n"/>
      <c r="E79" s="42" t="n"/>
      <c r="F79" s="40">
        <f>IFERROR(SUM(E78:E79),"")</f>
        <v/>
      </c>
      <c r="G79" s="40">
        <f>IFERROR(IF(E79="","",FLOOR(F78/((IFERROR(B75,0)+IFERROR(G75,0))/(IFERROR('Getting Started'!C12,0)+IFERROR('Getting Started'!C17,0))),1)+1),"")</f>
        <v/>
      </c>
      <c r="H79" s="40">
        <f>IFERROR(IF(E79="","",CEILING(F79/((IFERROR(B75,0)+IFERROR(G75,0))/(IFERROR('Getting Started'!C12,0)+IFERROR('Getting Started'!C17,0))),1)),"")</f>
        <v/>
      </c>
      <c r="I79" s="40">
        <f>IFERROR(IF(E79="","",TEXT('Getting Started'!C10+(G79-1)*7,"MMM D")),"")</f>
        <v/>
      </c>
      <c r="J79" s="40">
        <f>IFERROR(IF(E79="","",TEXT('Getting Started'!C10+(H79)*7,"MMM D")),"")</f>
        <v/>
      </c>
    </row>
    <row r="80" ht="18" customHeight="1">
      <c r="A80" s="14" t="n">
        <v>3</v>
      </c>
      <c r="B80" s="34" t="n"/>
      <c r="E80" s="35" t="n"/>
      <c r="F80" s="40">
        <f>IFERROR(SUM(E78:E80),"")</f>
        <v/>
      </c>
      <c r="G80" s="40">
        <f>IFERROR(IF(E80="","",FLOOR(F79/((IFERROR(B75,0)+IFERROR(G75,0))/(IFERROR('Getting Started'!C12,0)+IFERROR('Getting Started'!C17,0))),1)+1),"")</f>
        <v/>
      </c>
      <c r="H80" s="40">
        <f>IFERROR(IF(E80="","",CEILING(F80/((IFERROR(B75,0)+IFERROR(G75,0))/(IFERROR('Getting Started'!C12,0)+IFERROR('Getting Started'!C17,0))),1)),"")</f>
        <v/>
      </c>
      <c r="I80" s="40">
        <f>IFERROR(IF(E80="","",TEXT('Getting Started'!C10+(G80-1)*7,"MMM D")),"")</f>
        <v/>
      </c>
      <c r="J80" s="40">
        <f>IFERROR(IF(E80="","",TEXT('Getting Started'!C10+(H80)*7,"MMM D")),"")</f>
        <v/>
      </c>
    </row>
    <row r="81" ht="18" customHeight="1">
      <c r="A81" s="17" t="n">
        <v>4</v>
      </c>
      <c r="B81" s="41" t="n"/>
      <c r="E81" s="42" t="n"/>
      <c r="F81" s="40">
        <f>IFERROR(SUM(E78:E81),"")</f>
        <v/>
      </c>
      <c r="G81" s="40">
        <f>IFERROR(IF(E81="","",FLOOR(F80/((IFERROR(B75,0)+IFERROR(G75,0))/(IFERROR('Getting Started'!C12,0)+IFERROR('Getting Started'!C17,0))),1)+1),"")</f>
        <v/>
      </c>
      <c r="H81" s="40">
        <f>IFERROR(IF(E81="","",CEILING(F81/((IFERROR(B75,0)+IFERROR(G75,0))/(IFERROR('Getting Started'!C12,0)+IFERROR('Getting Started'!C17,0))),1)),"")</f>
        <v/>
      </c>
      <c r="I81" s="40">
        <f>IFERROR(IF(E81="","",TEXT('Getting Started'!C10+(G81-1)*7,"MMM D")),"")</f>
        <v/>
      </c>
      <c r="J81" s="40">
        <f>IFERROR(IF(E81="","",TEXT('Getting Started'!C10+(H81)*7,"MMM D")),"")</f>
        <v/>
      </c>
    </row>
    <row r="82" ht="18" customHeight="1">
      <c r="A82" s="14" t="n">
        <v>5</v>
      </c>
      <c r="B82" s="34" t="n"/>
      <c r="E82" s="35" t="n"/>
      <c r="F82" s="40">
        <f>IFERROR(SUM(E78:E82),"")</f>
        <v/>
      </c>
      <c r="G82" s="40">
        <f>IFERROR(IF(E82="","",FLOOR(F81/((IFERROR(B75,0)+IFERROR(G75,0))/(IFERROR('Getting Started'!C12,0)+IFERROR('Getting Started'!C17,0))),1)+1),"")</f>
        <v/>
      </c>
      <c r="H82" s="40">
        <f>IFERROR(IF(E82="","",CEILING(F82/((IFERROR(B75,0)+IFERROR(G75,0))/(IFERROR('Getting Started'!C12,0)+IFERROR('Getting Started'!C17,0))),1)),"")</f>
        <v/>
      </c>
      <c r="I82" s="40">
        <f>IFERROR(IF(E82="","",TEXT('Getting Started'!C10+(G82-1)*7,"MMM D")),"")</f>
        <v/>
      </c>
      <c r="J82" s="40">
        <f>IFERROR(IF(E82="","",TEXT('Getting Started'!C10+(H82)*7,"MMM D")),"")</f>
        <v/>
      </c>
    </row>
    <row r="83" ht="18" customHeight="1">
      <c r="A83" s="17" t="n">
        <v>6</v>
      </c>
      <c r="B83" s="41" t="n"/>
      <c r="E83" s="42" t="n"/>
      <c r="F83" s="40">
        <f>IFERROR(SUM(E78:E83),"")</f>
        <v/>
      </c>
      <c r="G83" s="40">
        <f>IFERROR(IF(E83="","",FLOOR(F82/((IFERROR(B75,0)+IFERROR(G75,0))/(IFERROR('Getting Started'!C12,0)+IFERROR('Getting Started'!C17,0))),1)+1),"")</f>
        <v/>
      </c>
      <c r="H83" s="40">
        <f>IFERROR(IF(E83="","",CEILING(F83/((IFERROR(B75,0)+IFERROR(G75,0))/(IFERROR('Getting Started'!C12,0)+IFERROR('Getting Started'!C17,0))),1)),"")</f>
        <v/>
      </c>
      <c r="I83" s="40">
        <f>IFERROR(IF(E83="","",TEXT('Getting Started'!C10+(G83-1)*7,"MMM D")),"")</f>
        <v/>
      </c>
      <c r="J83" s="40">
        <f>IFERROR(IF(E83="","",TEXT('Getting Started'!C10+(H83)*7,"MMM D")),"")</f>
        <v/>
      </c>
    </row>
    <row r="84" ht="20" customHeight="1">
      <c r="A84" s="52" t="inlineStr">
        <is>
          <t>Notes:</t>
        </is>
      </c>
      <c r="B84" s="5" t="n"/>
    </row>
    <row r="85" ht="6" customHeight="1"/>
    <row r="86" ht="24" customHeight="1">
      <c r="A86" s="53" t="inlineStr">
        <is>
          <t xml:space="preserve">  SOCIAL STUDIES / HISTORY</t>
        </is>
      </c>
    </row>
    <row r="87" ht="20" customHeight="1">
      <c r="A87" s="54" t="inlineStr">
        <is>
          <t>Curriculum / Title:</t>
        </is>
      </c>
      <c r="B87" s="5" t="n"/>
      <c r="F87" s="27" t="n"/>
      <c r="G87" s="54" t="inlineStr">
        <is>
          <t>Unit type:</t>
        </is>
      </c>
      <c r="H87" s="34" t="inlineStr">
        <is>
          <t>pages</t>
        </is>
      </c>
    </row>
    <row r="88" ht="22" customHeight="1">
      <c r="B88" s="35" t="n"/>
      <c r="C88" s="36">
        <f>IFERROR(IF(B88="","",ROUND(B88/'Getting Started'!C12,1)),"")</f>
        <v/>
      </c>
      <c r="D88" s="36">
        <f>IFERROR(IF(C88="","",ROUND(C88/'Getting Started'!C7,1)),"")</f>
        <v/>
      </c>
      <c r="E88" s="36">
        <f>IFERROR(IF(B88="","",TEXT('Getting Started'!C10+(B88/D88),"MMM D, YYYY")),"")</f>
        <v/>
      </c>
      <c r="F88" s="27" t="n"/>
      <c r="G88" s="35" t="n"/>
      <c r="H88" s="37">
        <f>IFERROR(IF(G88="","",ROUND(G88/'Getting Started'!C17,1)),"")</f>
        <v/>
      </c>
      <c r="I88" s="37">
        <f>IFERROR(IF(H88="","",ROUND(H88/'Getting Started'!C7,1)),"")</f>
        <v/>
      </c>
      <c r="J88" s="37">
        <f>IFERROR(IF(G88="","",TEXT('Getting Started'!C15+(G88/I88),"MMM D, YYYY")),"")</f>
        <v/>
      </c>
    </row>
    <row r="89" ht="16" customHeight="1">
      <c r="A89" s="38" t="inlineStr">
        <is>
          <t xml:space="preserve">  Optional: Component / Volume Breakdown  (fill in if the curriculum has multiple books or parts)</t>
        </is>
      </c>
    </row>
    <row r="90" ht="28" customHeight="1">
      <c r="A90" s="39" t="inlineStr">
        <is>
          <t>#</t>
        </is>
      </c>
      <c r="B90" s="39" t="inlineStr">
        <is>
          <t>Component / Book Title</t>
        </is>
      </c>
      <c r="E90" s="39" t="inlineStr">
        <is>
          <t>Units in
Component</t>
        </is>
      </c>
      <c r="F90" s="39" t="inlineStr">
        <is>
          <t>Cumul.
Units</t>
        </is>
      </c>
      <c r="G90" s="39" t="inlineStr">
        <is>
          <t>Start
Week</t>
        </is>
      </c>
      <c r="H90" s="39" t="inlineStr">
        <is>
          <t>End
Week</t>
        </is>
      </c>
      <c r="I90" s="39" t="inlineStr">
        <is>
          <t>Start
Date</t>
        </is>
      </c>
      <c r="J90" s="39" t="inlineStr">
        <is>
          <t>End
Date</t>
        </is>
      </c>
    </row>
    <row r="91" ht="18" customHeight="1">
      <c r="A91" s="14" t="n">
        <v>1</v>
      </c>
      <c r="B91" s="34" t="n"/>
      <c r="E91" s="35" t="n"/>
      <c r="F91" s="40">
        <f>IFERROR(SUM(E91:E91),"")</f>
        <v/>
      </c>
      <c r="G91" s="40">
        <f>IF(E91="","",1)</f>
        <v/>
      </c>
      <c r="H91" s="40">
        <f>IFERROR(IF(E91="","",CEILING(F91/((IFERROR(B88,0)+IFERROR(G88,0))/(IFERROR('Getting Started'!C12,0)+IFERROR('Getting Started'!C17,0))),1)),"")</f>
        <v/>
      </c>
      <c r="I91" s="40">
        <f>IFERROR(IF(E91="","",TEXT('Getting Started'!C10+(G91-1)*7,"MMM D")),"")</f>
        <v/>
      </c>
      <c r="J91" s="40">
        <f>IFERROR(IF(E91="","",TEXT('Getting Started'!C10+(H91)*7,"MMM D")),"")</f>
        <v/>
      </c>
    </row>
    <row r="92" ht="18" customHeight="1">
      <c r="A92" s="17" t="n">
        <v>2</v>
      </c>
      <c r="B92" s="41" t="n"/>
      <c r="E92" s="42" t="n"/>
      <c r="F92" s="40">
        <f>IFERROR(SUM(E91:E92),"")</f>
        <v/>
      </c>
      <c r="G92" s="40">
        <f>IFERROR(IF(E92="","",FLOOR(F91/((IFERROR(B88,0)+IFERROR(G88,0))/(IFERROR('Getting Started'!C12,0)+IFERROR('Getting Started'!C17,0))),1)+1),"")</f>
        <v/>
      </c>
      <c r="H92" s="40">
        <f>IFERROR(IF(E92="","",CEILING(F92/((IFERROR(B88,0)+IFERROR(G88,0))/(IFERROR('Getting Started'!C12,0)+IFERROR('Getting Started'!C17,0))),1)),"")</f>
        <v/>
      </c>
      <c r="I92" s="40">
        <f>IFERROR(IF(E92="","",TEXT('Getting Started'!C10+(G92-1)*7,"MMM D")),"")</f>
        <v/>
      </c>
      <c r="J92" s="40">
        <f>IFERROR(IF(E92="","",TEXT('Getting Started'!C10+(H92)*7,"MMM D")),"")</f>
        <v/>
      </c>
    </row>
    <row r="93" ht="18" customHeight="1">
      <c r="A93" s="14" t="n">
        <v>3</v>
      </c>
      <c r="B93" s="34" t="n"/>
      <c r="E93" s="35" t="n"/>
      <c r="F93" s="40">
        <f>IFERROR(SUM(E91:E93),"")</f>
        <v/>
      </c>
      <c r="G93" s="40">
        <f>IFERROR(IF(E93="","",FLOOR(F92/((IFERROR(B88,0)+IFERROR(G88,0))/(IFERROR('Getting Started'!C12,0)+IFERROR('Getting Started'!C17,0))),1)+1),"")</f>
        <v/>
      </c>
      <c r="H93" s="40">
        <f>IFERROR(IF(E93="","",CEILING(F93/((IFERROR(B88,0)+IFERROR(G88,0))/(IFERROR('Getting Started'!C12,0)+IFERROR('Getting Started'!C17,0))),1)),"")</f>
        <v/>
      </c>
      <c r="I93" s="40">
        <f>IFERROR(IF(E93="","",TEXT('Getting Started'!C10+(G93-1)*7,"MMM D")),"")</f>
        <v/>
      </c>
      <c r="J93" s="40">
        <f>IFERROR(IF(E93="","",TEXT('Getting Started'!C10+(H93)*7,"MMM D")),"")</f>
        <v/>
      </c>
    </row>
    <row r="94" ht="18" customHeight="1">
      <c r="A94" s="17" t="n">
        <v>4</v>
      </c>
      <c r="B94" s="41" t="n"/>
      <c r="E94" s="42" t="n"/>
      <c r="F94" s="40">
        <f>IFERROR(SUM(E91:E94),"")</f>
        <v/>
      </c>
      <c r="G94" s="40">
        <f>IFERROR(IF(E94="","",FLOOR(F93/((IFERROR(B88,0)+IFERROR(G88,0))/(IFERROR('Getting Started'!C12,0)+IFERROR('Getting Started'!C17,0))),1)+1),"")</f>
        <v/>
      </c>
      <c r="H94" s="40">
        <f>IFERROR(IF(E94="","",CEILING(F94/((IFERROR(B88,0)+IFERROR(G88,0))/(IFERROR('Getting Started'!C12,0)+IFERROR('Getting Started'!C17,0))),1)),"")</f>
        <v/>
      </c>
      <c r="I94" s="40">
        <f>IFERROR(IF(E94="","",TEXT('Getting Started'!C10+(G94-1)*7,"MMM D")),"")</f>
        <v/>
      </c>
      <c r="J94" s="40">
        <f>IFERROR(IF(E94="","",TEXT('Getting Started'!C10+(H94)*7,"MMM D")),"")</f>
        <v/>
      </c>
    </row>
    <row r="95" ht="18" customHeight="1">
      <c r="A95" s="14" t="n">
        <v>5</v>
      </c>
      <c r="B95" s="34" t="n"/>
      <c r="E95" s="35" t="n"/>
      <c r="F95" s="40">
        <f>IFERROR(SUM(E91:E95),"")</f>
        <v/>
      </c>
      <c r="G95" s="40">
        <f>IFERROR(IF(E95="","",FLOOR(F94/((IFERROR(B88,0)+IFERROR(G88,0))/(IFERROR('Getting Started'!C12,0)+IFERROR('Getting Started'!C17,0))),1)+1),"")</f>
        <v/>
      </c>
      <c r="H95" s="40">
        <f>IFERROR(IF(E95="","",CEILING(F95/((IFERROR(B88,0)+IFERROR(G88,0))/(IFERROR('Getting Started'!C12,0)+IFERROR('Getting Started'!C17,0))),1)),"")</f>
        <v/>
      </c>
      <c r="I95" s="40">
        <f>IFERROR(IF(E95="","",TEXT('Getting Started'!C10+(G95-1)*7,"MMM D")),"")</f>
        <v/>
      </c>
      <c r="J95" s="40">
        <f>IFERROR(IF(E95="","",TEXT('Getting Started'!C10+(H95)*7,"MMM D")),"")</f>
        <v/>
      </c>
    </row>
    <row r="96" ht="18" customHeight="1">
      <c r="A96" s="17" t="n">
        <v>6</v>
      </c>
      <c r="B96" s="41" t="n"/>
      <c r="E96" s="42" t="n"/>
      <c r="F96" s="40">
        <f>IFERROR(SUM(E91:E96),"")</f>
        <v/>
      </c>
      <c r="G96" s="40">
        <f>IFERROR(IF(E96="","",FLOOR(F95/((IFERROR(B88,0)+IFERROR(G88,0))/(IFERROR('Getting Started'!C12,0)+IFERROR('Getting Started'!C17,0))),1)+1),"")</f>
        <v/>
      </c>
      <c r="H96" s="40">
        <f>IFERROR(IF(E96="","",CEILING(F96/((IFERROR(B88,0)+IFERROR(G88,0))/(IFERROR('Getting Started'!C12,0)+IFERROR('Getting Started'!C17,0))),1)),"")</f>
        <v/>
      </c>
      <c r="I96" s="40">
        <f>IFERROR(IF(E96="","",TEXT('Getting Started'!C10+(G96-1)*7,"MMM D")),"")</f>
        <v/>
      </c>
      <c r="J96" s="40">
        <f>IFERROR(IF(E96="","",TEXT('Getting Started'!C10+(H96)*7,"MMM D")),"")</f>
        <v/>
      </c>
    </row>
    <row r="97" ht="20" customHeight="1">
      <c r="A97" s="54" t="inlineStr">
        <is>
          <t>Notes:</t>
        </is>
      </c>
      <c r="B97" s="5" t="n"/>
    </row>
    <row r="98" ht="6" customHeight="1"/>
    <row r="99" ht="24" customHeight="1">
      <c r="A99" s="55" t="inlineStr">
        <is>
          <t xml:space="preserve">  HEALTH</t>
        </is>
      </c>
    </row>
    <row r="100" ht="20" customHeight="1">
      <c r="A100" s="56" t="inlineStr">
        <is>
          <t>Curriculum / Title:</t>
        </is>
      </c>
      <c r="B100" s="5" t="n"/>
      <c r="F100" s="27" t="n"/>
      <c r="G100" s="56" t="inlineStr">
        <is>
          <t>Unit type:</t>
        </is>
      </c>
      <c r="H100" s="34" t="inlineStr">
        <is>
          <t>pages</t>
        </is>
      </c>
    </row>
    <row r="101" ht="22" customHeight="1">
      <c r="B101" s="35" t="n"/>
      <c r="C101" s="36">
        <f>IFERROR(IF(B101="","",ROUND(B101/'Getting Started'!C12,1)),"")</f>
        <v/>
      </c>
      <c r="D101" s="36">
        <f>IFERROR(IF(C101="","",ROUND(C101/'Getting Started'!C7,1)),"")</f>
        <v/>
      </c>
      <c r="E101" s="36">
        <f>IFERROR(IF(B101="","",TEXT('Getting Started'!C10+(B101/D101),"MMM D, YYYY")),"")</f>
        <v/>
      </c>
      <c r="F101" s="27" t="n"/>
      <c r="G101" s="35" t="n"/>
      <c r="H101" s="37">
        <f>IFERROR(IF(G101="","",ROUND(G101/'Getting Started'!C17,1)),"")</f>
        <v/>
      </c>
      <c r="I101" s="37">
        <f>IFERROR(IF(H101="","",ROUND(H101/'Getting Started'!C7,1)),"")</f>
        <v/>
      </c>
      <c r="J101" s="37">
        <f>IFERROR(IF(G101="","",TEXT('Getting Started'!C15+(G101/I101),"MMM D, YYYY")),"")</f>
        <v/>
      </c>
    </row>
    <row r="102" ht="16" customHeight="1">
      <c r="A102" s="38" t="inlineStr">
        <is>
          <t xml:space="preserve">  Optional: Component / Volume Breakdown  (fill in if the curriculum has multiple books or parts)</t>
        </is>
      </c>
    </row>
    <row r="103" ht="28" customHeight="1">
      <c r="A103" s="39" t="inlineStr">
        <is>
          <t>#</t>
        </is>
      </c>
      <c r="B103" s="39" t="inlineStr">
        <is>
          <t>Component / Book Title</t>
        </is>
      </c>
      <c r="E103" s="39" t="inlineStr">
        <is>
          <t>Units in
Component</t>
        </is>
      </c>
      <c r="F103" s="39" t="inlineStr">
        <is>
          <t>Cumul.
Units</t>
        </is>
      </c>
      <c r="G103" s="39" t="inlineStr">
        <is>
          <t>Start
Week</t>
        </is>
      </c>
      <c r="H103" s="39" t="inlineStr">
        <is>
          <t>End
Week</t>
        </is>
      </c>
      <c r="I103" s="39" t="inlineStr">
        <is>
          <t>Start
Date</t>
        </is>
      </c>
      <c r="J103" s="39" t="inlineStr">
        <is>
          <t>End
Date</t>
        </is>
      </c>
    </row>
    <row r="104" ht="18" customHeight="1">
      <c r="A104" s="14" t="n">
        <v>1</v>
      </c>
      <c r="B104" s="34" t="n"/>
      <c r="E104" s="35" t="n"/>
      <c r="F104" s="40">
        <f>IFERROR(SUM(E104:E104),"")</f>
        <v/>
      </c>
      <c r="G104" s="40">
        <f>IF(E104="","",1)</f>
        <v/>
      </c>
      <c r="H104" s="40">
        <f>IFERROR(IF(E104="","",CEILING(F104/((IFERROR(B101,0)+IFERROR(G101,0))/(IFERROR('Getting Started'!C12,0)+IFERROR('Getting Started'!C17,0))),1)),"")</f>
        <v/>
      </c>
      <c r="I104" s="40">
        <f>IFERROR(IF(E104="","",TEXT('Getting Started'!C10+(G104-1)*7,"MMM D")),"")</f>
        <v/>
      </c>
      <c r="J104" s="40">
        <f>IFERROR(IF(E104="","",TEXT('Getting Started'!C10+(H104)*7,"MMM D")),"")</f>
        <v/>
      </c>
    </row>
    <row r="105" ht="18" customHeight="1">
      <c r="A105" s="17" t="n">
        <v>2</v>
      </c>
      <c r="B105" s="41" t="n"/>
      <c r="E105" s="42" t="n"/>
      <c r="F105" s="40">
        <f>IFERROR(SUM(E104:E105),"")</f>
        <v/>
      </c>
      <c r="G105" s="40">
        <f>IFERROR(IF(E105="","",FLOOR(F104/((IFERROR(B101,0)+IFERROR(G101,0))/(IFERROR('Getting Started'!C12,0)+IFERROR('Getting Started'!C17,0))),1)+1),"")</f>
        <v/>
      </c>
      <c r="H105" s="40">
        <f>IFERROR(IF(E105="","",CEILING(F105/((IFERROR(B101,0)+IFERROR(G101,0))/(IFERROR('Getting Started'!C12,0)+IFERROR('Getting Started'!C17,0))),1)),"")</f>
        <v/>
      </c>
      <c r="I105" s="40">
        <f>IFERROR(IF(E105="","",TEXT('Getting Started'!C10+(G105-1)*7,"MMM D")),"")</f>
        <v/>
      </c>
      <c r="J105" s="40">
        <f>IFERROR(IF(E105="","",TEXT('Getting Started'!C10+(H105)*7,"MMM D")),"")</f>
        <v/>
      </c>
    </row>
    <row r="106" ht="18" customHeight="1">
      <c r="A106" s="14" t="n">
        <v>3</v>
      </c>
      <c r="B106" s="34" t="n"/>
      <c r="E106" s="35" t="n"/>
      <c r="F106" s="40">
        <f>IFERROR(SUM(E104:E106),"")</f>
        <v/>
      </c>
      <c r="G106" s="40">
        <f>IFERROR(IF(E106="","",FLOOR(F105/((IFERROR(B101,0)+IFERROR(G101,0))/(IFERROR('Getting Started'!C12,0)+IFERROR('Getting Started'!C17,0))),1)+1),"")</f>
        <v/>
      </c>
      <c r="H106" s="40">
        <f>IFERROR(IF(E106="","",CEILING(F106/((IFERROR(B101,0)+IFERROR(G101,0))/(IFERROR('Getting Started'!C12,0)+IFERROR('Getting Started'!C17,0))),1)),"")</f>
        <v/>
      </c>
      <c r="I106" s="40">
        <f>IFERROR(IF(E106="","",TEXT('Getting Started'!C10+(G106-1)*7,"MMM D")),"")</f>
        <v/>
      </c>
      <c r="J106" s="40">
        <f>IFERROR(IF(E106="","",TEXT('Getting Started'!C10+(H106)*7,"MMM D")),"")</f>
        <v/>
      </c>
    </row>
    <row r="107" ht="18" customHeight="1">
      <c r="A107" s="17" t="n">
        <v>4</v>
      </c>
      <c r="B107" s="41" t="n"/>
      <c r="E107" s="42" t="n"/>
      <c r="F107" s="40">
        <f>IFERROR(SUM(E104:E107),"")</f>
        <v/>
      </c>
      <c r="G107" s="40">
        <f>IFERROR(IF(E107="","",FLOOR(F106/((IFERROR(B101,0)+IFERROR(G101,0))/(IFERROR('Getting Started'!C12,0)+IFERROR('Getting Started'!C17,0))),1)+1),"")</f>
        <v/>
      </c>
      <c r="H107" s="40">
        <f>IFERROR(IF(E107="","",CEILING(F107/((IFERROR(B101,0)+IFERROR(G101,0))/(IFERROR('Getting Started'!C12,0)+IFERROR('Getting Started'!C17,0))),1)),"")</f>
        <v/>
      </c>
      <c r="I107" s="40">
        <f>IFERROR(IF(E107="","",TEXT('Getting Started'!C10+(G107-1)*7,"MMM D")),"")</f>
        <v/>
      </c>
      <c r="J107" s="40">
        <f>IFERROR(IF(E107="","",TEXT('Getting Started'!C10+(H107)*7,"MMM D")),"")</f>
        <v/>
      </c>
    </row>
    <row r="108" ht="18" customHeight="1">
      <c r="A108" s="14" t="n">
        <v>5</v>
      </c>
      <c r="B108" s="34" t="n"/>
      <c r="E108" s="35" t="n"/>
      <c r="F108" s="40">
        <f>IFERROR(SUM(E104:E108),"")</f>
        <v/>
      </c>
      <c r="G108" s="40">
        <f>IFERROR(IF(E108="","",FLOOR(F107/((IFERROR(B101,0)+IFERROR(G101,0))/(IFERROR('Getting Started'!C12,0)+IFERROR('Getting Started'!C17,0))),1)+1),"")</f>
        <v/>
      </c>
      <c r="H108" s="40">
        <f>IFERROR(IF(E108="","",CEILING(F108/((IFERROR(B101,0)+IFERROR(G101,0))/(IFERROR('Getting Started'!C12,0)+IFERROR('Getting Started'!C17,0))),1)),"")</f>
        <v/>
      </c>
      <c r="I108" s="40">
        <f>IFERROR(IF(E108="","",TEXT('Getting Started'!C10+(G108-1)*7,"MMM D")),"")</f>
        <v/>
      </c>
      <c r="J108" s="40">
        <f>IFERROR(IF(E108="","",TEXT('Getting Started'!C10+(H108)*7,"MMM D")),"")</f>
        <v/>
      </c>
    </row>
    <row r="109" ht="18" customHeight="1">
      <c r="A109" s="17" t="n">
        <v>6</v>
      </c>
      <c r="B109" s="41" t="n"/>
      <c r="E109" s="42" t="n"/>
      <c r="F109" s="40">
        <f>IFERROR(SUM(E104:E109),"")</f>
        <v/>
      </c>
      <c r="G109" s="40">
        <f>IFERROR(IF(E109="","",FLOOR(F108/((IFERROR(B101,0)+IFERROR(G101,0))/(IFERROR('Getting Started'!C12,0)+IFERROR('Getting Started'!C17,0))),1)+1),"")</f>
        <v/>
      </c>
      <c r="H109" s="40">
        <f>IFERROR(IF(E109="","",CEILING(F109/((IFERROR(B101,0)+IFERROR(G101,0))/(IFERROR('Getting Started'!C12,0)+IFERROR('Getting Started'!C17,0))),1)),"")</f>
        <v/>
      </c>
      <c r="I109" s="40">
        <f>IFERROR(IF(E109="","",TEXT('Getting Started'!C10+(G109-1)*7,"MMM D")),"")</f>
        <v/>
      </c>
      <c r="J109" s="40">
        <f>IFERROR(IF(E109="","",TEXT('Getting Started'!C10+(H109)*7,"MMM D")),"")</f>
        <v/>
      </c>
    </row>
    <row r="110" ht="20" customHeight="1">
      <c r="A110" s="56" t="inlineStr">
        <is>
          <t>Notes:</t>
        </is>
      </c>
      <c r="B110" s="5" t="n"/>
    </row>
    <row r="111" ht="6" customHeight="1"/>
    <row r="112" ht="24" customHeight="1">
      <c r="A112" s="57" t="inlineStr">
        <is>
          <t xml:space="preserve">  PHYSICAL EDUCATION</t>
        </is>
      </c>
    </row>
    <row r="113" ht="20" customHeight="1">
      <c r="A113" s="58" t="inlineStr">
        <is>
          <t>Curriculum / Title:</t>
        </is>
      </c>
      <c r="B113" s="5" t="n"/>
      <c r="F113" s="27" t="n"/>
      <c r="G113" s="58" t="inlineStr">
        <is>
          <t>Unit type:</t>
        </is>
      </c>
      <c r="H113" s="34" t="inlineStr">
        <is>
          <t>pages</t>
        </is>
      </c>
    </row>
    <row r="114" ht="22" customHeight="1">
      <c r="B114" s="35" t="n"/>
      <c r="C114" s="36">
        <f>IFERROR(IF(B114="","",ROUND(B114/'Getting Started'!C12,1)),"")</f>
        <v/>
      </c>
      <c r="D114" s="36">
        <f>IFERROR(IF(C114="","",ROUND(C114/'Getting Started'!C7,1)),"")</f>
        <v/>
      </c>
      <c r="E114" s="36">
        <f>IFERROR(IF(B114="","",TEXT('Getting Started'!C10+(B114/D114),"MMM D, YYYY")),"")</f>
        <v/>
      </c>
      <c r="F114" s="27" t="n"/>
      <c r="G114" s="35" t="n"/>
      <c r="H114" s="37">
        <f>IFERROR(IF(G114="","",ROUND(G114/'Getting Started'!C17,1)),"")</f>
        <v/>
      </c>
      <c r="I114" s="37">
        <f>IFERROR(IF(H114="","",ROUND(H114/'Getting Started'!C7,1)),"")</f>
        <v/>
      </c>
      <c r="J114" s="37">
        <f>IFERROR(IF(G114="","",TEXT('Getting Started'!C15+(G114/I114),"MMM D, YYYY")),"")</f>
        <v/>
      </c>
    </row>
    <row r="115" ht="16" customHeight="1">
      <c r="A115" s="38" t="inlineStr">
        <is>
          <t xml:space="preserve">  Optional: Component / Volume Breakdown  (fill in if the curriculum has multiple books or parts)</t>
        </is>
      </c>
    </row>
    <row r="116" ht="28" customHeight="1">
      <c r="A116" s="39" t="inlineStr">
        <is>
          <t>#</t>
        </is>
      </c>
      <c r="B116" s="39" t="inlineStr">
        <is>
          <t>Component / Book Title</t>
        </is>
      </c>
      <c r="E116" s="39" t="inlineStr">
        <is>
          <t>Units in
Component</t>
        </is>
      </c>
      <c r="F116" s="39" t="inlineStr">
        <is>
          <t>Cumul.
Units</t>
        </is>
      </c>
      <c r="G116" s="39" t="inlineStr">
        <is>
          <t>Start
Week</t>
        </is>
      </c>
      <c r="H116" s="39" t="inlineStr">
        <is>
          <t>End
Week</t>
        </is>
      </c>
      <c r="I116" s="39" t="inlineStr">
        <is>
          <t>Start
Date</t>
        </is>
      </c>
      <c r="J116" s="39" t="inlineStr">
        <is>
          <t>End
Date</t>
        </is>
      </c>
    </row>
    <row r="117" ht="18" customHeight="1">
      <c r="A117" s="14" t="n">
        <v>1</v>
      </c>
      <c r="B117" s="34" t="n"/>
      <c r="E117" s="35" t="n"/>
      <c r="F117" s="40">
        <f>IFERROR(SUM(E117:E117),"")</f>
        <v/>
      </c>
      <c r="G117" s="40">
        <f>IF(E117="","",1)</f>
        <v/>
      </c>
      <c r="H117" s="40">
        <f>IFERROR(IF(E117="","",CEILING(F117/((IFERROR(B114,0)+IFERROR(G114,0))/(IFERROR('Getting Started'!C12,0)+IFERROR('Getting Started'!C17,0))),1)),"")</f>
        <v/>
      </c>
      <c r="I117" s="40">
        <f>IFERROR(IF(E117="","",TEXT('Getting Started'!C10+(G117-1)*7,"MMM D")),"")</f>
        <v/>
      </c>
      <c r="J117" s="40">
        <f>IFERROR(IF(E117="","",TEXT('Getting Started'!C10+(H117)*7,"MMM D")),"")</f>
        <v/>
      </c>
    </row>
    <row r="118" ht="18" customHeight="1">
      <c r="A118" s="17" t="n">
        <v>2</v>
      </c>
      <c r="B118" s="41" t="n"/>
      <c r="E118" s="42" t="n"/>
      <c r="F118" s="40">
        <f>IFERROR(SUM(E117:E118),"")</f>
        <v/>
      </c>
      <c r="G118" s="40">
        <f>IFERROR(IF(E118="","",FLOOR(F117/((IFERROR(B114,0)+IFERROR(G114,0))/(IFERROR('Getting Started'!C12,0)+IFERROR('Getting Started'!C17,0))),1)+1),"")</f>
        <v/>
      </c>
      <c r="H118" s="40">
        <f>IFERROR(IF(E118="","",CEILING(F118/((IFERROR(B114,0)+IFERROR(G114,0))/(IFERROR('Getting Started'!C12,0)+IFERROR('Getting Started'!C17,0))),1)),"")</f>
        <v/>
      </c>
      <c r="I118" s="40">
        <f>IFERROR(IF(E118="","",TEXT('Getting Started'!C10+(G118-1)*7,"MMM D")),"")</f>
        <v/>
      </c>
      <c r="J118" s="40">
        <f>IFERROR(IF(E118="","",TEXT('Getting Started'!C10+(H118)*7,"MMM D")),"")</f>
        <v/>
      </c>
    </row>
    <row r="119" ht="18" customHeight="1">
      <c r="A119" s="14" t="n">
        <v>3</v>
      </c>
      <c r="B119" s="34" t="n"/>
      <c r="E119" s="35" t="n"/>
      <c r="F119" s="40">
        <f>IFERROR(SUM(E117:E119),"")</f>
        <v/>
      </c>
      <c r="G119" s="40">
        <f>IFERROR(IF(E119="","",FLOOR(F118/((IFERROR(B114,0)+IFERROR(G114,0))/(IFERROR('Getting Started'!C12,0)+IFERROR('Getting Started'!C17,0))),1)+1),"")</f>
        <v/>
      </c>
      <c r="H119" s="40">
        <f>IFERROR(IF(E119="","",CEILING(F119/((IFERROR(B114,0)+IFERROR(G114,0))/(IFERROR('Getting Started'!C12,0)+IFERROR('Getting Started'!C17,0))),1)),"")</f>
        <v/>
      </c>
      <c r="I119" s="40">
        <f>IFERROR(IF(E119="","",TEXT('Getting Started'!C10+(G119-1)*7,"MMM D")),"")</f>
        <v/>
      </c>
      <c r="J119" s="40">
        <f>IFERROR(IF(E119="","",TEXT('Getting Started'!C10+(H119)*7,"MMM D")),"")</f>
        <v/>
      </c>
    </row>
    <row r="120" ht="18" customHeight="1">
      <c r="A120" s="17" t="n">
        <v>4</v>
      </c>
      <c r="B120" s="41" t="n"/>
      <c r="E120" s="42" t="n"/>
      <c r="F120" s="40">
        <f>IFERROR(SUM(E117:E120),"")</f>
        <v/>
      </c>
      <c r="G120" s="40">
        <f>IFERROR(IF(E120="","",FLOOR(F119/((IFERROR(B114,0)+IFERROR(G114,0))/(IFERROR('Getting Started'!C12,0)+IFERROR('Getting Started'!C17,0))),1)+1),"")</f>
        <v/>
      </c>
      <c r="H120" s="40">
        <f>IFERROR(IF(E120="","",CEILING(F120/((IFERROR(B114,0)+IFERROR(G114,0))/(IFERROR('Getting Started'!C12,0)+IFERROR('Getting Started'!C17,0))),1)),"")</f>
        <v/>
      </c>
      <c r="I120" s="40">
        <f>IFERROR(IF(E120="","",TEXT('Getting Started'!C10+(G120-1)*7,"MMM D")),"")</f>
        <v/>
      </c>
      <c r="J120" s="40">
        <f>IFERROR(IF(E120="","",TEXT('Getting Started'!C10+(H120)*7,"MMM D")),"")</f>
        <v/>
      </c>
    </row>
    <row r="121" ht="18" customHeight="1">
      <c r="A121" s="14" t="n">
        <v>5</v>
      </c>
      <c r="B121" s="34" t="n"/>
      <c r="E121" s="35" t="n"/>
      <c r="F121" s="40">
        <f>IFERROR(SUM(E117:E121),"")</f>
        <v/>
      </c>
      <c r="G121" s="40">
        <f>IFERROR(IF(E121="","",FLOOR(F120/((IFERROR(B114,0)+IFERROR(G114,0))/(IFERROR('Getting Started'!C12,0)+IFERROR('Getting Started'!C17,0))),1)+1),"")</f>
        <v/>
      </c>
      <c r="H121" s="40">
        <f>IFERROR(IF(E121="","",CEILING(F121/((IFERROR(B114,0)+IFERROR(G114,0))/(IFERROR('Getting Started'!C12,0)+IFERROR('Getting Started'!C17,0))),1)),"")</f>
        <v/>
      </c>
      <c r="I121" s="40">
        <f>IFERROR(IF(E121="","",TEXT('Getting Started'!C10+(G121-1)*7,"MMM D")),"")</f>
        <v/>
      </c>
      <c r="J121" s="40">
        <f>IFERROR(IF(E121="","",TEXT('Getting Started'!C10+(H121)*7,"MMM D")),"")</f>
        <v/>
      </c>
    </row>
    <row r="122" ht="18" customHeight="1">
      <c r="A122" s="17" t="n">
        <v>6</v>
      </c>
      <c r="B122" s="41" t="n"/>
      <c r="E122" s="42" t="n"/>
      <c r="F122" s="40">
        <f>IFERROR(SUM(E117:E122),"")</f>
        <v/>
      </c>
      <c r="G122" s="40">
        <f>IFERROR(IF(E122="","",FLOOR(F121/((IFERROR(B114,0)+IFERROR(G114,0))/(IFERROR('Getting Started'!C12,0)+IFERROR('Getting Started'!C17,0))),1)+1),"")</f>
        <v/>
      </c>
      <c r="H122" s="40">
        <f>IFERROR(IF(E122="","",CEILING(F122/((IFERROR(B114,0)+IFERROR(G114,0))/(IFERROR('Getting Started'!C12,0)+IFERROR('Getting Started'!C17,0))),1)),"")</f>
        <v/>
      </c>
      <c r="I122" s="40">
        <f>IFERROR(IF(E122="","",TEXT('Getting Started'!C10+(G122-1)*7,"MMM D")),"")</f>
        <v/>
      </c>
      <c r="J122" s="40">
        <f>IFERROR(IF(E122="","",TEXT('Getting Started'!C10+(H122)*7,"MMM D")),"")</f>
        <v/>
      </c>
    </row>
    <row r="123" ht="20" customHeight="1">
      <c r="A123" s="58" t="inlineStr">
        <is>
          <t>Notes:</t>
        </is>
      </c>
      <c r="B123" s="5" t="n"/>
    </row>
    <row r="124" ht="6" customHeight="1"/>
    <row r="125" ht="24" customHeight="1">
      <c r="A125" s="59" t="inlineStr">
        <is>
          <t xml:space="preserve">  ART / MUSIC</t>
        </is>
      </c>
    </row>
    <row r="126" ht="20" customHeight="1">
      <c r="A126" s="60" t="inlineStr">
        <is>
          <t>Curriculum / Title:</t>
        </is>
      </c>
      <c r="B126" s="5" t="n"/>
      <c r="F126" s="27" t="n"/>
      <c r="G126" s="60" t="inlineStr">
        <is>
          <t>Unit type:</t>
        </is>
      </c>
      <c r="H126" s="34" t="inlineStr">
        <is>
          <t>pages</t>
        </is>
      </c>
    </row>
    <row r="127" ht="22" customHeight="1">
      <c r="B127" s="35" t="n"/>
      <c r="C127" s="36">
        <f>IFERROR(IF(B127="","",ROUND(B127/'Getting Started'!C12,1)),"")</f>
        <v/>
      </c>
      <c r="D127" s="36">
        <f>IFERROR(IF(C127="","",ROUND(C127/'Getting Started'!C7,1)),"")</f>
        <v/>
      </c>
      <c r="E127" s="36">
        <f>IFERROR(IF(B127="","",TEXT('Getting Started'!C10+(B127/D127),"MMM D, YYYY")),"")</f>
        <v/>
      </c>
      <c r="F127" s="27" t="n"/>
      <c r="G127" s="35" t="n"/>
      <c r="H127" s="37">
        <f>IFERROR(IF(G127="","",ROUND(G127/'Getting Started'!C17,1)),"")</f>
        <v/>
      </c>
      <c r="I127" s="37">
        <f>IFERROR(IF(H127="","",ROUND(H127/'Getting Started'!C7,1)),"")</f>
        <v/>
      </c>
      <c r="J127" s="37">
        <f>IFERROR(IF(G127="","",TEXT('Getting Started'!C15+(G127/I127),"MMM D, YYYY")),"")</f>
        <v/>
      </c>
    </row>
    <row r="128" ht="16" customHeight="1">
      <c r="A128" s="38" t="inlineStr">
        <is>
          <t xml:space="preserve">  Optional: Component / Volume Breakdown  (fill in if the curriculum has multiple books or parts)</t>
        </is>
      </c>
    </row>
    <row r="129" ht="28" customHeight="1">
      <c r="A129" s="39" t="inlineStr">
        <is>
          <t>#</t>
        </is>
      </c>
      <c r="B129" s="39" t="inlineStr">
        <is>
          <t>Component / Book Title</t>
        </is>
      </c>
      <c r="E129" s="39" t="inlineStr">
        <is>
          <t>Units in
Component</t>
        </is>
      </c>
      <c r="F129" s="39" t="inlineStr">
        <is>
          <t>Cumul.
Units</t>
        </is>
      </c>
      <c r="G129" s="39" t="inlineStr">
        <is>
          <t>Start
Week</t>
        </is>
      </c>
      <c r="H129" s="39" t="inlineStr">
        <is>
          <t>End
Week</t>
        </is>
      </c>
      <c r="I129" s="39" t="inlineStr">
        <is>
          <t>Start
Date</t>
        </is>
      </c>
      <c r="J129" s="39" t="inlineStr">
        <is>
          <t>End
Date</t>
        </is>
      </c>
    </row>
    <row r="130" ht="18" customHeight="1">
      <c r="A130" s="14" t="n">
        <v>1</v>
      </c>
      <c r="B130" s="34" t="n"/>
      <c r="E130" s="35" t="n"/>
      <c r="F130" s="40">
        <f>IFERROR(SUM(E130:E130),"")</f>
        <v/>
      </c>
      <c r="G130" s="40">
        <f>IF(E130="","",1)</f>
        <v/>
      </c>
      <c r="H130" s="40">
        <f>IFERROR(IF(E130="","",CEILING(F130/((IFERROR(B127,0)+IFERROR(G127,0))/(IFERROR('Getting Started'!C12,0)+IFERROR('Getting Started'!C17,0))),1)),"")</f>
        <v/>
      </c>
      <c r="I130" s="40">
        <f>IFERROR(IF(E130="","",TEXT('Getting Started'!C10+(G130-1)*7,"MMM D")),"")</f>
        <v/>
      </c>
      <c r="J130" s="40">
        <f>IFERROR(IF(E130="","",TEXT('Getting Started'!C10+(H130)*7,"MMM D")),"")</f>
        <v/>
      </c>
    </row>
    <row r="131" ht="18" customHeight="1">
      <c r="A131" s="17" t="n">
        <v>2</v>
      </c>
      <c r="B131" s="41" t="n"/>
      <c r="E131" s="42" t="n"/>
      <c r="F131" s="40">
        <f>IFERROR(SUM(E130:E131),"")</f>
        <v/>
      </c>
      <c r="G131" s="40">
        <f>IFERROR(IF(E131="","",FLOOR(F130/((IFERROR(B127,0)+IFERROR(G127,0))/(IFERROR('Getting Started'!C12,0)+IFERROR('Getting Started'!C17,0))),1)+1),"")</f>
        <v/>
      </c>
      <c r="H131" s="40">
        <f>IFERROR(IF(E131="","",CEILING(F131/((IFERROR(B127,0)+IFERROR(G127,0))/(IFERROR('Getting Started'!C12,0)+IFERROR('Getting Started'!C17,0))),1)),"")</f>
        <v/>
      </c>
      <c r="I131" s="40">
        <f>IFERROR(IF(E131="","",TEXT('Getting Started'!C10+(G131-1)*7,"MMM D")),"")</f>
        <v/>
      </c>
      <c r="J131" s="40">
        <f>IFERROR(IF(E131="","",TEXT('Getting Started'!C10+(H131)*7,"MMM D")),"")</f>
        <v/>
      </c>
    </row>
    <row r="132" ht="18" customHeight="1">
      <c r="A132" s="14" t="n">
        <v>3</v>
      </c>
      <c r="B132" s="34" t="n"/>
      <c r="E132" s="35" t="n"/>
      <c r="F132" s="40">
        <f>IFERROR(SUM(E130:E132),"")</f>
        <v/>
      </c>
      <c r="G132" s="40">
        <f>IFERROR(IF(E132="","",FLOOR(F131/((IFERROR(B127,0)+IFERROR(G127,0))/(IFERROR('Getting Started'!C12,0)+IFERROR('Getting Started'!C17,0))),1)+1),"")</f>
        <v/>
      </c>
      <c r="H132" s="40">
        <f>IFERROR(IF(E132="","",CEILING(F132/((IFERROR(B127,0)+IFERROR(G127,0))/(IFERROR('Getting Started'!C12,0)+IFERROR('Getting Started'!C17,0))),1)),"")</f>
        <v/>
      </c>
      <c r="I132" s="40">
        <f>IFERROR(IF(E132="","",TEXT('Getting Started'!C10+(G132-1)*7,"MMM D")),"")</f>
        <v/>
      </c>
      <c r="J132" s="40">
        <f>IFERROR(IF(E132="","",TEXT('Getting Started'!C10+(H132)*7,"MMM D")),"")</f>
        <v/>
      </c>
    </row>
    <row r="133" ht="18" customHeight="1">
      <c r="A133" s="17" t="n">
        <v>4</v>
      </c>
      <c r="B133" s="41" t="n"/>
      <c r="E133" s="42" t="n"/>
      <c r="F133" s="40">
        <f>IFERROR(SUM(E130:E133),"")</f>
        <v/>
      </c>
      <c r="G133" s="40">
        <f>IFERROR(IF(E133="","",FLOOR(F132/((IFERROR(B127,0)+IFERROR(G127,0))/(IFERROR('Getting Started'!C12,0)+IFERROR('Getting Started'!C17,0))),1)+1),"")</f>
        <v/>
      </c>
      <c r="H133" s="40">
        <f>IFERROR(IF(E133="","",CEILING(F133/((IFERROR(B127,0)+IFERROR(G127,0))/(IFERROR('Getting Started'!C12,0)+IFERROR('Getting Started'!C17,0))),1)),"")</f>
        <v/>
      </c>
      <c r="I133" s="40">
        <f>IFERROR(IF(E133="","",TEXT('Getting Started'!C10+(G133-1)*7,"MMM D")),"")</f>
        <v/>
      </c>
      <c r="J133" s="40">
        <f>IFERROR(IF(E133="","",TEXT('Getting Started'!C10+(H133)*7,"MMM D")),"")</f>
        <v/>
      </c>
    </row>
    <row r="134" ht="18" customHeight="1">
      <c r="A134" s="14" t="n">
        <v>5</v>
      </c>
      <c r="B134" s="34" t="n"/>
      <c r="E134" s="35" t="n"/>
      <c r="F134" s="40">
        <f>IFERROR(SUM(E130:E134),"")</f>
        <v/>
      </c>
      <c r="G134" s="40">
        <f>IFERROR(IF(E134="","",FLOOR(F133/((IFERROR(B127,0)+IFERROR(G127,0))/(IFERROR('Getting Started'!C12,0)+IFERROR('Getting Started'!C17,0))),1)+1),"")</f>
        <v/>
      </c>
      <c r="H134" s="40">
        <f>IFERROR(IF(E134="","",CEILING(F134/((IFERROR(B127,0)+IFERROR(G127,0))/(IFERROR('Getting Started'!C12,0)+IFERROR('Getting Started'!C17,0))),1)),"")</f>
        <v/>
      </c>
      <c r="I134" s="40">
        <f>IFERROR(IF(E134="","",TEXT('Getting Started'!C10+(G134-1)*7,"MMM D")),"")</f>
        <v/>
      </c>
      <c r="J134" s="40">
        <f>IFERROR(IF(E134="","",TEXT('Getting Started'!C10+(H134)*7,"MMM D")),"")</f>
        <v/>
      </c>
    </row>
    <row r="135" ht="18" customHeight="1">
      <c r="A135" s="17" t="n">
        <v>6</v>
      </c>
      <c r="B135" s="41" t="n"/>
      <c r="E135" s="42" t="n"/>
      <c r="F135" s="40">
        <f>IFERROR(SUM(E130:E135),"")</f>
        <v/>
      </c>
      <c r="G135" s="40">
        <f>IFERROR(IF(E135="","",FLOOR(F134/((IFERROR(B127,0)+IFERROR(G127,0))/(IFERROR('Getting Started'!C12,0)+IFERROR('Getting Started'!C17,0))),1)+1),"")</f>
        <v/>
      </c>
      <c r="H135" s="40">
        <f>IFERROR(IF(E135="","",CEILING(F135/((IFERROR(B127,0)+IFERROR(G127,0))/(IFERROR('Getting Started'!C12,0)+IFERROR('Getting Started'!C17,0))),1)),"")</f>
        <v/>
      </c>
      <c r="I135" s="40">
        <f>IFERROR(IF(E135="","",TEXT('Getting Started'!C10+(G135-1)*7,"MMM D")),"")</f>
        <v/>
      </c>
      <c r="J135" s="40">
        <f>IFERROR(IF(E135="","",TEXT('Getting Started'!C10+(H135)*7,"MMM D")),"")</f>
        <v/>
      </c>
    </row>
    <row r="136" ht="20" customHeight="1">
      <c r="A136" s="60" t="inlineStr">
        <is>
          <t>Notes:</t>
        </is>
      </c>
      <c r="B136" s="5" t="n"/>
    </row>
    <row r="137" ht="6" customHeight="1"/>
    <row r="138" ht="24" customHeight="1">
      <c r="A138" s="61" t="inlineStr">
        <is>
          <t>ELECTIVE / OTHER</t>
        </is>
      </c>
      <c r="C138" s="62" t="inlineStr">
        <is>
          <t>Elective / Other 1</t>
        </is>
      </c>
    </row>
    <row r="139" ht="20" customHeight="1">
      <c r="A139" s="63" t="inlineStr">
        <is>
          <t>Curriculum / Title:</t>
        </is>
      </c>
      <c r="B139" s="5" t="n"/>
      <c r="F139" s="27" t="n"/>
      <c r="G139" s="63" t="inlineStr">
        <is>
          <t>Unit type:</t>
        </is>
      </c>
      <c r="H139" s="34" t="inlineStr">
        <is>
          <t>pages</t>
        </is>
      </c>
    </row>
    <row r="140" ht="22" customHeight="1">
      <c r="B140" s="35" t="n"/>
      <c r="C140" s="36">
        <f>IFERROR(IF(B140="","",ROUND(B140/'Getting Started'!C12,1)),"")</f>
        <v/>
      </c>
      <c r="D140" s="36">
        <f>IFERROR(IF(C140="","",ROUND(C140/'Getting Started'!C7,1)),"")</f>
        <v/>
      </c>
      <c r="E140" s="36">
        <f>IFERROR(IF(B140="","",TEXT('Getting Started'!C10+(B140/D140),"MMM D, YYYY")),"")</f>
        <v/>
      </c>
      <c r="F140" s="27" t="n"/>
      <c r="G140" s="35" t="n"/>
      <c r="H140" s="37">
        <f>IFERROR(IF(G140="","",ROUND(G140/'Getting Started'!C17,1)),"")</f>
        <v/>
      </c>
      <c r="I140" s="37">
        <f>IFERROR(IF(H140="","",ROUND(H140/'Getting Started'!C7,1)),"")</f>
        <v/>
      </c>
      <c r="J140" s="37">
        <f>IFERROR(IF(G140="","",TEXT('Getting Started'!C15+(G140/I140),"MMM D, YYYY")),"")</f>
        <v/>
      </c>
    </row>
    <row r="141" ht="16" customHeight="1">
      <c r="A141" s="38" t="inlineStr">
        <is>
          <t xml:space="preserve">  Optional: Component / Volume Breakdown  (fill in if the curriculum has multiple books or parts)</t>
        </is>
      </c>
    </row>
    <row r="142" ht="28" customHeight="1">
      <c r="A142" s="39" t="inlineStr">
        <is>
          <t>#</t>
        </is>
      </c>
      <c r="B142" s="39" t="inlineStr">
        <is>
          <t>Component / Book Title</t>
        </is>
      </c>
      <c r="E142" s="39" t="inlineStr">
        <is>
          <t>Units in
Component</t>
        </is>
      </c>
      <c r="F142" s="39" t="inlineStr">
        <is>
          <t>Cumul.
Units</t>
        </is>
      </c>
      <c r="G142" s="39" t="inlineStr">
        <is>
          <t>Start
Week</t>
        </is>
      </c>
      <c r="H142" s="39" t="inlineStr">
        <is>
          <t>End
Week</t>
        </is>
      </c>
      <c r="I142" s="39" t="inlineStr">
        <is>
          <t>Start
Date</t>
        </is>
      </c>
      <c r="J142" s="39" t="inlineStr">
        <is>
          <t>End
Date</t>
        </is>
      </c>
    </row>
    <row r="143" ht="18" customHeight="1">
      <c r="A143" s="14" t="n">
        <v>1</v>
      </c>
      <c r="B143" s="34" t="n"/>
      <c r="E143" s="35" t="n"/>
      <c r="F143" s="40">
        <f>IFERROR(SUM(E143:E143),"")</f>
        <v/>
      </c>
      <c r="G143" s="40">
        <f>IF(E143="","",1)</f>
        <v/>
      </c>
      <c r="H143" s="40">
        <f>IFERROR(IF(E143="","",CEILING(F143/((IFERROR(B140,0)+IFERROR(G140,0))/(IFERROR('Getting Started'!C12,0)+IFERROR('Getting Started'!C17,0))),1)),"")</f>
        <v/>
      </c>
      <c r="I143" s="40">
        <f>IFERROR(IF(E143="","",TEXT('Getting Started'!C10+(G143-1)*7,"MMM D")),"")</f>
        <v/>
      </c>
      <c r="J143" s="40">
        <f>IFERROR(IF(E143="","",TEXT('Getting Started'!C10+(H143)*7,"MMM D")),"")</f>
        <v/>
      </c>
    </row>
    <row r="144" ht="18" customHeight="1">
      <c r="A144" s="17" t="n">
        <v>2</v>
      </c>
      <c r="B144" s="41" t="n"/>
      <c r="E144" s="42" t="n"/>
      <c r="F144" s="40">
        <f>IFERROR(SUM(E143:E144),"")</f>
        <v/>
      </c>
      <c r="G144" s="40">
        <f>IFERROR(IF(E144="","",FLOOR(F143/((IFERROR(B140,0)+IFERROR(G140,0))/(IFERROR('Getting Started'!C12,0)+IFERROR('Getting Started'!C17,0))),1)+1),"")</f>
        <v/>
      </c>
      <c r="H144" s="40">
        <f>IFERROR(IF(E144="","",CEILING(F144/((IFERROR(B140,0)+IFERROR(G140,0))/(IFERROR('Getting Started'!C12,0)+IFERROR('Getting Started'!C17,0))),1)),"")</f>
        <v/>
      </c>
      <c r="I144" s="40">
        <f>IFERROR(IF(E144="","",TEXT('Getting Started'!C10+(G144-1)*7,"MMM D")),"")</f>
        <v/>
      </c>
      <c r="J144" s="40">
        <f>IFERROR(IF(E144="","",TEXT('Getting Started'!C10+(H144)*7,"MMM D")),"")</f>
        <v/>
      </c>
    </row>
    <row r="145" ht="18" customHeight="1">
      <c r="A145" s="14" t="n">
        <v>3</v>
      </c>
      <c r="B145" s="34" t="n"/>
      <c r="E145" s="35" t="n"/>
      <c r="F145" s="40">
        <f>IFERROR(SUM(E143:E145),"")</f>
        <v/>
      </c>
      <c r="G145" s="40">
        <f>IFERROR(IF(E145="","",FLOOR(F144/((IFERROR(B140,0)+IFERROR(G140,0))/(IFERROR('Getting Started'!C12,0)+IFERROR('Getting Started'!C17,0))),1)+1),"")</f>
        <v/>
      </c>
      <c r="H145" s="40">
        <f>IFERROR(IF(E145="","",CEILING(F145/((IFERROR(B140,0)+IFERROR(G140,0))/(IFERROR('Getting Started'!C12,0)+IFERROR('Getting Started'!C17,0))),1)),"")</f>
        <v/>
      </c>
      <c r="I145" s="40">
        <f>IFERROR(IF(E145="","",TEXT('Getting Started'!C10+(G145-1)*7,"MMM D")),"")</f>
        <v/>
      </c>
      <c r="J145" s="40">
        <f>IFERROR(IF(E145="","",TEXT('Getting Started'!C10+(H145)*7,"MMM D")),"")</f>
        <v/>
      </c>
    </row>
    <row r="146" ht="18" customHeight="1">
      <c r="A146" s="17" t="n">
        <v>4</v>
      </c>
      <c r="B146" s="41" t="n"/>
      <c r="E146" s="42" t="n"/>
      <c r="F146" s="40">
        <f>IFERROR(SUM(E143:E146),"")</f>
        <v/>
      </c>
      <c r="G146" s="40">
        <f>IFERROR(IF(E146="","",FLOOR(F145/((IFERROR(B140,0)+IFERROR(G140,0))/(IFERROR('Getting Started'!C12,0)+IFERROR('Getting Started'!C17,0))),1)+1),"")</f>
        <v/>
      </c>
      <c r="H146" s="40">
        <f>IFERROR(IF(E146="","",CEILING(F146/((IFERROR(B140,0)+IFERROR(G140,0))/(IFERROR('Getting Started'!C12,0)+IFERROR('Getting Started'!C17,0))),1)),"")</f>
        <v/>
      </c>
      <c r="I146" s="40">
        <f>IFERROR(IF(E146="","",TEXT('Getting Started'!C10+(G146-1)*7,"MMM D")),"")</f>
        <v/>
      </c>
      <c r="J146" s="40">
        <f>IFERROR(IF(E146="","",TEXT('Getting Started'!C10+(H146)*7,"MMM D")),"")</f>
        <v/>
      </c>
    </row>
    <row r="147" ht="18" customHeight="1">
      <c r="A147" s="14" t="n">
        <v>5</v>
      </c>
      <c r="B147" s="34" t="n"/>
      <c r="E147" s="35" t="n"/>
      <c r="F147" s="40">
        <f>IFERROR(SUM(E143:E147),"")</f>
        <v/>
      </c>
      <c r="G147" s="40">
        <f>IFERROR(IF(E147="","",FLOOR(F146/((IFERROR(B140,0)+IFERROR(G140,0))/(IFERROR('Getting Started'!C12,0)+IFERROR('Getting Started'!C17,0))),1)+1),"")</f>
        <v/>
      </c>
      <c r="H147" s="40">
        <f>IFERROR(IF(E147="","",CEILING(F147/((IFERROR(B140,0)+IFERROR(G140,0))/(IFERROR('Getting Started'!C12,0)+IFERROR('Getting Started'!C17,0))),1)),"")</f>
        <v/>
      </c>
      <c r="I147" s="40">
        <f>IFERROR(IF(E147="","",TEXT('Getting Started'!C10+(G147-1)*7,"MMM D")),"")</f>
        <v/>
      </c>
      <c r="J147" s="40">
        <f>IFERROR(IF(E147="","",TEXT('Getting Started'!C10+(H147)*7,"MMM D")),"")</f>
        <v/>
      </c>
    </row>
    <row r="148" ht="18" customHeight="1">
      <c r="A148" s="17" t="n">
        <v>6</v>
      </c>
      <c r="B148" s="41" t="n"/>
      <c r="E148" s="42" t="n"/>
      <c r="F148" s="40">
        <f>IFERROR(SUM(E143:E148),"")</f>
        <v/>
      </c>
      <c r="G148" s="40">
        <f>IFERROR(IF(E148="","",FLOOR(F147/((IFERROR(B140,0)+IFERROR(G140,0))/(IFERROR('Getting Started'!C12,0)+IFERROR('Getting Started'!C17,0))),1)+1),"")</f>
        <v/>
      </c>
      <c r="H148" s="40">
        <f>IFERROR(IF(E148="","",CEILING(F148/((IFERROR(B140,0)+IFERROR(G140,0))/(IFERROR('Getting Started'!C12,0)+IFERROR('Getting Started'!C17,0))),1)),"")</f>
        <v/>
      </c>
      <c r="I148" s="40">
        <f>IFERROR(IF(E148="","",TEXT('Getting Started'!C10+(G148-1)*7,"MMM D")),"")</f>
        <v/>
      </c>
      <c r="J148" s="40">
        <f>IFERROR(IF(E148="","",TEXT('Getting Started'!C10+(H148)*7,"MMM D")),"")</f>
        <v/>
      </c>
    </row>
    <row r="149" ht="20" customHeight="1">
      <c r="A149" s="63" t="inlineStr">
        <is>
          <t>Notes:</t>
        </is>
      </c>
      <c r="B149" s="5" t="n"/>
    </row>
    <row r="150" ht="6" customHeight="1"/>
    <row r="151" ht="24" customHeight="1">
      <c r="A151" s="64" t="inlineStr">
        <is>
          <t>ELECTIVE / OTHER</t>
        </is>
      </c>
      <c r="C151" s="65" t="inlineStr">
        <is>
          <t>Elective / Other 2</t>
        </is>
      </c>
    </row>
    <row r="152" ht="20" customHeight="1">
      <c r="A152" s="66" t="inlineStr">
        <is>
          <t>Curriculum / Title:</t>
        </is>
      </c>
      <c r="B152" s="5" t="n"/>
      <c r="F152" s="27" t="n"/>
      <c r="G152" s="66" t="inlineStr">
        <is>
          <t>Unit type:</t>
        </is>
      </c>
      <c r="H152" s="34" t="inlineStr">
        <is>
          <t>pages</t>
        </is>
      </c>
    </row>
    <row r="153" ht="22" customHeight="1">
      <c r="B153" s="35" t="n"/>
      <c r="C153" s="36">
        <f>IFERROR(IF(B153="","",ROUND(B153/'Getting Started'!C12,1)),"")</f>
        <v/>
      </c>
      <c r="D153" s="36">
        <f>IFERROR(IF(C153="","",ROUND(C153/'Getting Started'!C7,1)),"")</f>
        <v/>
      </c>
      <c r="E153" s="36">
        <f>IFERROR(IF(B153="","",TEXT('Getting Started'!C10+(B153/D153),"MMM D, YYYY")),"")</f>
        <v/>
      </c>
      <c r="F153" s="27" t="n"/>
      <c r="G153" s="35" t="n"/>
      <c r="H153" s="37">
        <f>IFERROR(IF(G153="","",ROUND(G153/'Getting Started'!C17,1)),"")</f>
        <v/>
      </c>
      <c r="I153" s="37">
        <f>IFERROR(IF(H153="","",ROUND(H153/'Getting Started'!C7,1)),"")</f>
        <v/>
      </c>
      <c r="J153" s="37">
        <f>IFERROR(IF(G153="","",TEXT('Getting Started'!C15+(G153/I153),"MMM D, YYYY")),"")</f>
        <v/>
      </c>
    </row>
    <row r="154" ht="16" customHeight="1">
      <c r="A154" s="38" t="inlineStr">
        <is>
          <t xml:space="preserve">  Optional: Component / Volume Breakdown  (fill in if the curriculum has multiple books or parts)</t>
        </is>
      </c>
    </row>
    <row r="155" ht="28" customHeight="1">
      <c r="A155" s="39" t="inlineStr">
        <is>
          <t>#</t>
        </is>
      </c>
      <c r="B155" s="39" t="inlineStr">
        <is>
          <t>Component / Book Title</t>
        </is>
      </c>
      <c r="E155" s="39" t="inlineStr">
        <is>
          <t>Units in
Component</t>
        </is>
      </c>
      <c r="F155" s="39" t="inlineStr">
        <is>
          <t>Cumul.
Units</t>
        </is>
      </c>
      <c r="G155" s="39" t="inlineStr">
        <is>
          <t>Start
Week</t>
        </is>
      </c>
      <c r="H155" s="39" t="inlineStr">
        <is>
          <t>End
Week</t>
        </is>
      </c>
      <c r="I155" s="39" t="inlineStr">
        <is>
          <t>Start
Date</t>
        </is>
      </c>
      <c r="J155" s="39" t="inlineStr">
        <is>
          <t>End
Date</t>
        </is>
      </c>
    </row>
    <row r="156" ht="18" customHeight="1">
      <c r="A156" s="14" t="n">
        <v>1</v>
      </c>
      <c r="B156" s="34" t="n"/>
      <c r="E156" s="35" t="n"/>
      <c r="F156" s="40">
        <f>IFERROR(SUM(E156:E156),"")</f>
        <v/>
      </c>
      <c r="G156" s="40">
        <f>IF(E156="","",1)</f>
        <v/>
      </c>
      <c r="H156" s="40">
        <f>IFERROR(IF(E156="","",CEILING(F156/((IFERROR(B153,0)+IFERROR(G153,0))/(IFERROR('Getting Started'!C12,0)+IFERROR('Getting Started'!C17,0))),1)),"")</f>
        <v/>
      </c>
      <c r="I156" s="40">
        <f>IFERROR(IF(E156="","",TEXT('Getting Started'!C10+(G156-1)*7,"MMM D")),"")</f>
        <v/>
      </c>
      <c r="J156" s="40">
        <f>IFERROR(IF(E156="","",TEXT('Getting Started'!C10+(H156)*7,"MMM D")),"")</f>
        <v/>
      </c>
    </row>
    <row r="157" ht="18" customHeight="1">
      <c r="A157" s="17" t="n">
        <v>2</v>
      </c>
      <c r="B157" s="41" t="n"/>
      <c r="E157" s="42" t="n"/>
      <c r="F157" s="40">
        <f>IFERROR(SUM(E156:E157),"")</f>
        <v/>
      </c>
      <c r="G157" s="40">
        <f>IFERROR(IF(E157="","",FLOOR(F156/((IFERROR(B153,0)+IFERROR(G153,0))/(IFERROR('Getting Started'!C12,0)+IFERROR('Getting Started'!C17,0))),1)+1),"")</f>
        <v/>
      </c>
      <c r="H157" s="40">
        <f>IFERROR(IF(E157="","",CEILING(F157/((IFERROR(B153,0)+IFERROR(G153,0))/(IFERROR('Getting Started'!C12,0)+IFERROR('Getting Started'!C17,0))),1)),"")</f>
        <v/>
      </c>
      <c r="I157" s="40">
        <f>IFERROR(IF(E157="","",TEXT('Getting Started'!C10+(G157-1)*7,"MMM D")),"")</f>
        <v/>
      </c>
      <c r="J157" s="40">
        <f>IFERROR(IF(E157="","",TEXT('Getting Started'!C10+(H157)*7,"MMM D")),"")</f>
        <v/>
      </c>
    </row>
    <row r="158" ht="18" customHeight="1">
      <c r="A158" s="14" t="n">
        <v>3</v>
      </c>
      <c r="B158" s="34" t="n"/>
      <c r="E158" s="35" t="n"/>
      <c r="F158" s="40">
        <f>IFERROR(SUM(E156:E158),"")</f>
        <v/>
      </c>
      <c r="G158" s="40">
        <f>IFERROR(IF(E158="","",FLOOR(F157/((IFERROR(B153,0)+IFERROR(G153,0))/(IFERROR('Getting Started'!C12,0)+IFERROR('Getting Started'!C17,0))),1)+1),"")</f>
        <v/>
      </c>
      <c r="H158" s="40">
        <f>IFERROR(IF(E158="","",CEILING(F158/((IFERROR(B153,0)+IFERROR(G153,0))/(IFERROR('Getting Started'!C12,0)+IFERROR('Getting Started'!C17,0))),1)),"")</f>
        <v/>
      </c>
      <c r="I158" s="40">
        <f>IFERROR(IF(E158="","",TEXT('Getting Started'!C10+(G158-1)*7,"MMM D")),"")</f>
        <v/>
      </c>
      <c r="J158" s="40">
        <f>IFERROR(IF(E158="","",TEXT('Getting Started'!C10+(H158)*7,"MMM D")),"")</f>
        <v/>
      </c>
    </row>
    <row r="159" ht="18" customHeight="1">
      <c r="A159" s="17" t="n">
        <v>4</v>
      </c>
      <c r="B159" s="41" t="n"/>
      <c r="E159" s="42" t="n"/>
      <c r="F159" s="40">
        <f>IFERROR(SUM(E156:E159),"")</f>
        <v/>
      </c>
      <c r="G159" s="40">
        <f>IFERROR(IF(E159="","",FLOOR(F158/((IFERROR(B153,0)+IFERROR(G153,0))/(IFERROR('Getting Started'!C12,0)+IFERROR('Getting Started'!C17,0))),1)+1),"")</f>
        <v/>
      </c>
      <c r="H159" s="40">
        <f>IFERROR(IF(E159="","",CEILING(F159/((IFERROR(B153,0)+IFERROR(G153,0))/(IFERROR('Getting Started'!C12,0)+IFERROR('Getting Started'!C17,0))),1)),"")</f>
        <v/>
      </c>
      <c r="I159" s="40">
        <f>IFERROR(IF(E159="","",TEXT('Getting Started'!C10+(G159-1)*7,"MMM D")),"")</f>
        <v/>
      </c>
      <c r="J159" s="40">
        <f>IFERROR(IF(E159="","",TEXT('Getting Started'!C10+(H159)*7,"MMM D")),"")</f>
        <v/>
      </c>
    </row>
    <row r="160" ht="18" customHeight="1">
      <c r="A160" s="14" t="n">
        <v>5</v>
      </c>
      <c r="B160" s="34" t="n"/>
      <c r="E160" s="35" t="n"/>
      <c r="F160" s="40">
        <f>IFERROR(SUM(E156:E160),"")</f>
        <v/>
      </c>
      <c r="G160" s="40">
        <f>IFERROR(IF(E160="","",FLOOR(F159/((IFERROR(B153,0)+IFERROR(G153,0))/(IFERROR('Getting Started'!C12,0)+IFERROR('Getting Started'!C17,0))),1)+1),"")</f>
        <v/>
      </c>
      <c r="H160" s="40">
        <f>IFERROR(IF(E160="","",CEILING(F160/((IFERROR(B153,0)+IFERROR(G153,0))/(IFERROR('Getting Started'!C12,0)+IFERROR('Getting Started'!C17,0))),1)),"")</f>
        <v/>
      </c>
      <c r="I160" s="40">
        <f>IFERROR(IF(E160="","",TEXT('Getting Started'!C10+(G160-1)*7,"MMM D")),"")</f>
        <v/>
      </c>
      <c r="J160" s="40">
        <f>IFERROR(IF(E160="","",TEXT('Getting Started'!C10+(H160)*7,"MMM D")),"")</f>
        <v/>
      </c>
    </row>
    <row r="161" ht="18" customHeight="1">
      <c r="A161" s="17" t="n">
        <v>6</v>
      </c>
      <c r="B161" s="41" t="n"/>
      <c r="E161" s="42" t="n"/>
      <c r="F161" s="40">
        <f>IFERROR(SUM(E156:E161),"")</f>
        <v/>
      </c>
      <c r="G161" s="40">
        <f>IFERROR(IF(E161="","",FLOOR(F160/((IFERROR(B153,0)+IFERROR(G153,0))/(IFERROR('Getting Started'!C12,0)+IFERROR('Getting Started'!C17,0))),1)+1),"")</f>
        <v/>
      </c>
      <c r="H161" s="40">
        <f>IFERROR(IF(E161="","",CEILING(F161/((IFERROR(B153,0)+IFERROR(G153,0))/(IFERROR('Getting Started'!C12,0)+IFERROR('Getting Started'!C17,0))),1)),"")</f>
        <v/>
      </c>
      <c r="I161" s="40">
        <f>IFERROR(IF(E161="","",TEXT('Getting Started'!C10+(G161-1)*7,"MMM D")),"")</f>
        <v/>
      </c>
      <c r="J161" s="40">
        <f>IFERROR(IF(E161="","",TEXT('Getting Started'!C10+(H161)*7,"MMM D")),"")</f>
        <v/>
      </c>
    </row>
    <row r="162" ht="20" customHeight="1">
      <c r="A162" s="66" t="inlineStr">
        <is>
          <t>Notes:</t>
        </is>
      </c>
      <c r="B162" s="5" t="n"/>
    </row>
    <row r="163" ht="6" customHeight="1"/>
    <row r="164" ht="24" customHeight="1">
      <c r="A164" s="67" t="inlineStr">
        <is>
          <t>ELECTIVE / OTHER</t>
        </is>
      </c>
      <c r="C164" s="68" t="inlineStr">
        <is>
          <t>Elective / Other 3</t>
        </is>
      </c>
    </row>
    <row r="165" ht="20" customHeight="1">
      <c r="A165" s="69" t="inlineStr">
        <is>
          <t>Curriculum / Title:</t>
        </is>
      </c>
      <c r="B165" s="5" t="n"/>
      <c r="F165" s="27" t="n"/>
      <c r="G165" s="69" t="inlineStr">
        <is>
          <t>Unit type:</t>
        </is>
      </c>
      <c r="H165" s="34" t="inlineStr">
        <is>
          <t>pages</t>
        </is>
      </c>
    </row>
    <row r="166" ht="22" customHeight="1">
      <c r="B166" s="35" t="n"/>
      <c r="C166" s="36">
        <f>IFERROR(IF(B166="","",ROUND(B166/'Getting Started'!C12,1)),"")</f>
        <v/>
      </c>
      <c r="D166" s="36">
        <f>IFERROR(IF(C166="","",ROUND(C166/'Getting Started'!C7,1)),"")</f>
        <v/>
      </c>
      <c r="E166" s="36">
        <f>IFERROR(IF(B166="","",TEXT('Getting Started'!C10+(B166/D166),"MMM D, YYYY")),"")</f>
        <v/>
      </c>
      <c r="F166" s="27" t="n"/>
      <c r="G166" s="35" t="n"/>
      <c r="H166" s="37">
        <f>IFERROR(IF(G166="","",ROUND(G166/'Getting Started'!C17,1)),"")</f>
        <v/>
      </c>
      <c r="I166" s="37">
        <f>IFERROR(IF(H166="","",ROUND(H166/'Getting Started'!C7,1)),"")</f>
        <v/>
      </c>
      <c r="J166" s="37">
        <f>IFERROR(IF(G166="","",TEXT('Getting Started'!C15+(G166/I166),"MMM D, YYYY")),"")</f>
        <v/>
      </c>
    </row>
    <row r="167" ht="16" customHeight="1">
      <c r="A167" s="38" t="inlineStr">
        <is>
          <t xml:space="preserve">  Optional: Component / Volume Breakdown  (fill in if the curriculum has multiple books or parts)</t>
        </is>
      </c>
    </row>
    <row r="168" ht="28" customHeight="1">
      <c r="A168" s="39" t="inlineStr">
        <is>
          <t>#</t>
        </is>
      </c>
      <c r="B168" s="39" t="inlineStr">
        <is>
          <t>Component / Book Title</t>
        </is>
      </c>
      <c r="E168" s="39" t="inlineStr">
        <is>
          <t>Units in
Component</t>
        </is>
      </c>
      <c r="F168" s="39" t="inlineStr">
        <is>
          <t>Cumul.
Units</t>
        </is>
      </c>
      <c r="G168" s="39" t="inlineStr">
        <is>
          <t>Start
Week</t>
        </is>
      </c>
      <c r="H168" s="39" t="inlineStr">
        <is>
          <t>End
Week</t>
        </is>
      </c>
      <c r="I168" s="39" t="inlineStr">
        <is>
          <t>Start
Date</t>
        </is>
      </c>
      <c r="J168" s="39" t="inlineStr">
        <is>
          <t>End
Date</t>
        </is>
      </c>
    </row>
    <row r="169" ht="18" customHeight="1">
      <c r="A169" s="14" t="n">
        <v>1</v>
      </c>
      <c r="B169" s="34" t="n"/>
      <c r="E169" s="35" t="n"/>
      <c r="F169" s="40">
        <f>IFERROR(SUM(E169:E169),"")</f>
        <v/>
      </c>
      <c r="G169" s="40">
        <f>IF(E169="","",1)</f>
        <v/>
      </c>
      <c r="H169" s="40">
        <f>IFERROR(IF(E169="","",CEILING(F169/((IFERROR(B166,0)+IFERROR(G166,0))/(IFERROR('Getting Started'!C12,0)+IFERROR('Getting Started'!C17,0))),1)),"")</f>
        <v/>
      </c>
      <c r="I169" s="40">
        <f>IFERROR(IF(E169="","",TEXT('Getting Started'!C10+(G169-1)*7,"MMM D")),"")</f>
        <v/>
      </c>
      <c r="J169" s="40">
        <f>IFERROR(IF(E169="","",TEXT('Getting Started'!C10+(H169)*7,"MMM D")),"")</f>
        <v/>
      </c>
    </row>
    <row r="170" ht="18" customHeight="1">
      <c r="A170" s="17" t="n">
        <v>2</v>
      </c>
      <c r="B170" s="41" t="n"/>
      <c r="E170" s="42" t="n"/>
      <c r="F170" s="40">
        <f>IFERROR(SUM(E169:E170),"")</f>
        <v/>
      </c>
      <c r="G170" s="40">
        <f>IFERROR(IF(E170="","",FLOOR(F169/((IFERROR(B166,0)+IFERROR(G166,0))/(IFERROR('Getting Started'!C12,0)+IFERROR('Getting Started'!C17,0))),1)+1),"")</f>
        <v/>
      </c>
      <c r="H170" s="40">
        <f>IFERROR(IF(E170="","",CEILING(F170/((IFERROR(B166,0)+IFERROR(G166,0))/(IFERROR('Getting Started'!C12,0)+IFERROR('Getting Started'!C17,0))),1)),"")</f>
        <v/>
      </c>
      <c r="I170" s="40">
        <f>IFERROR(IF(E170="","",TEXT('Getting Started'!C10+(G170-1)*7,"MMM D")),"")</f>
        <v/>
      </c>
      <c r="J170" s="40">
        <f>IFERROR(IF(E170="","",TEXT('Getting Started'!C10+(H170)*7,"MMM D")),"")</f>
        <v/>
      </c>
    </row>
    <row r="171" ht="18" customHeight="1">
      <c r="A171" s="14" t="n">
        <v>3</v>
      </c>
      <c r="B171" s="34" t="n"/>
      <c r="E171" s="35" t="n"/>
      <c r="F171" s="40">
        <f>IFERROR(SUM(E169:E171),"")</f>
        <v/>
      </c>
      <c r="G171" s="40">
        <f>IFERROR(IF(E171="","",FLOOR(F170/((IFERROR(B166,0)+IFERROR(G166,0))/(IFERROR('Getting Started'!C12,0)+IFERROR('Getting Started'!C17,0))),1)+1),"")</f>
        <v/>
      </c>
      <c r="H171" s="40">
        <f>IFERROR(IF(E171="","",CEILING(F171/((IFERROR(B166,0)+IFERROR(G166,0))/(IFERROR('Getting Started'!C12,0)+IFERROR('Getting Started'!C17,0))),1)),"")</f>
        <v/>
      </c>
      <c r="I171" s="40">
        <f>IFERROR(IF(E171="","",TEXT('Getting Started'!C10+(G171-1)*7,"MMM D")),"")</f>
        <v/>
      </c>
      <c r="J171" s="40">
        <f>IFERROR(IF(E171="","",TEXT('Getting Started'!C10+(H171)*7,"MMM D")),"")</f>
        <v/>
      </c>
    </row>
    <row r="172" ht="18" customHeight="1">
      <c r="A172" s="17" t="n">
        <v>4</v>
      </c>
      <c r="B172" s="41" t="n"/>
      <c r="E172" s="42" t="n"/>
      <c r="F172" s="40">
        <f>IFERROR(SUM(E169:E172),"")</f>
        <v/>
      </c>
      <c r="G172" s="40">
        <f>IFERROR(IF(E172="","",FLOOR(F171/((IFERROR(B166,0)+IFERROR(G166,0))/(IFERROR('Getting Started'!C12,0)+IFERROR('Getting Started'!C17,0))),1)+1),"")</f>
        <v/>
      </c>
      <c r="H172" s="40">
        <f>IFERROR(IF(E172="","",CEILING(F172/((IFERROR(B166,0)+IFERROR(G166,0))/(IFERROR('Getting Started'!C12,0)+IFERROR('Getting Started'!C17,0))),1)),"")</f>
        <v/>
      </c>
      <c r="I172" s="40">
        <f>IFERROR(IF(E172="","",TEXT('Getting Started'!C10+(G172-1)*7,"MMM D")),"")</f>
        <v/>
      </c>
      <c r="J172" s="40">
        <f>IFERROR(IF(E172="","",TEXT('Getting Started'!C10+(H172)*7,"MMM D")),"")</f>
        <v/>
      </c>
    </row>
    <row r="173" ht="18" customHeight="1">
      <c r="A173" s="14" t="n">
        <v>5</v>
      </c>
      <c r="B173" s="34" t="n"/>
      <c r="E173" s="35" t="n"/>
      <c r="F173" s="40">
        <f>IFERROR(SUM(E169:E173),"")</f>
        <v/>
      </c>
      <c r="G173" s="40">
        <f>IFERROR(IF(E173="","",FLOOR(F172/((IFERROR(B166,0)+IFERROR(G166,0))/(IFERROR('Getting Started'!C12,0)+IFERROR('Getting Started'!C17,0))),1)+1),"")</f>
        <v/>
      </c>
      <c r="H173" s="40">
        <f>IFERROR(IF(E173="","",CEILING(F173/((IFERROR(B166,0)+IFERROR(G166,0))/(IFERROR('Getting Started'!C12,0)+IFERROR('Getting Started'!C17,0))),1)),"")</f>
        <v/>
      </c>
      <c r="I173" s="40">
        <f>IFERROR(IF(E173="","",TEXT('Getting Started'!C10+(G173-1)*7,"MMM D")),"")</f>
        <v/>
      </c>
      <c r="J173" s="40">
        <f>IFERROR(IF(E173="","",TEXT('Getting Started'!C10+(H173)*7,"MMM D")),"")</f>
        <v/>
      </c>
    </row>
    <row r="174" ht="18" customHeight="1">
      <c r="A174" s="17" t="n">
        <v>6</v>
      </c>
      <c r="B174" s="41" t="n"/>
      <c r="E174" s="42" t="n"/>
      <c r="F174" s="40">
        <f>IFERROR(SUM(E169:E174),"")</f>
        <v/>
      </c>
      <c r="G174" s="40">
        <f>IFERROR(IF(E174="","",FLOOR(F173/((IFERROR(B166,0)+IFERROR(G166,0))/(IFERROR('Getting Started'!C12,0)+IFERROR('Getting Started'!C17,0))),1)+1),"")</f>
        <v/>
      </c>
      <c r="H174" s="40">
        <f>IFERROR(IF(E174="","",CEILING(F174/((IFERROR(B166,0)+IFERROR(G166,0))/(IFERROR('Getting Started'!C12,0)+IFERROR('Getting Started'!C17,0))),1)),"")</f>
        <v/>
      </c>
      <c r="I174" s="40">
        <f>IFERROR(IF(E174="","",TEXT('Getting Started'!C10+(G174-1)*7,"MMM D")),"")</f>
        <v/>
      </c>
      <c r="J174" s="40">
        <f>IFERROR(IF(E174="","",TEXT('Getting Started'!C10+(H174)*7,"MMM D")),"")</f>
        <v/>
      </c>
    </row>
    <row r="175" ht="20" customHeight="1">
      <c r="A175" s="69" t="inlineStr">
        <is>
          <t>Notes:</t>
        </is>
      </c>
      <c r="B175" s="5" t="n"/>
    </row>
    <row r="176" ht="6" customHeight="1"/>
    <row r="177" ht="24" customHeight="1">
      <c r="A177" s="70" t="inlineStr">
        <is>
          <t>ELECTIVE / OTHER</t>
        </is>
      </c>
      <c r="C177" s="71" t="inlineStr">
        <is>
          <t>Elective / Other 4</t>
        </is>
      </c>
    </row>
    <row r="178" ht="20" customHeight="1">
      <c r="A178" s="33" t="inlineStr">
        <is>
          <t>Curriculum / Title:</t>
        </is>
      </c>
      <c r="B178" s="5" t="n"/>
      <c r="F178" s="27" t="n"/>
      <c r="G178" s="33" t="inlineStr">
        <is>
          <t>Unit type:</t>
        </is>
      </c>
      <c r="H178" s="34" t="inlineStr">
        <is>
          <t>pages</t>
        </is>
      </c>
    </row>
    <row r="179" ht="22" customHeight="1">
      <c r="B179" s="35" t="n"/>
      <c r="C179" s="36">
        <f>IFERROR(IF(B179="","",ROUND(B179/'Getting Started'!C12,1)),"")</f>
        <v/>
      </c>
      <c r="D179" s="36">
        <f>IFERROR(IF(C179="","",ROUND(C179/'Getting Started'!C7,1)),"")</f>
        <v/>
      </c>
      <c r="E179" s="36">
        <f>IFERROR(IF(B179="","",TEXT('Getting Started'!C10+(B179/D179),"MMM D, YYYY")),"")</f>
        <v/>
      </c>
      <c r="F179" s="27" t="n"/>
      <c r="G179" s="35" t="n"/>
      <c r="H179" s="37">
        <f>IFERROR(IF(G179="","",ROUND(G179/'Getting Started'!C17,1)),"")</f>
        <v/>
      </c>
      <c r="I179" s="37">
        <f>IFERROR(IF(H179="","",ROUND(H179/'Getting Started'!C7,1)),"")</f>
        <v/>
      </c>
      <c r="J179" s="37">
        <f>IFERROR(IF(G179="","",TEXT('Getting Started'!C15+(G179/I179),"MMM D, YYYY")),"")</f>
        <v/>
      </c>
    </row>
    <row r="180" ht="16" customHeight="1">
      <c r="A180" s="38" t="inlineStr">
        <is>
          <t xml:space="preserve">  Optional: Component / Volume Breakdown  (fill in if the curriculum has multiple books or parts)</t>
        </is>
      </c>
    </row>
    <row r="181" ht="28" customHeight="1">
      <c r="A181" s="39" t="inlineStr">
        <is>
          <t>#</t>
        </is>
      </c>
      <c r="B181" s="39" t="inlineStr">
        <is>
          <t>Component / Book Title</t>
        </is>
      </c>
      <c r="E181" s="39" t="inlineStr">
        <is>
          <t>Units in
Component</t>
        </is>
      </c>
      <c r="F181" s="39" t="inlineStr">
        <is>
          <t>Cumul.
Units</t>
        </is>
      </c>
      <c r="G181" s="39" t="inlineStr">
        <is>
          <t>Start
Week</t>
        </is>
      </c>
      <c r="H181" s="39" t="inlineStr">
        <is>
          <t>End
Week</t>
        </is>
      </c>
      <c r="I181" s="39" t="inlineStr">
        <is>
          <t>Start
Date</t>
        </is>
      </c>
      <c r="J181" s="39" t="inlineStr">
        <is>
          <t>End
Date</t>
        </is>
      </c>
    </row>
    <row r="182" ht="18" customHeight="1">
      <c r="A182" s="14" t="n">
        <v>1</v>
      </c>
      <c r="B182" s="34" t="n"/>
      <c r="E182" s="35" t="n"/>
      <c r="F182" s="40">
        <f>IFERROR(SUM(E182:E182),"")</f>
        <v/>
      </c>
      <c r="G182" s="40">
        <f>IF(E182="","",1)</f>
        <v/>
      </c>
      <c r="H182" s="40">
        <f>IFERROR(IF(E182="","",CEILING(F182/((IFERROR(B179,0)+IFERROR(G179,0))/(IFERROR('Getting Started'!C12,0)+IFERROR('Getting Started'!C17,0))),1)),"")</f>
        <v/>
      </c>
      <c r="I182" s="40">
        <f>IFERROR(IF(E182="","",TEXT('Getting Started'!C10+(G182-1)*7,"MMM D")),"")</f>
        <v/>
      </c>
      <c r="J182" s="40">
        <f>IFERROR(IF(E182="","",TEXT('Getting Started'!C10+(H182)*7,"MMM D")),"")</f>
        <v/>
      </c>
    </row>
    <row r="183" ht="18" customHeight="1">
      <c r="A183" s="17" t="n">
        <v>2</v>
      </c>
      <c r="B183" s="41" t="n"/>
      <c r="E183" s="42" t="n"/>
      <c r="F183" s="40">
        <f>IFERROR(SUM(E182:E183),"")</f>
        <v/>
      </c>
      <c r="G183" s="40">
        <f>IFERROR(IF(E183="","",FLOOR(F182/((IFERROR(B179,0)+IFERROR(G179,0))/(IFERROR('Getting Started'!C12,0)+IFERROR('Getting Started'!C17,0))),1)+1),"")</f>
        <v/>
      </c>
      <c r="H183" s="40">
        <f>IFERROR(IF(E183="","",CEILING(F183/((IFERROR(B179,0)+IFERROR(G179,0))/(IFERROR('Getting Started'!C12,0)+IFERROR('Getting Started'!C17,0))),1)),"")</f>
        <v/>
      </c>
      <c r="I183" s="40">
        <f>IFERROR(IF(E183="","",TEXT('Getting Started'!C10+(G183-1)*7,"MMM D")),"")</f>
        <v/>
      </c>
      <c r="J183" s="40">
        <f>IFERROR(IF(E183="","",TEXT('Getting Started'!C10+(H183)*7,"MMM D")),"")</f>
        <v/>
      </c>
    </row>
    <row r="184" ht="18" customHeight="1">
      <c r="A184" s="14" t="n">
        <v>3</v>
      </c>
      <c r="B184" s="34" t="n"/>
      <c r="E184" s="35" t="n"/>
      <c r="F184" s="40">
        <f>IFERROR(SUM(E182:E184),"")</f>
        <v/>
      </c>
      <c r="G184" s="40">
        <f>IFERROR(IF(E184="","",FLOOR(F183/((IFERROR(B179,0)+IFERROR(G179,0))/(IFERROR('Getting Started'!C12,0)+IFERROR('Getting Started'!C17,0))),1)+1),"")</f>
        <v/>
      </c>
      <c r="H184" s="40">
        <f>IFERROR(IF(E184="","",CEILING(F184/((IFERROR(B179,0)+IFERROR(G179,0))/(IFERROR('Getting Started'!C12,0)+IFERROR('Getting Started'!C17,0))),1)),"")</f>
        <v/>
      </c>
      <c r="I184" s="40">
        <f>IFERROR(IF(E184="","",TEXT('Getting Started'!C10+(G184-1)*7,"MMM D")),"")</f>
        <v/>
      </c>
      <c r="J184" s="40">
        <f>IFERROR(IF(E184="","",TEXT('Getting Started'!C10+(H184)*7,"MMM D")),"")</f>
        <v/>
      </c>
    </row>
    <row r="185" ht="18" customHeight="1">
      <c r="A185" s="17" t="n">
        <v>4</v>
      </c>
      <c r="B185" s="41" t="n"/>
      <c r="E185" s="42" t="n"/>
      <c r="F185" s="40">
        <f>IFERROR(SUM(E182:E185),"")</f>
        <v/>
      </c>
      <c r="G185" s="40">
        <f>IFERROR(IF(E185="","",FLOOR(F184/((IFERROR(B179,0)+IFERROR(G179,0))/(IFERROR('Getting Started'!C12,0)+IFERROR('Getting Started'!C17,0))),1)+1),"")</f>
        <v/>
      </c>
      <c r="H185" s="40">
        <f>IFERROR(IF(E185="","",CEILING(F185/((IFERROR(B179,0)+IFERROR(G179,0))/(IFERROR('Getting Started'!C12,0)+IFERROR('Getting Started'!C17,0))),1)),"")</f>
        <v/>
      </c>
      <c r="I185" s="40">
        <f>IFERROR(IF(E185="","",TEXT('Getting Started'!C10+(G185-1)*7,"MMM D")),"")</f>
        <v/>
      </c>
      <c r="J185" s="40">
        <f>IFERROR(IF(E185="","",TEXT('Getting Started'!C10+(H185)*7,"MMM D")),"")</f>
        <v/>
      </c>
    </row>
    <row r="186" ht="18" customHeight="1">
      <c r="A186" s="14" t="n">
        <v>5</v>
      </c>
      <c r="B186" s="34" t="n"/>
      <c r="E186" s="35" t="n"/>
      <c r="F186" s="40">
        <f>IFERROR(SUM(E182:E186),"")</f>
        <v/>
      </c>
      <c r="G186" s="40">
        <f>IFERROR(IF(E186="","",FLOOR(F185/((IFERROR(B179,0)+IFERROR(G179,0))/(IFERROR('Getting Started'!C12,0)+IFERROR('Getting Started'!C17,0))),1)+1),"")</f>
        <v/>
      </c>
      <c r="H186" s="40">
        <f>IFERROR(IF(E186="","",CEILING(F186/((IFERROR(B179,0)+IFERROR(G179,0))/(IFERROR('Getting Started'!C12,0)+IFERROR('Getting Started'!C17,0))),1)),"")</f>
        <v/>
      </c>
      <c r="I186" s="40">
        <f>IFERROR(IF(E186="","",TEXT('Getting Started'!C10+(G186-1)*7,"MMM D")),"")</f>
        <v/>
      </c>
      <c r="J186" s="40">
        <f>IFERROR(IF(E186="","",TEXT('Getting Started'!C10+(H186)*7,"MMM D")),"")</f>
        <v/>
      </c>
    </row>
    <row r="187" ht="18" customHeight="1">
      <c r="A187" s="17" t="n">
        <v>6</v>
      </c>
      <c r="B187" s="41" t="n"/>
      <c r="E187" s="42" t="n"/>
      <c r="F187" s="40">
        <f>IFERROR(SUM(E182:E187),"")</f>
        <v/>
      </c>
      <c r="G187" s="40">
        <f>IFERROR(IF(E187="","",FLOOR(F186/((IFERROR(B179,0)+IFERROR(G179,0))/(IFERROR('Getting Started'!C12,0)+IFERROR('Getting Started'!C17,0))),1)+1),"")</f>
        <v/>
      </c>
      <c r="H187" s="40">
        <f>IFERROR(IF(E187="","",CEILING(F187/((IFERROR(B179,0)+IFERROR(G179,0))/(IFERROR('Getting Started'!C12,0)+IFERROR('Getting Started'!C17,0))),1)),"")</f>
        <v/>
      </c>
      <c r="I187" s="40">
        <f>IFERROR(IF(E187="","",TEXT('Getting Started'!C10+(G187-1)*7,"MMM D")),"")</f>
        <v/>
      </c>
      <c r="J187" s="40">
        <f>IFERROR(IF(E187="","",TEXT('Getting Started'!C10+(H187)*7,"MMM D")),"")</f>
        <v/>
      </c>
    </row>
    <row r="188" ht="20" customHeight="1">
      <c r="A188" s="33" t="inlineStr">
        <is>
          <t>Notes:</t>
        </is>
      </c>
      <c r="B188" s="5" t="n"/>
    </row>
    <row r="189" ht="6" customHeight="1"/>
  </sheetData>
  <mergeCells count="177">
    <mergeCell ref="B42:D42"/>
    <mergeCell ref="B57:D57"/>
    <mergeCell ref="B74:E74"/>
    <mergeCell ref="B148:D148"/>
    <mergeCell ref="B170:D170"/>
    <mergeCell ref="B139:E139"/>
    <mergeCell ref="C151:J151"/>
    <mergeCell ref="B157:D157"/>
    <mergeCell ref="B44:D44"/>
    <mergeCell ref="B53:D53"/>
    <mergeCell ref="H100:J100"/>
    <mergeCell ref="A63:J63"/>
    <mergeCell ref="B172:D172"/>
    <mergeCell ref="B28:D28"/>
    <mergeCell ref="A115:J115"/>
    <mergeCell ref="B108:D108"/>
    <mergeCell ref="B186:D186"/>
    <mergeCell ref="H22:J22"/>
    <mergeCell ref="B113:E113"/>
    <mergeCell ref="B168:D168"/>
    <mergeCell ref="B100:E100"/>
    <mergeCell ref="A164:B164"/>
    <mergeCell ref="A34:J34"/>
    <mergeCell ref="B143:D143"/>
    <mergeCell ref="B92:D92"/>
    <mergeCell ref="B165:E165"/>
    <mergeCell ref="B30:D30"/>
    <mergeCell ref="B158:D158"/>
    <mergeCell ref="B22:E22"/>
    <mergeCell ref="B133:D133"/>
    <mergeCell ref="B142:D142"/>
    <mergeCell ref="B80:D80"/>
    <mergeCell ref="B94:D94"/>
    <mergeCell ref="B160:D160"/>
    <mergeCell ref="B32:J32"/>
    <mergeCell ref="B135:D135"/>
    <mergeCell ref="B144:D144"/>
    <mergeCell ref="B54:D54"/>
    <mergeCell ref="B185:D185"/>
    <mergeCell ref="B159:D159"/>
    <mergeCell ref="B134:D134"/>
    <mergeCell ref="B56:D56"/>
    <mergeCell ref="B96:D96"/>
    <mergeCell ref="B70:D70"/>
    <mergeCell ref="B87:E87"/>
    <mergeCell ref="B105:D105"/>
    <mergeCell ref="B43:D43"/>
    <mergeCell ref="B161:D161"/>
    <mergeCell ref="B178:E178"/>
    <mergeCell ref="B120:D120"/>
    <mergeCell ref="B107:D107"/>
    <mergeCell ref="B17:D17"/>
    <mergeCell ref="A4:J4"/>
    <mergeCell ref="B82:D82"/>
    <mergeCell ref="B147:D147"/>
    <mergeCell ref="B171:D171"/>
    <mergeCell ref="B35:E35"/>
    <mergeCell ref="B146:D146"/>
    <mergeCell ref="B84:J84"/>
    <mergeCell ref="A177:B177"/>
    <mergeCell ref="B187:D187"/>
    <mergeCell ref="B68:D68"/>
    <mergeCell ref="A73:J73"/>
    <mergeCell ref="A24:J24"/>
    <mergeCell ref="B83:D83"/>
    <mergeCell ref="A60:J60"/>
    <mergeCell ref="H126:J126"/>
    <mergeCell ref="B173:D173"/>
    <mergeCell ref="A5:E5"/>
    <mergeCell ref="H35:J35"/>
    <mergeCell ref="B97:J97"/>
    <mergeCell ref="B109:D109"/>
    <mergeCell ref="B61:E61"/>
    <mergeCell ref="B31:D31"/>
    <mergeCell ref="A50:J50"/>
    <mergeCell ref="B71:J71"/>
    <mergeCell ref="A2:J2"/>
    <mergeCell ref="A86:J86"/>
    <mergeCell ref="B58:J58"/>
    <mergeCell ref="B39:D39"/>
    <mergeCell ref="A47:J47"/>
    <mergeCell ref="B14:D14"/>
    <mergeCell ref="A141:J141"/>
    <mergeCell ref="B145:D145"/>
    <mergeCell ref="H178:J178"/>
    <mergeCell ref="B181:D181"/>
    <mergeCell ref="H61:J61"/>
    <mergeCell ref="B13:D13"/>
    <mergeCell ref="A125:J125"/>
    <mergeCell ref="B78:D78"/>
    <mergeCell ref="B162:J162"/>
    <mergeCell ref="A112:J112"/>
    <mergeCell ref="B19:J19"/>
    <mergeCell ref="A167:J167"/>
    <mergeCell ref="C177:J177"/>
    <mergeCell ref="B65:D65"/>
    <mergeCell ref="H87:J87"/>
    <mergeCell ref="B183:D183"/>
    <mergeCell ref="H139:J139"/>
    <mergeCell ref="C164:J164"/>
    <mergeCell ref="B51:D51"/>
    <mergeCell ref="B45:J45"/>
    <mergeCell ref="B41:D41"/>
    <mergeCell ref="C138:J138"/>
    <mergeCell ref="B188:J188"/>
    <mergeCell ref="B91:D91"/>
    <mergeCell ref="B25:D25"/>
    <mergeCell ref="H165:J165"/>
    <mergeCell ref="B156:D156"/>
    <mergeCell ref="A99:J99"/>
    <mergeCell ref="B66:D66"/>
    <mergeCell ref="B155:D155"/>
    <mergeCell ref="B93:D93"/>
    <mergeCell ref="A154:J154"/>
    <mergeCell ref="H113:J113"/>
    <mergeCell ref="H9:J9"/>
    <mergeCell ref="B130:D130"/>
    <mergeCell ref="B12:D12"/>
    <mergeCell ref="B77:D77"/>
    <mergeCell ref="H152:J152"/>
    <mergeCell ref="A76:J76"/>
    <mergeCell ref="B117:D117"/>
    <mergeCell ref="B9:E9"/>
    <mergeCell ref="A8:J8"/>
    <mergeCell ref="B67:D67"/>
    <mergeCell ref="B136:J136"/>
    <mergeCell ref="B132:D132"/>
    <mergeCell ref="B119:D119"/>
    <mergeCell ref="A138:B138"/>
    <mergeCell ref="A180:J180"/>
    <mergeCell ref="B116:D116"/>
    <mergeCell ref="B29:D29"/>
    <mergeCell ref="B175:J175"/>
    <mergeCell ref="B69:D69"/>
    <mergeCell ref="B182:D182"/>
    <mergeCell ref="B38:D38"/>
    <mergeCell ref="B103:D103"/>
    <mergeCell ref="B174:D174"/>
    <mergeCell ref="A102:J102"/>
    <mergeCell ref="B126:E126"/>
    <mergeCell ref="B118:D118"/>
    <mergeCell ref="B40:D40"/>
    <mergeCell ref="B15:D15"/>
    <mergeCell ref="B55:D55"/>
    <mergeCell ref="H48:J48"/>
    <mergeCell ref="B64:D64"/>
    <mergeCell ref="A11:J11"/>
    <mergeCell ref="B95:D95"/>
    <mergeCell ref="A1:J1"/>
    <mergeCell ref="B104:D104"/>
    <mergeCell ref="B169:D169"/>
    <mergeCell ref="B79:D79"/>
    <mergeCell ref="B123:J123"/>
    <mergeCell ref="A151:B151"/>
    <mergeCell ref="B152:E152"/>
    <mergeCell ref="B48:E48"/>
    <mergeCell ref="B26:D26"/>
    <mergeCell ref="B110:J110"/>
    <mergeCell ref="B106:D106"/>
    <mergeCell ref="B129:D129"/>
    <mergeCell ref="B16:D16"/>
    <mergeCell ref="B81:D81"/>
    <mergeCell ref="A128:J128"/>
    <mergeCell ref="B90:D90"/>
    <mergeCell ref="A37:J37"/>
    <mergeCell ref="B121:D121"/>
    <mergeCell ref="A89:J89"/>
    <mergeCell ref="B122:D122"/>
    <mergeCell ref="B184:D184"/>
    <mergeCell ref="B131:D131"/>
    <mergeCell ref="A21:J21"/>
    <mergeCell ref="B149:J149"/>
    <mergeCell ref="B18:D18"/>
    <mergeCell ref="B27:D27"/>
    <mergeCell ref="B52:D52"/>
    <mergeCell ref="H74:J74"/>
    <mergeCell ref="G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2026-06-02T19:43:45Z</dcterms:created>
  <dcterms:modified xsi:type="dcterms:W3CDTF">2026-06-02T19:43:46Z</dcterms:modified>
</cp:coreProperties>
</file>