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Getting Started" sheetId="1" state="visible" r:id="rId1"/>
    <sheet name="Course Content" sheetId="2" state="visible" r:id="rId2"/>
    <sheet name="Student 1" sheetId="3" state="visible" r:id="rId3"/>
    <sheet name="Student 2" sheetId="4" state="visible" r:id="rId4"/>
    <sheet name="Student 3" sheetId="5" state="visible" r:id="rId5"/>
    <sheet name="Student 4" sheetId="6" state="visible" r:id="rId6"/>
    <sheet name="Student 5" sheetId="7" state="visible" r:id="rId7"/>
    <sheet name="Student 6" sheetId="8" state="visible" r:id="rId8"/>
    <sheet name="Student 7" sheetId="9" state="visible" r:id="rId9"/>
    <sheet name="Student 8" sheetId="10" state="visible" r:id="rId10"/>
    <sheet name="Student 9" sheetId="11" state="visible" r:id="rId11"/>
    <sheet name="Student 10" sheetId="12" state="visible" r:id="rId12"/>
  </sheets>
  <definedNames>
    <definedName name="_xlnm._FilterDatabase" localSheetId="1" hidden="1">'Course Content'!$A$7:$I$147</definedName>
  </definedNames>
  <calcPr calcId="124519" fullCalcOnLoad="1"/>
</workbook>
</file>

<file path=xl/styles.xml><?xml version="1.0" encoding="utf-8"?>
<styleSheet xmlns="http://schemas.openxmlformats.org/spreadsheetml/2006/main">
  <numFmts count="1">
    <numFmt numFmtId="164" formatCode="MM/DD/YYYY"/>
  </numFmts>
  <fonts count="25">
    <font>
      <name val="Calibri"/>
      <family val="2"/>
      <color theme="1"/>
      <sz val="11"/>
      <scheme val="minor"/>
    </font>
    <font>
      <name val="Calibri"/>
      <b val="1"/>
      <color rgb="00FFFFFF"/>
      <sz val="16"/>
    </font>
    <font>
      <name val="Calibri"/>
      <b val="1"/>
      <color rgb="006B5C55"/>
      <sz val="11"/>
    </font>
    <font>
      <name val="Calibri"/>
      <b val="1"/>
      <color rgb="006B5C55"/>
      <sz val="10"/>
    </font>
    <font>
      <name val="Calibri"/>
      <color rgb="003D3530"/>
      <sz val="10"/>
    </font>
    <font>
      <name val="Calibri"/>
      <b val="1"/>
      <color rgb="005C7A52"/>
      <sz val="10"/>
    </font>
    <font>
      <name val="Calibri"/>
      <i val="1"/>
      <color rgb="00A08878"/>
      <sz val="9"/>
    </font>
    <font>
      <name val="Calibri"/>
      <b val="1"/>
      <color rgb="00A08878"/>
      <sz val="10"/>
    </font>
    <font>
      <name val="Calibri"/>
      <b val="1"/>
      <color rgb="008A6A30"/>
      <sz val="10"/>
    </font>
    <font>
      <name val="Calibri"/>
      <b val="1"/>
      <color rgb="00CE8282"/>
      <sz val="10"/>
    </font>
    <font>
      <name val="Calibri"/>
      <b val="1"/>
      <color rgb="00FFFFFF"/>
      <sz val="10"/>
    </font>
    <font>
      <name val="Calibri"/>
      <color rgb="006B5C55"/>
      <sz val="10"/>
    </font>
    <font>
      <name val="Calibri"/>
      <b val="1"/>
      <color rgb="00CE8282"/>
      <sz val="12"/>
    </font>
    <font>
      <name val="Calibri"/>
      <b val="1"/>
      <color rgb="006B5C55"/>
      <sz val="9"/>
    </font>
    <font>
      <name val="Calibri"/>
      <color rgb="00A08878"/>
      <sz val="10"/>
    </font>
    <font>
      <name val="Calibri"/>
      <color rgb="00FFFFFF"/>
      <sz val="11"/>
    </font>
    <font>
      <name val="Calibri"/>
      <b val="1"/>
      <color rgb="005C7A52"/>
      <sz val="9"/>
    </font>
    <font>
      <name val="Calibri"/>
      <b val="1"/>
      <color rgb="00FAF8F6"/>
      <sz val="9"/>
    </font>
    <font>
      <name val="Calibri"/>
      <b val="1"/>
      <color rgb="008A6A30"/>
      <sz val="9"/>
    </font>
    <font>
      <name val="Calibri"/>
      <b val="1"/>
      <color rgb="006B5C55"/>
      <sz val="12"/>
    </font>
    <font>
      <name val="Calibri"/>
      <b val="1"/>
      <color rgb="005C7A52"/>
      <sz val="11"/>
    </font>
    <font>
      <name val="Calibri"/>
      <color rgb="005C7A52"/>
      <sz val="9"/>
    </font>
    <font>
      <name val="Calibri"/>
      <b val="1"/>
      <color rgb="008A6A30"/>
      <sz val="11"/>
    </font>
    <font>
      <name val="Calibri"/>
      <color rgb="008A6A30"/>
      <sz val="9"/>
    </font>
    <font>
      <name val="Calibri"/>
      <color rgb="006B5C55"/>
      <sz val="9"/>
    </font>
  </fonts>
  <fills count="14">
    <fill>
      <patternFill/>
    </fill>
    <fill>
      <patternFill patternType="gray125"/>
    </fill>
    <fill>
      <patternFill patternType="solid">
        <fgColor rgb="00CE8282"/>
        <bgColor rgb="00CE8282"/>
      </patternFill>
    </fill>
    <fill>
      <patternFill patternType="solid">
        <fgColor rgb="00EDE3DC"/>
        <bgColor rgb="00EDE3DC"/>
      </patternFill>
    </fill>
    <fill>
      <patternFill patternType="solid">
        <fgColor rgb="00FFFFFF"/>
        <bgColor rgb="00FFFFFF"/>
      </patternFill>
    </fill>
    <fill>
      <patternFill patternType="solid">
        <fgColor rgb="00EEF4EB"/>
        <bgColor rgb="00EEF4EB"/>
      </patternFill>
    </fill>
    <fill>
      <patternFill patternType="solid">
        <fgColor rgb="00F7F2EE"/>
        <bgColor rgb="00F7F2EE"/>
      </patternFill>
    </fill>
    <fill>
      <patternFill patternType="solid">
        <fgColor rgb="00F8F2E6"/>
        <bgColor rgb="00F8F2E6"/>
      </patternFill>
    </fill>
    <fill>
      <patternFill patternType="solid">
        <fgColor rgb="00FAF0F0"/>
        <bgColor rgb="00FAF0F0"/>
      </patternFill>
    </fill>
    <fill>
      <patternFill patternType="solid">
        <fgColor rgb="00FAF8F6"/>
        <bgColor rgb="00FAF8F6"/>
      </patternFill>
    </fill>
    <fill>
      <patternFill patternType="solid">
        <fgColor rgb="006B5C55"/>
        <bgColor rgb="006B5C55"/>
      </patternFill>
    </fill>
    <fill>
      <patternFill patternType="solid">
        <fgColor rgb="005C7A52"/>
        <bgColor rgb="005C7A52"/>
      </patternFill>
    </fill>
    <fill>
      <patternFill patternType="solid">
        <fgColor rgb="008A6A30"/>
        <bgColor rgb="008A6A30"/>
      </patternFill>
    </fill>
    <fill>
      <patternFill patternType="solid">
        <fgColor rgb="00F5EDE3"/>
        <bgColor rgb="00F5EDE3"/>
      </patternFill>
    </fill>
  </fills>
  <borders count="5">
    <border>
      <left/>
      <right/>
      <top/>
      <bottom/>
      <diagonal/>
    </border>
    <border>
      <left style="thin">
        <color rgb="00D4C4BB"/>
      </left>
      <right style="thin">
        <color rgb="00D4C4BB"/>
      </right>
      <top style="thin">
        <color rgb="00D4C4BB"/>
      </top>
      <bottom style="thin">
        <color rgb="00D4C4BB"/>
      </bottom>
    </border>
    <border>
      <left style="thin">
        <color rgb="00CE8282"/>
      </left>
      <right style="thin">
        <color rgb="00CE8282"/>
      </right>
      <top style="thin">
        <color rgb="00CE8282"/>
      </top>
      <bottom style="thin">
        <color rgb="00CE8282"/>
      </bottom>
    </border>
    <border>
      <left style="medium">
        <color rgb="00CE8282"/>
      </left>
      <right style="thin">
        <color rgb="00D4C4BB"/>
      </right>
      <top style="thin">
        <color rgb="00D4C4BB"/>
      </top>
      <bottom style="thin">
        <color rgb="00D4C4BB"/>
      </bottom>
    </border>
    <border>
      <bottom style="thin">
        <color rgb="00D4C4BB"/>
      </bottom>
    </border>
  </borders>
  <cellStyleXfs count="1">
    <xf numFmtId="0" fontId="0" fillId="0" borderId="0"/>
  </cellStyleXfs>
  <cellXfs count="57">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3" borderId="0" applyAlignment="1" pivotButton="0" quotePrefix="0" xfId="0">
      <alignment horizontal="center" vertical="center"/>
    </xf>
    <xf numFmtId="0" fontId="3" fillId="4" borderId="1" applyAlignment="1" pivotButton="0" quotePrefix="0" xfId="0">
      <alignment horizontal="left" vertical="center"/>
    </xf>
    <xf numFmtId="0" fontId="4" fillId="4" borderId="1" applyAlignment="1" pivotButton="0" quotePrefix="0" xfId="0">
      <alignment horizontal="left" vertical="center"/>
    </xf>
    <xf numFmtId="0" fontId="5" fillId="5" borderId="0" applyAlignment="1" pivotButton="0" quotePrefix="0" xfId="0">
      <alignment horizontal="center" vertical="center"/>
    </xf>
    <xf numFmtId="164" fontId="4" fillId="4" borderId="1" applyAlignment="1" pivotButton="0" quotePrefix="0" xfId="0">
      <alignment horizontal="left" vertical="center"/>
    </xf>
    <xf numFmtId="0" fontId="6" fillId="0" borderId="0" applyAlignment="1" pivotButton="0" quotePrefix="0" xfId="0">
      <alignment horizontal="left" vertical="center"/>
    </xf>
    <xf numFmtId="0" fontId="7" fillId="4" borderId="1" applyAlignment="1" pivotButton="0" quotePrefix="0" xfId="0">
      <alignment horizontal="left" vertical="center"/>
    </xf>
    <xf numFmtId="1" fontId="3" fillId="6" borderId="1" applyAlignment="1" pivotButton="0" quotePrefix="0" xfId="0">
      <alignment horizontal="left" vertical="center"/>
    </xf>
    <xf numFmtId="0" fontId="8" fillId="7" borderId="0" applyAlignment="1" pivotButton="0" quotePrefix="0" xfId="0">
      <alignment horizontal="center" vertical="center"/>
    </xf>
    <xf numFmtId="0" fontId="9" fillId="8" borderId="1" applyAlignment="1" pivotButton="0" quotePrefix="0" xfId="0">
      <alignment horizontal="left" vertical="center"/>
    </xf>
    <xf numFmtId="1" fontId="2" fillId="6" borderId="1" applyAlignment="1" pivotButton="0" quotePrefix="0" xfId="0">
      <alignment horizontal="left" vertical="center"/>
    </xf>
    <xf numFmtId="0" fontId="3" fillId="3" borderId="1" applyAlignment="1" pivotButton="0" quotePrefix="0" xfId="0">
      <alignment horizontal="center" vertical="center" wrapText="1"/>
    </xf>
    <xf numFmtId="0" fontId="10" fillId="2" borderId="1" applyAlignment="1" pivotButton="0" quotePrefix="0" xfId="0">
      <alignment horizontal="center" vertical="center"/>
    </xf>
    <xf numFmtId="1" fontId="4" fillId="4" borderId="1" applyAlignment="1" pivotButton="0" quotePrefix="0" xfId="0">
      <alignment horizontal="left" vertical="center"/>
    </xf>
    <xf numFmtId="0" fontId="3" fillId="6" borderId="1" applyAlignment="1" pivotButton="0" quotePrefix="0" xfId="0">
      <alignment horizontal="center" vertical="center"/>
    </xf>
    <xf numFmtId="0" fontId="4" fillId="9" borderId="1" applyAlignment="1" pivotButton="0" quotePrefix="0" xfId="0">
      <alignment horizontal="left" vertical="center"/>
    </xf>
    <xf numFmtId="164" fontId="4" fillId="9" borderId="1" applyAlignment="1" pivotButton="0" quotePrefix="0" xfId="0">
      <alignment horizontal="left" vertical="center"/>
    </xf>
    <xf numFmtId="1" fontId="4" fillId="9" borderId="1" applyAlignment="1" pivotButton="0" quotePrefix="0" xfId="0">
      <alignment horizontal="left" vertical="center"/>
    </xf>
    <xf numFmtId="0" fontId="11" fillId="4" borderId="0" applyAlignment="1" pivotButton="0" quotePrefix="0" xfId="0">
      <alignment horizontal="left" vertical="center"/>
    </xf>
    <xf numFmtId="0" fontId="11" fillId="9" borderId="0" applyAlignment="1" pivotButton="0" quotePrefix="0" xfId="0">
      <alignment horizontal="left" vertical="center"/>
    </xf>
    <xf numFmtId="0" fontId="3" fillId="8" borderId="2" applyAlignment="1" pivotButton="0" quotePrefix="0" xfId="0">
      <alignment horizontal="right" vertical="center"/>
    </xf>
    <xf numFmtId="0" fontId="12" fillId="4" borderId="2" applyAlignment="1" pivotButton="0" quotePrefix="0" xfId="0">
      <alignment horizontal="center" vertical="center"/>
    </xf>
    <xf numFmtId="0" fontId="2" fillId="8" borderId="2" applyAlignment="1" pivotButton="0" quotePrefix="0" xfId="0">
      <alignment horizontal="left" vertical="center"/>
    </xf>
    <xf numFmtId="0" fontId="6" fillId="8" borderId="0" applyAlignment="1" pivotButton="0" quotePrefix="0" xfId="0">
      <alignment horizontal="left" vertical="center"/>
    </xf>
    <xf numFmtId="0" fontId="6" fillId="9" borderId="0" applyAlignment="1" pivotButton="0" quotePrefix="0" xfId="0">
      <alignment horizontal="left" vertical="center"/>
    </xf>
    <xf numFmtId="0" fontId="13" fillId="3" borderId="1" applyAlignment="1" pivotButton="0" quotePrefix="0" xfId="0">
      <alignment horizontal="center" vertical="center" wrapText="1"/>
    </xf>
    <xf numFmtId="0" fontId="3" fillId="4" borderId="1" applyAlignment="1" pivotButton="0" quotePrefix="0" xfId="0">
      <alignment horizontal="center" vertical="center"/>
    </xf>
    <xf numFmtId="0" fontId="14" fillId="6" borderId="1" applyAlignment="1" pivotButton="0" quotePrefix="0" xfId="0">
      <alignment horizontal="left" vertical="center"/>
    </xf>
    <xf numFmtId="0" fontId="6" fillId="6" borderId="1" applyAlignment="1" pivotButton="0" quotePrefix="0" xfId="0">
      <alignment horizontal="left" vertical="center"/>
    </xf>
    <xf numFmtId="0" fontId="4" fillId="4" borderId="1" applyAlignment="1" pivotButton="0" quotePrefix="0" xfId="0">
      <alignment horizontal="center" vertical="center"/>
    </xf>
    <xf numFmtId="0" fontId="3" fillId="9" borderId="1" applyAlignment="1" pivotButton="0" quotePrefix="0" xfId="0">
      <alignment horizontal="center" vertical="center"/>
    </xf>
    <xf numFmtId="0" fontId="3" fillId="9" borderId="1" applyAlignment="1" pivotButton="0" quotePrefix="0" xfId="0">
      <alignment horizontal="left" vertical="center"/>
    </xf>
    <xf numFmtId="0" fontId="11" fillId="4" borderId="1" applyAlignment="1" pivotButton="0" quotePrefix="0" xfId="0">
      <alignment horizontal="left" vertical="center"/>
    </xf>
    <xf numFmtId="0" fontId="11" fillId="9" borderId="1" applyAlignment="1" pivotButton="0" quotePrefix="0" xfId="0">
      <alignment horizontal="left" vertical="center"/>
    </xf>
    <xf numFmtId="0" fontId="15" fillId="10" borderId="0" applyAlignment="1" pivotButton="0" quotePrefix="0" xfId="0">
      <alignment horizontal="center" vertical="center"/>
    </xf>
    <xf numFmtId="0" fontId="10" fillId="11" borderId="1" applyAlignment="1" pivotButton="0" quotePrefix="0" xfId="0">
      <alignment horizontal="center" vertical="center"/>
    </xf>
    <xf numFmtId="0" fontId="0" fillId="9" borderId="0" pivotButton="0" quotePrefix="0" xfId="0"/>
    <xf numFmtId="0" fontId="10" fillId="12" borderId="1" applyAlignment="1" pivotButton="0" quotePrefix="0" xfId="0">
      <alignment horizontal="center" vertical="center"/>
    </xf>
    <xf numFmtId="0" fontId="16" fillId="5" borderId="1" applyAlignment="1" pivotButton="0" quotePrefix="0" xfId="0">
      <alignment horizontal="center" vertical="center" wrapText="1"/>
    </xf>
    <xf numFmtId="0" fontId="17" fillId="9" borderId="1" applyAlignment="1" pivotButton="0" quotePrefix="0" xfId="0">
      <alignment horizontal="center" vertical="center" wrapText="1"/>
    </xf>
    <xf numFmtId="0" fontId="18" fillId="7" borderId="1" applyAlignment="1" pivotButton="0" quotePrefix="0" xfId="0">
      <alignment horizontal="center" vertical="center" wrapText="1"/>
    </xf>
    <xf numFmtId="0" fontId="19" fillId="13" borderId="3" applyAlignment="1" pivotButton="0" quotePrefix="0" xfId="0">
      <alignment horizontal="left" vertical="center"/>
    </xf>
    <xf numFmtId="0" fontId="2" fillId="6" borderId="1" applyAlignment="1" pivotButton="0" quotePrefix="0" xfId="0">
      <alignment horizontal="left" vertical="center"/>
    </xf>
    <xf numFmtId="0" fontId="20" fillId="5" borderId="1" applyAlignment="1" pivotButton="0" quotePrefix="0" xfId="0">
      <alignment horizontal="center" vertical="center"/>
    </xf>
    <xf numFmtId="0" fontId="5" fillId="5" borderId="1" applyAlignment="1" pivotButton="0" quotePrefix="0" xfId="0">
      <alignment horizontal="center" vertical="center"/>
    </xf>
    <xf numFmtId="0" fontId="21" fillId="5" borderId="1" applyAlignment="1" pivotButton="0" quotePrefix="0" xfId="0">
      <alignment horizontal="center" vertical="center"/>
    </xf>
    <xf numFmtId="0" fontId="22" fillId="7" borderId="1" applyAlignment="1" pivotButton="0" quotePrefix="0" xfId="0">
      <alignment horizontal="center" vertical="center"/>
    </xf>
    <xf numFmtId="0" fontId="8" fillId="7" borderId="1" applyAlignment="1" pivotButton="0" quotePrefix="0" xfId="0">
      <alignment horizontal="center" vertical="center"/>
    </xf>
    <xf numFmtId="0" fontId="23" fillId="7" borderId="1" applyAlignment="1" pivotButton="0" quotePrefix="0" xfId="0">
      <alignment horizontal="center" vertical="center"/>
    </xf>
    <xf numFmtId="0" fontId="6" fillId="9" borderId="4" applyAlignment="1" pivotButton="0" quotePrefix="0" xfId="0">
      <alignment horizontal="left" vertical="center"/>
    </xf>
    <xf numFmtId="0" fontId="3" fillId="3" borderId="1" applyAlignment="1" pivotButton="0" quotePrefix="0" xfId="0">
      <alignment horizontal="center" vertical="center"/>
    </xf>
    <xf numFmtId="0" fontId="24" fillId="6" borderId="1" applyAlignment="1" pivotButton="0" quotePrefix="0" xfId="0">
      <alignment horizontal="center" vertical="center"/>
    </xf>
    <xf numFmtId="0" fontId="4" fillId="9" borderId="1" applyAlignment="1" pivotButton="0" quotePrefix="0" xfId="0">
      <alignment horizontal="center" vertical="center"/>
    </xf>
    <xf numFmtId="0" fontId="6" fillId="6" borderId="4" applyAlignment="1" pivotButton="0" quotePrefix="0" xfId="0">
      <alignment horizontal="left" vertical="center"/>
    </xf>
  </cellXfs>
  <cellStyles count="1">
    <cellStyle name="Normal" xfId="0" builtinId="0" hidden="0"/>
  </cellStyles>
  <dxfs count="1">
    <dxf>
      <fill>
        <patternFill patternType="solid">
          <fgColor rgb="00FAF0F0"/>
          <bgColor rgb="00FAF0F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E8282"/>
    <outlinePr summaryBelow="1" summaryRight="1"/>
    <pageSetUpPr/>
  </sheetPr>
  <dimension ref="A1:J45"/>
  <sheetViews>
    <sheetView workbookViewId="0">
      <selection activeCell="A1" sqref="A1"/>
    </sheetView>
  </sheetViews>
  <sheetFormatPr baseColWidth="8" defaultRowHeight="15"/>
  <cols>
    <col width="4" customWidth="1" min="1" max="1"/>
    <col width="28" customWidth="1" min="2" max="2"/>
    <col width="20" customWidth="1" min="3" max="3"/>
    <col width="14" customWidth="1" min="4" max="4"/>
    <col width="14" customWidth="1" min="5" max="5"/>
    <col width="14" customWidth="1" min="6" max="6"/>
    <col width="14" customWidth="1" min="7" max="7"/>
    <col width="20" customWidth="1" min="8" max="8"/>
    <col width="14" customWidth="1" min="9" max="9"/>
    <col width="14" customWidth="1" min="10" max="10"/>
  </cols>
  <sheetData>
    <row r="1" ht="44" customHeight="1">
      <c r="A1" s="1" t="inlineStr">
        <is>
          <t>Homeschool Curriculum Planner</t>
        </is>
      </c>
    </row>
    <row r="2" ht="22" customHeight="1">
      <c r="A2" s="2" t="inlineStr">
        <is>
          <t>Getting Started  ·  School &amp; Student Information</t>
        </is>
      </c>
    </row>
    <row r="3" ht="8" customHeight="1"/>
    <row r="4" ht="20" customHeight="1">
      <c r="B4" s="3" t="inlineStr">
        <is>
          <t>SCHOOL YEAR SETTINGS</t>
        </is>
      </c>
    </row>
    <row r="5" ht="20" customHeight="1">
      <c r="B5" s="4" t="inlineStr">
        <is>
          <t>School Name:</t>
        </is>
      </c>
      <c r="C5" s="5" t="inlineStr">
        <is>
          <t>Westfield Academy</t>
        </is>
      </c>
    </row>
    <row r="6" ht="20" customHeight="1">
      <c r="B6" s="4" t="inlineStr">
        <is>
          <t>School Year:</t>
        </is>
      </c>
      <c r="C6" s="5" t="inlineStr">
        <is>
          <t>2025-2026</t>
        </is>
      </c>
    </row>
    <row r="7" ht="20" customHeight="1">
      <c r="B7" s="4" t="inlineStr">
        <is>
          <t>School Days / Week:</t>
        </is>
      </c>
      <c r="C7" s="5" t="n">
        <v>5</v>
      </c>
    </row>
    <row r="8" ht="8" customHeight="1"/>
    <row r="9" ht="20" customHeight="1">
      <c r="B9" s="6" t="inlineStr">
        <is>
          <t>Semester 1  ·  September – December</t>
        </is>
      </c>
    </row>
    <row r="10" ht="20" customHeight="1">
      <c r="B10" s="4" t="inlineStr">
        <is>
          <t>Sem 1 Start Date:</t>
        </is>
      </c>
      <c r="C10" s="7" t="n"/>
      <c r="G10" s="8" t="inlineStr">
        <is>
          <t>← MM/DD/YYYY</t>
        </is>
      </c>
    </row>
    <row r="11" ht="20" customHeight="1">
      <c r="B11" s="4" t="inlineStr">
        <is>
          <t>Sem 1 End Date:</t>
        </is>
      </c>
      <c r="C11" s="7" t="n"/>
      <c r="G11" s="8" t="inlineStr">
        <is>
          <t>← MM/DD/YYYY</t>
        </is>
      </c>
    </row>
    <row r="12" ht="20" customHeight="1">
      <c r="B12" s="9" t="inlineStr">
        <is>
          <t>Sem 1 Break Start:</t>
        </is>
      </c>
      <c r="C12" s="7" t="n"/>
      <c r="G12" s="8" t="inlineStr">
        <is>
          <t>← optional  (e.g. Thanksgiving)</t>
        </is>
      </c>
    </row>
    <row r="13" ht="20" customHeight="1">
      <c r="B13" s="9" t="inlineStr">
        <is>
          <t>Sem 1 Break End:</t>
        </is>
      </c>
      <c r="C13" s="7" t="n"/>
      <c r="G13" s="8" t="inlineStr">
        <is>
          <t>← optional</t>
        </is>
      </c>
    </row>
    <row r="14" ht="20" customHeight="1">
      <c r="B14" s="4" t="inlineStr">
        <is>
          <t>Sem 1 Break Weeks:</t>
        </is>
      </c>
      <c r="C14" s="10">
        <f>IFERROR(IF(OR(C12="",C13=""),0,ROUNDDOWN((C13-C12)/7,0)),0)</f>
        <v/>
      </c>
      <c r="G14" s="8" t="inlineStr">
        <is>
          <t>← auto</t>
        </is>
      </c>
    </row>
    <row r="15" ht="20" customHeight="1">
      <c r="B15" s="4" t="inlineStr">
        <is>
          <t>Sem 1 School Weeks:</t>
        </is>
      </c>
      <c r="C15" s="10">
        <f>IFERROR(ROUNDDOWN((C11-C10)/7,0)-C14,"")</f>
        <v/>
      </c>
      <c r="G15" s="8" t="inlineStr">
        <is>
          <t>← auto  (total minus break)</t>
        </is>
      </c>
    </row>
    <row r="16" ht="8" customHeight="1"/>
    <row r="17" ht="20" customHeight="1">
      <c r="B17" s="11" t="inlineStr">
        <is>
          <t>Semester 2  ·  January – May</t>
        </is>
      </c>
    </row>
    <row r="18" ht="20" customHeight="1">
      <c r="B18" s="4" t="inlineStr">
        <is>
          <t>Sem 2 Start Date:</t>
        </is>
      </c>
      <c r="C18" s="7" t="n"/>
      <c r="G18" s="8" t="inlineStr">
        <is>
          <t>← MM/DD/YYYY</t>
        </is>
      </c>
    </row>
    <row r="19" ht="20" customHeight="1">
      <c r="B19" s="4" t="inlineStr">
        <is>
          <t>Sem 2 End Date:</t>
        </is>
      </c>
      <c r="C19" s="7" t="n"/>
      <c r="G19" s="8" t="inlineStr">
        <is>
          <t>← MM/DD/YYYY</t>
        </is>
      </c>
    </row>
    <row r="20" ht="20" customHeight="1">
      <c r="B20" s="9" t="inlineStr">
        <is>
          <t>Sem 2 Break Start:</t>
        </is>
      </c>
      <c r="C20" s="7" t="n"/>
      <c r="G20" s="8" t="inlineStr">
        <is>
          <t>← optional  (e.g. Spring / Easter)</t>
        </is>
      </c>
    </row>
    <row r="21" ht="20" customHeight="1">
      <c r="B21" s="9" t="inlineStr">
        <is>
          <t>Sem 2 Break End:</t>
        </is>
      </c>
      <c r="C21" s="7" t="n"/>
      <c r="G21" s="8" t="inlineStr">
        <is>
          <t>← optional</t>
        </is>
      </c>
    </row>
    <row r="22" ht="20" customHeight="1">
      <c r="B22" s="4" t="inlineStr">
        <is>
          <t>Sem 2 Break Weeks:</t>
        </is>
      </c>
      <c r="C22" s="10">
        <f>IFERROR(IF(OR(C20="",C21=""),0,ROUNDDOWN((C21-C20)/7,0)),0)</f>
        <v/>
      </c>
      <c r="G22" s="8" t="inlineStr">
        <is>
          <t>← auto</t>
        </is>
      </c>
    </row>
    <row r="23" ht="20" customHeight="1">
      <c r="B23" s="4" t="inlineStr">
        <is>
          <t>Sem 2 School Weeks:</t>
        </is>
      </c>
      <c r="C23" s="10">
        <f>IFERROR(ROUNDDOWN((C19-C18)/7,0)-C22,"")</f>
        <v/>
      </c>
      <c r="G23" s="8" t="inlineStr">
        <is>
          <t>← auto  (total minus break)</t>
        </is>
      </c>
    </row>
    <row r="24" ht="8" customHeight="1"/>
    <row r="25" ht="20" customHeight="1">
      <c r="B25" s="12" t="inlineStr">
        <is>
          <t>Total School Weeks:</t>
        </is>
      </c>
      <c r="C25" s="13">
        <f>IFERROR(C15+C23,"")</f>
        <v/>
      </c>
      <c r="G25" s="8" t="inlineStr">
        <is>
          <t>← Sem 1 + Sem 2 (breaks excluded)</t>
        </is>
      </c>
    </row>
    <row r="26" ht="8" customHeight="1"/>
    <row r="27" ht="20" customHeight="1">
      <c r="A27" s="3" t="inlineStr">
        <is>
          <t>STUDENT ROSTER</t>
        </is>
      </c>
    </row>
    <row r="28" ht="30" customHeight="1">
      <c r="A28" s="14" t="inlineStr">
        <is>
          <t>#</t>
        </is>
      </c>
      <c r="B28" s="14" t="inlineStr">
        <is>
          <t>Student Name</t>
        </is>
      </c>
      <c r="D28" s="14" t="inlineStr">
        <is>
          <t>Date of Birth</t>
        </is>
      </c>
      <c r="E28" s="14" t="inlineStr">
        <is>
          <t>Class of
(Grad Year)</t>
        </is>
      </c>
      <c r="F28" s="14" t="inlineStr">
        <is>
          <t>Grade
(Auto)</t>
        </is>
      </c>
      <c r="G28" s="14" t="inlineStr">
        <is>
          <t>Curriculum Notes</t>
        </is>
      </c>
      <c r="J28" s="14" t="inlineStr"/>
    </row>
    <row r="29" ht="22" customHeight="1">
      <c r="A29" s="15" t="n">
        <v>1</v>
      </c>
      <c r="B29" s="5" t="n"/>
      <c r="D29" s="7" t="n"/>
      <c r="E29" s="16" t="n"/>
      <c r="F29" s="17">
        <f>IF(OR(B29="",E29=""),"",LET(yr,IF($C$19&lt;&gt;"",YEAR($C$19),IF($C$6&lt;&gt;"",VALUE(RIGHT($C$6,4)),YEAR(TODAY()))),g,12-(E29-yr),IF(g=11,"11th",IF(g=12,"12th",IF(g=1,"1st",IF(g=2,"2nd",IF(g=3,"3rd",g&amp;"th")))))))</f>
        <v/>
      </c>
      <c r="G29" s="5" t="n"/>
    </row>
    <row r="30" ht="22" customHeight="1">
      <c r="A30" s="15" t="n">
        <v>2</v>
      </c>
      <c r="B30" s="18" t="n"/>
      <c r="D30" s="19" t="n"/>
      <c r="E30" s="20" t="n"/>
      <c r="F30" s="17">
        <f>IF(OR(B30="",E30=""),"",LET(yr,IF($C$19&lt;&gt;"",YEAR($C$19),IF($C$6&lt;&gt;"",VALUE(RIGHT($C$6,4)),YEAR(TODAY()))),g,12-(E30-yr),IF(g=11,"11th",IF(g=12,"12th",IF(g=1,"1st",IF(g=2,"2nd",IF(g=3,"3rd",g&amp;"th")))))))</f>
        <v/>
      </c>
      <c r="G30" s="18" t="n"/>
    </row>
    <row r="31" ht="22" customHeight="1">
      <c r="A31" s="15" t="n">
        <v>3</v>
      </c>
      <c r="B31" s="5" t="n"/>
      <c r="D31" s="7" t="n"/>
      <c r="E31" s="16" t="n"/>
      <c r="F31" s="17">
        <f>IF(OR(B31="",E31=""),"",LET(yr,IF($C$19&lt;&gt;"",YEAR($C$19),IF($C$6&lt;&gt;"",VALUE(RIGHT($C$6,4)),YEAR(TODAY()))),g,12-(E31-yr),IF(g=11,"11th",IF(g=12,"12th",IF(g=1,"1st",IF(g=2,"2nd",IF(g=3,"3rd",g&amp;"th")))))))</f>
        <v/>
      </c>
      <c r="G31" s="5" t="n"/>
    </row>
    <row r="32" ht="22" customHeight="1">
      <c r="A32" s="15" t="n">
        <v>4</v>
      </c>
      <c r="B32" s="18" t="n"/>
      <c r="D32" s="19" t="n"/>
      <c r="E32" s="20" t="n"/>
      <c r="F32" s="17">
        <f>IF(OR(B32="",E32=""),"",LET(yr,IF($C$19&lt;&gt;"",YEAR($C$19),IF($C$6&lt;&gt;"",VALUE(RIGHT($C$6,4)),YEAR(TODAY()))),g,12-(E32-yr),IF(g=11,"11th",IF(g=12,"12th",IF(g=1,"1st",IF(g=2,"2nd",IF(g=3,"3rd",g&amp;"th")))))))</f>
        <v/>
      </c>
      <c r="G32" s="18" t="n"/>
    </row>
    <row r="33" ht="8" customHeight="1">
      <c r="A33" s="15" t="n">
        <v>5</v>
      </c>
      <c r="B33" s="5" t="n"/>
      <c r="D33" s="7" t="n"/>
      <c r="E33" s="16" t="n"/>
      <c r="F33" s="17">
        <f>IF(OR(B33="",E33=""),"",LET(yr,IF($C$19&lt;&gt;"",YEAR($C$19),IF($C$6&lt;&gt;"",VALUE(RIGHT($C$6,4)),YEAR(TODAY()))),g,12-(E33-yr),IF(g=11,"11th",IF(g=12,"12th",IF(g=1,"1st",IF(g=2,"2nd",IF(g=3,"3rd",g&amp;"th")))))))</f>
        <v/>
      </c>
      <c r="G33" s="5" t="n"/>
    </row>
    <row r="34" ht="22" customHeight="1">
      <c r="A34" s="15" t="n">
        <v>6</v>
      </c>
      <c r="B34" s="18" t="n"/>
      <c r="D34" s="19" t="n"/>
      <c r="E34" s="20" t="n"/>
      <c r="F34" s="17">
        <f>IF(OR(B34="",E34=""),"",LET(yr,IF($C$19&lt;&gt;"",YEAR($C$19),IF($C$6&lt;&gt;"",VALUE(RIGHT($C$6,4)),YEAR(TODAY()))),g,12-(E34-yr),IF(g=11,"11th",IF(g=12,"12th",IF(g=1,"1st",IF(g=2,"2nd",IF(g=3,"3rd",g&amp;"th")))))))</f>
        <v/>
      </c>
      <c r="G34" s="18" t="n"/>
    </row>
    <row r="35" ht="22" customHeight="1">
      <c r="A35" s="15" t="n">
        <v>7</v>
      </c>
      <c r="B35" s="5" t="n"/>
      <c r="D35" s="7" t="n"/>
      <c r="E35" s="16" t="n"/>
      <c r="F35" s="17">
        <f>IF(OR(B35="",E35=""),"",LET(yr,IF($C$19&lt;&gt;"",YEAR($C$19),IF($C$6&lt;&gt;"",VALUE(RIGHT($C$6,4)),YEAR(TODAY()))),g,12-(E35-yr),IF(g=11,"11th",IF(g=12,"12th",IF(g=1,"1st",IF(g=2,"2nd",IF(g=3,"3rd",g&amp;"th")))))))</f>
        <v/>
      </c>
      <c r="G35" s="5" t="n"/>
    </row>
    <row r="36" ht="22" customHeight="1">
      <c r="A36" s="15" t="n">
        <v>8</v>
      </c>
      <c r="B36" s="18" t="n"/>
      <c r="D36" s="19" t="n"/>
      <c r="E36" s="20" t="n"/>
      <c r="F36" s="17">
        <f>IF(OR(B36="",E36=""),"",LET(yr,IF($C$19&lt;&gt;"",YEAR($C$19),IF($C$6&lt;&gt;"",VALUE(RIGHT($C$6,4)),YEAR(TODAY()))),g,12-(E36-yr),IF(g=11,"11th",IF(g=12,"12th",IF(g=1,"1st",IF(g=2,"2nd",IF(g=3,"3rd",g&amp;"th")))))))</f>
        <v/>
      </c>
      <c r="G36" s="18" t="n"/>
    </row>
    <row r="37" ht="22" customHeight="1">
      <c r="A37" s="15" t="n">
        <v>9</v>
      </c>
      <c r="B37" s="5" t="n"/>
      <c r="D37" s="7" t="n"/>
      <c r="E37" s="16" t="n"/>
      <c r="F37" s="17">
        <f>IF(OR(B37="",E37=""),"",LET(yr,IF($C$19&lt;&gt;"",YEAR($C$19),IF($C$6&lt;&gt;"",VALUE(RIGHT($C$6,4)),YEAR(TODAY()))),g,12-(E37-yr),IF(g=11,"11th",IF(g=12,"12th",IF(g=1,"1st",IF(g=2,"2nd",IF(g=3,"3rd",g&amp;"th")))))))</f>
        <v/>
      </c>
      <c r="G37" s="5" t="n"/>
    </row>
    <row r="38" ht="22" customHeight="1">
      <c r="A38" s="15" t="n">
        <v>10</v>
      </c>
      <c r="B38" s="18" t="n"/>
      <c r="D38" s="19" t="n"/>
      <c r="E38" s="20" t="n"/>
      <c r="F38" s="17">
        <f>IF(OR(B38="",E38=""),"",LET(yr,IF($C$19&lt;&gt;"",YEAR($C$19),IF($C$6&lt;&gt;"",VALUE(RIGHT($C$6,4)),YEAR(TODAY()))),g,12-(E38-yr),IF(g=11,"11th",IF(g=12,"12th",IF(g=1,"1st",IF(g=2,"2nd",IF(g=3,"3rd",g&amp;"th")))))))</f>
        <v/>
      </c>
      <c r="G38" s="18" t="n"/>
    </row>
    <row r="40" ht="20" customHeight="1">
      <c r="A40" s="3" t="inlineStr">
        <is>
          <t>QUICK START GUIDE</t>
        </is>
      </c>
    </row>
    <row r="41" ht="18" customHeight="1">
      <c r="A41" s="21" t="inlineStr">
        <is>
          <t>1.  Set semester dates above (Sem 1 and Sem 2) — week counts auto-calculate.</t>
        </is>
      </c>
    </row>
    <row r="42" ht="18" customHeight="1">
      <c r="A42" s="22" t="inlineStr">
        <is>
          <t>2.  Enter each student's name, DOB, and graduation year — grade fills automatically.</t>
        </is>
      </c>
    </row>
    <row r="43" ht="18" customHeight="1">
      <c r="A43" s="21" t="inlineStr">
        <is>
          <t>3.  Go to the  Course Content  tab to assign curricula to each student.</t>
        </is>
      </c>
    </row>
    <row r="44" ht="18" customHeight="1">
      <c r="A44" s="22" t="inlineStr">
        <is>
          <t>4.  Each student's tab auto-populates pace calculations from Course Content.</t>
        </is>
      </c>
    </row>
    <row r="45" ht="18" customHeight="1">
      <c r="A45" s="21" t="inlineStr">
        <is>
          <t>5.  Yellow cells = type here.   Cream/tinted cells = formulas, leave them alone.</t>
        </is>
      </c>
    </row>
  </sheetData>
  <mergeCells count="63">
    <mergeCell ref="C23:F23"/>
    <mergeCell ref="G28:I28"/>
    <mergeCell ref="G35:J35"/>
    <mergeCell ref="G20:J20"/>
    <mergeCell ref="A42:J42"/>
    <mergeCell ref="C7:F7"/>
    <mergeCell ref="B17:J17"/>
    <mergeCell ref="G29:J29"/>
    <mergeCell ref="A43:J43"/>
    <mergeCell ref="B31:C31"/>
    <mergeCell ref="G25:J25"/>
    <mergeCell ref="C19:F19"/>
    <mergeCell ref="G32:J32"/>
    <mergeCell ref="C13:F13"/>
    <mergeCell ref="A44:J44"/>
    <mergeCell ref="C18:F18"/>
    <mergeCell ref="G22:J22"/>
    <mergeCell ref="G31:J31"/>
    <mergeCell ref="A40:J40"/>
    <mergeCell ref="G12:J12"/>
    <mergeCell ref="C6:F6"/>
    <mergeCell ref="B9:J9"/>
    <mergeCell ref="G21:J21"/>
    <mergeCell ref="C15:F15"/>
    <mergeCell ref="G11:J11"/>
    <mergeCell ref="C5:F5"/>
    <mergeCell ref="C14:F14"/>
    <mergeCell ref="G36:J36"/>
    <mergeCell ref="A1:J1"/>
    <mergeCell ref="B38:C38"/>
    <mergeCell ref="A45:J45"/>
    <mergeCell ref="B29:C29"/>
    <mergeCell ref="G23:J23"/>
    <mergeCell ref="G33:J33"/>
    <mergeCell ref="C20:F20"/>
    <mergeCell ref="B34:C34"/>
    <mergeCell ref="B37:C37"/>
    <mergeCell ref="B28:C28"/>
    <mergeCell ref="G38:J38"/>
    <mergeCell ref="B4:J4"/>
    <mergeCell ref="C25:F25"/>
    <mergeCell ref="C10:F10"/>
    <mergeCell ref="G19:J19"/>
    <mergeCell ref="G37:J37"/>
    <mergeCell ref="A41:J41"/>
    <mergeCell ref="G10:J10"/>
    <mergeCell ref="C22:F22"/>
    <mergeCell ref="G13:J13"/>
    <mergeCell ref="B30:C30"/>
    <mergeCell ref="G18:J18"/>
    <mergeCell ref="B33:C33"/>
    <mergeCell ref="A27:J27"/>
    <mergeCell ref="C12:F12"/>
    <mergeCell ref="G34:J34"/>
    <mergeCell ref="C21:F21"/>
    <mergeCell ref="B36:C36"/>
    <mergeCell ref="G30:J30"/>
    <mergeCell ref="B32:C32"/>
    <mergeCell ref="C11:F11"/>
    <mergeCell ref="A2:J2"/>
    <mergeCell ref="G15:J15"/>
    <mergeCell ref="B35:C35"/>
    <mergeCell ref="G14:J14"/>
  </mergeCells>
  <dataValidations count="2">
    <dataValidation sqref="C10:F10 C11:F11 C12:F12 C13:F13" showDropDown="0" showInputMessage="0" showErrorMessage="0" allowBlank="0" type="date" operator="between">
      <formula1>DATE(2000,1,1)</formula1>
      <formula2>DATE(2099,12,31)</formula2>
    </dataValidation>
    <dataValidation sqref="C18:F18 C19:F19 C20:F20 C21:F21" showDropDown="0" showInputMessage="0" showErrorMessage="0" allowBlank="0" type="date" operator="between">
      <formula1>DATE(2000,1,1)</formula1>
      <formula2>DATE(2099,12,31)</formula2>
    </dataValidation>
  </dataValidations>
  <pageMargins left="0.75" right="0.75" top="1" bottom="1" header="0.5" footer="0.5"/>
</worksheet>
</file>

<file path=xl/worksheets/sheet2.xml><?xml version="1.0" encoding="utf-8"?>
<worksheet xmlns="http://schemas.openxmlformats.org/spreadsheetml/2006/main">
  <sheetPr>
    <tabColor rgb="00A08878"/>
    <outlinePr summaryBelow="1" summaryRight="1"/>
    <pageSetUpPr/>
  </sheetPr>
  <dimension ref="A1:I147"/>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5" customWidth="1" min="1" max="1"/>
    <col width="20" customWidth="1" min="2" max="2"/>
    <col width="28" customWidth="1" min="3" max="3"/>
    <col width="18" customWidth="1" min="4" max="4"/>
    <col width="34" customWidth="1" min="5" max="5"/>
    <col width="12" customWidth="1" min="6" max="6"/>
    <col width="11" customWidth="1" min="7" max="7"/>
    <col width="11" customWidth="1" min="8" max="8"/>
    <col width="32" customWidth="1" min="9" max="9"/>
    <col width="4" customWidth="1" min="10" max="10"/>
  </cols>
  <sheetData>
    <row r="1" ht="40" customHeight="1">
      <c r="A1" s="1" t="inlineStr">
        <is>
          <t>Course Content  ·  Curriculum Planning Hub</t>
        </is>
      </c>
    </row>
    <row r="2" ht="20" customHeight="1">
      <c r="A2" s="3" t="inlineStr">
        <is>
          <t>Enter each student's curricula here. Use the  View Student  filter below to focus on one student at a time.</t>
        </is>
      </c>
    </row>
    <row r="3" ht="8" customHeight="1"/>
    <row r="4" ht="22" customHeight="1">
      <c r="A4" s="23" t="inlineStr">
        <is>
          <t>View / Filter Student:</t>
        </is>
      </c>
      <c r="C4" s="24" t="n">
        <v>1</v>
      </c>
      <c r="D4" s="25">
        <f>IFERROR("→  "&amp;CHOOSE(C4,'Getting Started'!B29,'Getting Started'!B30,'Getting Started'!B31,'Getting Started'!B32,'Getting Started'!B33,'Getting Started'!B34,'Getting Started'!B35,'Getting Started'!B36,'Getting Started'!B37,'Getting Started'!B38),"→")</f>
        <v/>
      </c>
      <c r="F4" s="26" t="inlineStr">
        <is>
          <t>Rows highlighted in pink = selected student's courses.</t>
        </is>
      </c>
    </row>
    <row r="5" ht="8" customHeight="1"/>
    <row r="6" ht="16" customHeight="1">
      <c r="A6" s="27" t="inlineStr">
        <is>
          <t xml:space="preserve">  Tip: Use the column filter arrows (▼) to show only one student's rows.  Yellow cells = type here.  All other cells are locked formulas.</t>
        </is>
      </c>
    </row>
    <row r="7" ht="28" customHeight="1">
      <c r="A7" s="28" t="inlineStr">
        <is>
          <t>Std
#</t>
        </is>
      </c>
      <c r="B7" s="28" t="inlineStr">
        <is>
          <t>Student Name</t>
        </is>
      </c>
      <c r="C7" s="28" t="inlineStr">
        <is>
          <t>Subject</t>
        </is>
      </c>
      <c r="D7" s="28" t="inlineStr">
        <is>
          <t>Custom Name
(Electives)</t>
        </is>
      </c>
      <c r="E7" s="28" t="inlineStr">
        <is>
          <t>Curriculum / Book Title</t>
        </is>
      </c>
      <c r="F7" s="28" t="inlineStr">
        <is>
          <t>Unit
Type</t>
        </is>
      </c>
      <c r="G7" s="28" t="inlineStr">
        <is>
          <t>Semester 1
Units</t>
        </is>
      </c>
      <c r="H7" s="28" t="inlineStr">
        <is>
          <t>Semester 2
Units</t>
        </is>
      </c>
      <c r="I7" s="28" t="inlineStr">
        <is>
          <t>Notes</t>
        </is>
      </c>
    </row>
    <row r="8" ht="20" customHeight="1">
      <c r="A8" s="29" t="n">
        <v>1</v>
      </c>
      <c r="B8" s="30">
        <f>'Getting Started'!B29</f>
        <v/>
      </c>
      <c r="C8" s="4" t="inlineStr">
        <is>
          <t>Bible</t>
        </is>
      </c>
      <c r="D8" s="31" t="inlineStr">
        <is>
          <t>—</t>
        </is>
      </c>
      <c r="E8" s="5" t="n"/>
      <c r="F8" s="32" t="inlineStr">
        <is>
          <t>pages</t>
        </is>
      </c>
      <c r="G8" s="32" t="n"/>
      <c r="H8" s="32" t="n"/>
      <c r="I8" s="5" t="n"/>
    </row>
    <row r="9" ht="20" customHeight="1">
      <c r="A9" s="33" t="n">
        <v>1</v>
      </c>
      <c r="B9" s="30">
        <f>'Getting Started'!B29</f>
        <v/>
      </c>
      <c r="C9" s="34" t="inlineStr">
        <is>
          <t>Math</t>
        </is>
      </c>
      <c r="D9" s="31" t="inlineStr">
        <is>
          <t>—</t>
        </is>
      </c>
      <c r="E9" s="5" t="n"/>
      <c r="F9" s="32" t="inlineStr">
        <is>
          <t>pages</t>
        </is>
      </c>
      <c r="G9" s="32" t="n"/>
      <c r="H9" s="32" t="n"/>
      <c r="I9" s="5" t="n"/>
    </row>
    <row r="10" ht="20" customHeight="1">
      <c r="A10" s="29" t="n">
        <v>1</v>
      </c>
      <c r="B10" s="30">
        <f>'Getting Started'!B29</f>
        <v/>
      </c>
      <c r="C10" s="4" t="inlineStr">
        <is>
          <t>English / Language Arts</t>
        </is>
      </c>
      <c r="D10" s="31" t="inlineStr">
        <is>
          <t>—</t>
        </is>
      </c>
      <c r="E10" s="5" t="n"/>
      <c r="F10" s="32" t="inlineStr">
        <is>
          <t>pages</t>
        </is>
      </c>
      <c r="G10" s="32" t="n"/>
      <c r="H10" s="32" t="n"/>
      <c r="I10" s="5" t="n"/>
    </row>
    <row r="11" ht="20" customHeight="1">
      <c r="A11" s="33" t="n">
        <v>1</v>
      </c>
      <c r="B11" s="30">
        <f>'Getting Started'!B29</f>
        <v/>
      </c>
      <c r="C11" s="34" t="inlineStr">
        <is>
          <t>Reading</t>
        </is>
      </c>
      <c r="D11" s="31" t="inlineStr">
        <is>
          <t>—</t>
        </is>
      </c>
      <c r="E11" s="5" t="n"/>
      <c r="F11" s="32" t="inlineStr">
        <is>
          <t>pages</t>
        </is>
      </c>
      <c r="G11" s="32" t="n"/>
      <c r="H11" s="32" t="n"/>
      <c r="I11" s="5" t="n"/>
    </row>
    <row r="12" ht="20" customHeight="1">
      <c r="A12" s="29" t="n">
        <v>1</v>
      </c>
      <c r="B12" s="30">
        <f>'Getting Started'!B29</f>
        <v/>
      </c>
      <c r="C12" s="4" t="inlineStr">
        <is>
          <t>Writing / Composition</t>
        </is>
      </c>
      <c r="D12" s="31" t="inlineStr">
        <is>
          <t>—</t>
        </is>
      </c>
      <c r="E12" s="5" t="n"/>
      <c r="F12" s="32" t="inlineStr">
        <is>
          <t>pages</t>
        </is>
      </c>
      <c r="G12" s="32" t="n"/>
      <c r="H12" s="32" t="n"/>
      <c r="I12" s="5" t="n"/>
    </row>
    <row r="13" ht="20" customHeight="1">
      <c r="A13" s="33" t="n">
        <v>1</v>
      </c>
      <c r="B13" s="30">
        <f>'Getting Started'!B29</f>
        <v/>
      </c>
      <c r="C13" s="34" t="inlineStr">
        <is>
          <t>Science</t>
        </is>
      </c>
      <c r="D13" s="31" t="inlineStr">
        <is>
          <t>—</t>
        </is>
      </c>
      <c r="E13" s="5" t="n"/>
      <c r="F13" s="32" t="inlineStr">
        <is>
          <t>pages</t>
        </is>
      </c>
      <c r="G13" s="32" t="n"/>
      <c r="H13" s="32" t="n"/>
      <c r="I13" s="5" t="n"/>
    </row>
    <row r="14" ht="20" customHeight="1">
      <c r="A14" s="29" t="n">
        <v>1</v>
      </c>
      <c r="B14" s="30">
        <f>'Getting Started'!B29</f>
        <v/>
      </c>
      <c r="C14" s="4" t="inlineStr">
        <is>
          <t>Social Studies / History</t>
        </is>
      </c>
      <c r="D14" s="31" t="inlineStr">
        <is>
          <t>—</t>
        </is>
      </c>
      <c r="E14" s="5" t="n"/>
      <c r="F14" s="32" t="inlineStr">
        <is>
          <t>pages</t>
        </is>
      </c>
      <c r="G14" s="32" t="n"/>
      <c r="H14" s="32" t="n"/>
      <c r="I14" s="5" t="n"/>
    </row>
    <row r="15" ht="20" customHeight="1">
      <c r="A15" s="33" t="n">
        <v>1</v>
      </c>
      <c r="B15" s="30">
        <f>'Getting Started'!B29</f>
        <v/>
      </c>
      <c r="C15" s="34" t="inlineStr">
        <is>
          <t>Health</t>
        </is>
      </c>
      <c r="D15" s="31" t="inlineStr">
        <is>
          <t>—</t>
        </is>
      </c>
      <c r="E15" s="5" t="n"/>
      <c r="F15" s="32" t="inlineStr">
        <is>
          <t>pages</t>
        </is>
      </c>
      <c r="G15" s="32" t="n"/>
      <c r="H15" s="32" t="n"/>
      <c r="I15" s="5" t="n"/>
    </row>
    <row r="16" ht="20" customHeight="1">
      <c r="A16" s="29" t="n">
        <v>1</v>
      </c>
      <c r="B16" s="30">
        <f>'Getting Started'!B29</f>
        <v/>
      </c>
      <c r="C16" s="4" t="inlineStr">
        <is>
          <t>Physical Education</t>
        </is>
      </c>
      <c r="D16" s="31" t="inlineStr">
        <is>
          <t>—</t>
        </is>
      </c>
      <c r="E16" s="5" t="n"/>
      <c r="F16" s="32" t="inlineStr">
        <is>
          <t>pages</t>
        </is>
      </c>
      <c r="G16" s="32" t="n"/>
      <c r="H16" s="32" t="n"/>
      <c r="I16" s="5" t="n"/>
    </row>
    <row r="17" ht="20" customHeight="1">
      <c r="A17" s="33" t="n">
        <v>1</v>
      </c>
      <c r="B17" s="30">
        <f>'Getting Started'!B29</f>
        <v/>
      </c>
      <c r="C17" s="34" t="inlineStr">
        <is>
          <t>Art / Music</t>
        </is>
      </c>
      <c r="D17" s="31" t="inlineStr">
        <is>
          <t>—</t>
        </is>
      </c>
      <c r="E17" s="5" t="n"/>
      <c r="F17" s="32" t="inlineStr">
        <is>
          <t>pages</t>
        </is>
      </c>
      <c r="G17" s="32" t="n"/>
      <c r="H17" s="32" t="n"/>
      <c r="I17" s="5" t="n"/>
    </row>
    <row r="18" ht="20" customHeight="1">
      <c r="A18" s="29" t="n">
        <v>1</v>
      </c>
      <c r="B18" s="30">
        <f>'Getting Started'!B29</f>
        <v/>
      </c>
      <c r="C18" s="35" t="inlineStr">
        <is>
          <t>Elective / Other 1</t>
        </is>
      </c>
      <c r="D18" s="5" t="n"/>
      <c r="E18" s="5" t="n"/>
      <c r="F18" s="32" t="inlineStr">
        <is>
          <t>pages</t>
        </is>
      </c>
      <c r="G18" s="32" t="n"/>
      <c r="H18" s="32" t="n"/>
      <c r="I18" s="5" t="n"/>
    </row>
    <row r="19" ht="20" customHeight="1">
      <c r="A19" s="33" t="n">
        <v>1</v>
      </c>
      <c r="B19" s="30">
        <f>'Getting Started'!B29</f>
        <v/>
      </c>
      <c r="C19" s="36" t="inlineStr">
        <is>
          <t>Elective / Other 2</t>
        </is>
      </c>
      <c r="D19" s="5" t="n"/>
      <c r="E19" s="5" t="n"/>
      <c r="F19" s="32" t="inlineStr">
        <is>
          <t>pages</t>
        </is>
      </c>
      <c r="G19" s="32" t="n"/>
      <c r="H19" s="32" t="n"/>
      <c r="I19" s="5" t="n"/>
    </row>
    <row r="20" ht="20" customHeight="1">
      <c r="A20" s="29" t="n">
        <v>1</v>
      </c>
      <c r="B20" s="30">
        <f>'Getting Started'!B29</f>
        <v/>
      </c>
      <c r="C20" s="35" t="inlineStr">
        <is>
          <t>Elective / Other 3</t>
        </is>
      </c>
      <c r="D20" s="5" t="n"/>
      <c r="E20" s="5" t="n"/>
      <c r="F20" s="32" t="inlineStr">
        <is>
          <t>pages</t>
        </is>
      </c>
      <c r="G20" s="32" t="n"/>
      <c r="H20" s="32" t="n"/>
      <c r="I20" s="5" t="n"/>
    </row>
    <row r="21" ht="20" customHeight="1">
      <c r="A21" s="33" t="n">
        <v>1</v>
      </c>
      <c r="B21" s="30">
        <f>'Getting Started'!B29</f>
        <v/>
      </c>
      <c r="C21" s="36" t="inlineStr">
        <is>
          <t>Elective / Other 4</t>
        </is>
      </c>
      <c r="D21" s="5" t="n"/>
      <c r="E21" s="5" t="n"/>
      <c r="F21" s="32" t="inlineStr">
        <is>
          <t>pages</t>
        </is>
      </c>
      <c r="G21" s="32" t="n"/>
      <c r="H21" s="32" t="n"/>
      <c r="I21" s="5" t="n"/>
    </row>
    <row r="22" ht="20" customHeight="1">
      <c r="A22" s="29" t="n">
        <v>2</v>
      </c>
      <c r="B22" s="30">
        <f>'Getting Started'!B30</f>
        <v/>
      </c>
      <c r="C22" s="4" t="inlineStr">
        <is>
          <t>Bible</t>
        </is>
      </c>
      <c r="D22" s="31" t="inlineStr">
        <is>
          <t>—</t>
        </is>
      </c>
      <c r="E22" s="5" t="n"/>
      <c r="F22" s="32" t="inlineStr">
        <is>
          <t>pages</t>
        </is>
      </c>
      <c r="G22" s="32" t="n"/>
      <c r="H22" s="32" t="n"/>
      <c r="I22" s="5" t="n"/>
    </row>
    <row r="23" ht="20" customHeight="1">
      <c r="A23" s="33" t="n">
        <v>2</v>
      </c>
      <c r="B23" s="30">
        <f>'Getting Started'!B30</f>
        <v/>
      </c>
      <c r="C23" s="34" t="inlineStr">
        <is>
          <t>Math</t>
        </is>
      </c>
      <c r="D23" s="31" t="inlineStr">
        <is>
          <t>—</t>
        </is>
      </c>
      <c r="E23" s="5" t="n"/>
      <c r="F23" s="32" t="inlineStr">
        <is>
          <t>pages</t>
        </is>
      </c>
      <c r="G23" s="32" t="n"/>
      <c r="H23" s="32" t="n"/>
      <c r="I23" s="5" t="n"/>
    </row>
    <row r="24" ht="20" customHeight="1">
      <c r="A24" s="29" t="n">
        <v>2</v>
      </c>
      <c r="B24" s="30">
        <f>'Getting Started'!B30</f>
        <v/>
      </c>
      <c r="C24" s="4" t="inlineStr">
        <is>
          <t>English / Language Arts</t>
        </is>
      </c>
      <c r="D24" s="31" t="inlineStr">
        <is>
          <t>—</t>
        </is>
      </c>
      <c r="E24" s="5" t="n"/>
      <c r="F24" s="32" t="inlineStr">
        <is>
          <t>pages</t>
        </is>
      </c>
      <c r="G24" s="32" t="n"/>
      <c r="H24" s="32" t="n"/>
      <c r="I24" s="5" t="n"/>
    </row>
    <row r="25" ht="20" customHeight="1">
      <c r="A25" s="33" t="n">
        <v>2</v>
      </c>
      <c r="B25" s="30">
        <f>'Getting Started'!B30</f>
        <v/>
      </c>
      <c r="C25" s="34" t="inlineStr">
        <is>
          <t>Reading</t>
        </is>
      </c>
      <c r="D25" s="31" t="inlineStr">
        <is>
          <t>—</t>
        </is>
      </c>
      <c r="E25" s="5" t="n"/>
      <c r="F25" s="32" t="inlineStr">
        <is>
          <t>pages</t>
        </is>
      </c>
      <c r="G25" s="32" t="n"/>
      <c r="H25" s="32" t="n"/>
      <c r="I25" s="5" t="n"/>
    </row>
    <row r="26" ht="20" customHeight="1">
      <c r="A26" s="29" t="n">
        <v>2</v>
      </c>
      <c r="B26" s="30">
        <f>'Getting Started'!B30</f>
        <v/>
      </c>
      <c r="C26" s="4" t="inlineStr">
        <is>
          <t>Writing / Composition</t>
        </is>
      </c>
      <c r="D26" s="31" t="inlineStr">
        <is>
          <t>—</t>
        </is>
      </c>
      <c r="E26" s="5" t="n"/>
      <c r="F26" s="32" t="inlineStr">
        <is>
          <t>pages</t>
        </is>
      </c>
      <c r="G26" s="32" t="n"/>
      <c r="H26" s="32" t="n"/>
      <c r="I26" s="5" t="n"/>
    </row>
    <row r="27" ht="20" customHeight="1">
      <c r="A27" s="33" t="n">
        <v>2</v>
      </c>
      <c r="B27" s="30">
        <f>'Getting Started'!B30</f>
        <v/>
      </c>
      <c r="C27" s="34" t="inlineStr">
        <is>
          <t>Science</t>
        </is>
      </c>
      <c r="D27" s="31" t="inlineStr">
        <is>
          <t>—</t>
        </is>
      </c>
      <c r="E27" s="5" t="n"/>
      <c r="F27" s="32" t="inlineStr">
        <is>
          <t>pages</t>
        </is>
      </c>
      <c r="G27" s="32" t="n"/>
      <c r="H27" s="32" t="n"/>
      <c r="I27" s="5" t="n"/>
    </row>
    <row r="28" ht="20" customHeight="1">
      <c r="A28" s="29" t="n">
        <v>2</v>
      </c>
      <c r="B28" s="30">
        <f>'Getting Started'!B30</f>
        <v/>
      </c>
      <c r="C28" s="4" t="inlineStr">
        <is>
          <t>Social Studies / History</t>
        </is>
      </c>
      <c r="D28" s="31" t="inlineStr">
        <is>
          <t>—</t>
        </is>
      </c>
      <c r="E28" s="5" t="n"/>
      <c r="F28" s="32" t="inlineStr">
        <is>
          <t>pages</t>
        </is>
      </c>
      <c r="G28" s="32" t="n"/>
      <c r="H28" s="32" t="n"/>
      <c r="I28" s="5" t="n"/>
    </row>
    <row r="29" ht="20" customHeight="1">
      <c r="A29" s="33" t="n">
        <v>2</v>
      </c>
      <c r="B29" s="30">
        <f>'Getting Started'!B30</f>
        <v/>
      </c>
      <c r="C29" s="34" t="inlineStr">
        <is>
          <t>Health</t>
        </is>
      </c>
      <c r="D29" s="31" t="inlineStr">
        <is>
          <t>—</t>
        </is>
      </c>
      <c r="E29" s="5" t="n"/>
      <c r="F29" s="32" t="inlineStr">
        <is>
          <t>pages</t>
        </is>
      </c>
      <c r="G29" s="32" t="n"/>
      <c r="H29" s="32" t="n"/>
      <c r="I29" s="5" t="n"/>
    </row>
    <row r="30" ht="20" customHeight="1">
      <c r="A30" s="29" t="n">
        <v>2</v>
      </c>
      <c r="B30" s="30">
        <f>'Getting Started'!B30</f>
        <v/>
      </c>
      <c r="C30" s="4" t="inlineStr">
        <is>
          <t>Physical Education</t>
        </is>
      </c>
      <c r="D30" s="31" t="inlineStr">
        <is>
          <t>—</t>
        </is>
      </c>
      <c r="E30" s="5" t="n"/>
      <c r="F30" s="32" t="inlineStr">
        <is>
          <t>pages</t>
        </is>
      </c>
      <c r="G30" s="32" t="n"/>
      <c r="H30" s="32" t="n"/>
      <c r="I30" s="5" t="n"/>
    </row>
    <row r="31" ht="20" customHeight="1">
      <c r="A31" s="33" t="n">
        <v>2</v>
      </c>
      <c r="B31" s="30">
        <f>'Getting Started'!B30</f>
        <v/>
      </c>
      <c r="C31" s="34" t="inlineStr">
        <is>
          <t>Art / Music</t>
        </is>
      </c>
      <c r="D31" s="31" t="inlineStr">
        <is>
          <t>—</t>
        </is>
      </c>
      <c r="E31" s="5" t="n"/>
      <c r="F31" s="32" t="inlineStr">
        <is>
          <t>pages</t>
        </is>
      </c>
      <c r="G31" s="32" t="n"/>
      <c r="H31" s="32" t="n"/>
      <c r="I31" s="5" t="n"/>
    </row>
    <row r="32" ht="20" customHeight="1">
      <c r="A32" s="29" t="n">
        <v>2</v>
      </c>
      <c r="B32" s="30">
        <f>'Getting Started'!B30</f>
        <v/>
      </c>
      <c r="C32" s="35" t="inlineStr">
        <is>
          <t>Elective / Other 1</t>
        </is>
      </c>
      <c r="D32" s="5" t="n"/>
      <c r="E32" s="5" t="n"/>
      <c r="F32" s="32" t="inlineStr">
        <is>
          <t>pages</t>
        </is>
      </c>
      <c r="G32" s="32" t="n"/>
      <c r="H32" s="32" t="n"/>
      <c r="I32" s="5" t="n"/>
    </row>
    <row r="33" ht="20" customHeight="1">
      <c r="A33" s="33" t="n">
        <v>2</v>
      </c>
      <c r="B33" s="30">
        <f>'Getting Started'!B30</f>
        <v/>
      </c>
      <c r="C33" s="36" t="inlineStr">
        <is>
          <t>Elective / Other 2</t>
        </is>
      </c>
      <c r="D33" s="5" t="n"/>
      <c r="E33" s="5" t="n"/>
      <c r="F33" s="32" t="inlineStr">
        <is>
          <t>pages</t>
        </is>
      </c>
      <c r="G33" s="32" t="n"/>
      <c r="H33" s="32" t="n"/>
      <c r="I33" s="5" t="n"/>
    </row>
    <row r="34" ht="20" customHeight="1">
      <c r="A34" s="29" t="n">
        <v>2</v>
      </c>
      <c r="B34" s="30">
        <f>'Getting Started'!B30</f>
        <v/>
      </c>
      <c r="C34" s="35" t="inlineStr">
        <is>
          <t>Elective / Other 3</t>
        </is>
      </c>
      <c r="D34" s="5" t="n"/>
      <c r="E34" s="5" t="n"/>
      <c r="F34" s="32" t="inlineStr">
        <is>
          <t>pages</t>
        </is>
      </c>
      <c r="G34" s="32" t="n"/>
      <c r="H34" s="32" t="n"/>
      <c r="I34" s="5" t="n"/>
    </row>
    <row r="35" ht="20" customHeight="1">
      <c r="A35" s="33" t="n">
        <v>2</v>
      </c>
      <c r="B35" s="30">
        <f>'Getting Started'!B30</f>
        <v/>
      </c>
      <c r="C35" s="36" t="inlineStr">
        <is>
          <t>Elective / Other 4</t>
        </is>
      </c>
      <c r="D35" s="5" t="n"/>
      <c r="E35" s="5" t="n"/>
      <c r="F35" s="32" t="inlineStr">
        <is>
          <t>pages</t>
        </is>
      </c>
      <c r="G35" s="32" t="n"/>
      <c r="H35" s="32" t="n"/>
      <c r="I35" s="5" t="n"/>
    </row>
    <row r="36" ht="20" customHeight="1">
      <c r="A36" s="29" t="n">
        <v>3</v>
      </c>
      <c r="B36" s="30">
        <f>'Getting Started'!B31</f>
        <v/>
      </c>
      <c r="C36" s="4" t="inlineStr">
        <is>
          <t>Bible</t>
        </is>
      </c>
      <c r="D36" s="31" t="inlineStr">
        <is>
          <t>—</t>
        </is>
      </c>
      <c r="E36" s="5" t="n"/>
      <c r="F36" s="32" t="inlineStr">
        <is>
          <t>pages</t>
        </is>
      </c>
      <c r="G36" s="32" t="n"/>
      <c r="H36" s="32" t="n"/>
      <c r="I36" s="5" t="n"/>
    </row>
    <row r="37" ht="20" customHeight="1">
      <c r="A37" s="33" t="n">
        <v>3</v>
      </c>
      <c r="B37" s="30">
        <f>'Getting Started'!B31</f>
        <v/>
      </c>
      <c r="C37" s="34" t="inlineStr">
        <is>
          <t>Math</t>
        </is>
      </c>
      <c r="D37" s="31" t="inlineStr">
        <is>
          <t>—</t>
        </is>
      </c>
      <c r="E37" s="5" t="n"/>
      <c r="F37" s="32" t="inlineStr">
        <is>
          <t>pages</t>
        </is>
      </c>
      <c r="G37" s="32" t="n"/>
      <c r="H37" s="32" t="n"/>
      <c r="I37" s="5" t="n"/>
    </row>
    <row r="38" ht="20" customHeight="1">
      <c r="A38" s="29" t="n">
        <v>3</v>
      </c>
      <c r="B38" s="30">
        <f>'Getting Started'!B31</f>
        <v/>
      </c>
      <c r="C38" s="4" t="inlineStr">
        <is>
          <t>English / Language Arts</t>
        </is>
      </c>
      <c r="D38" s="31" t="inlineStr">
        <is>
          <t>—</t>
        </is>
      </c>
      <c r="E38" s="5" t="n"/>
      <c r="F38" s="32" t="inlineStr">
        <is>
          <t>pages</t>
        </is>
      </c>
      <c r="G38" s="32" t="n"/>
      <c r="H38" s="32" t="n"/>
      <c r="I38" s="5" t="n"/>
    </row>
    <row r="39" ht="20" customHeight="1">
      <c r="A39" s="33" t="n">
        <v>3</v>
      </c>
      <c r="B39" s="30">
        <f>'Getting Started'!B31</f>
        <v/>
      </c>
      <c r="C39" s="34" t="inlineStr">
        <is>
          <t>Reading</t>
        </is>
      </c>
      <c r="D39" s="31" t="inlineStr">
        <is>
          <t>—</t>
        </is>
      </c>
      <c r="E39" s="5" t="n"/>
      <c r="F39" s="32" t="inlineStr">
        <is>
          <t>pages</t>
        </is>
      </c>
      <c r="G39" s="32" t="n"/>
      <c r="H39" s="32" t="n"/>
      <c r="I39" s="5" t="n"/>
    </row>
    <row r="40" ht="20" customHeight="1">
      <c r="A40" s="29" t="n">
        <v>3</v>
      </c>
      <c r="B40" s="30">
        <f>'Getting Started'!B31</f>
        <v/>
      </c>
      <c r="C40" s="4" t="inlineStr">
        <is>
          <t>Writing / Composition</t>
        </is>
      </c>
      <c r="D40" s="31" t="inlineStr">
        <is>
          <t>—</t>
        </is>
      </c>
      <c r="E40" s="5" t="n"/>
      <c r="F40" s="32" t="inlineStr">
        <is>
          <t>pages</t>
        </is>
      </c>
      <c r="G40" s="32" t="n"/>
      <c r="H40" s="32" t="n"/>
      <c r="I40" s="5" t="n"/>
    </row>
    <row r="41" ht="20" customHeight="1">
      <c r="A41" s="33" t="n">
        <v>3</v>
      </c>
      <c r="B41" s="30">
        <f>'Getting Started'!B31</f>
        <v/>
      </c>
      <c r="C41" s="34" t="inlineStr">
        <is>
          <t>Science</t>
        </is>
      </c>
      <c r="D41" s="31" t="inlineStr">
        <is>
          <t>—</t>
        </is>
      </c>
      <c r="E41" s="5" t="n"/>
      <c r="F41" s="32" t="inlineStr">
        <is>
          <t>pages</t>
        </is>
      </c>
      <c r="G41" s="32" t="n"/>
      <c r="H41" s="32" t="n"/>
      <c r="I41" s="5" t="n"/>
    </row>
    <row r="42" ht="20" customHeight="1">
      <c r="A42" s="29" t="n">
        <v>3</v>
      </c>
      <c r="B42" s="30">
        <f>'Getting Started'!B31</f>
        <v/>
      </c>
      <c r="C42" s="4" t="inlineStr">
        <is>
          <t>Social Studies / History</t>
        </is>
      </c>
      <c r="D42" s="31" t="inlineStr">
        <is>
          <t>—</t>
        </is>
      </c>
      <c r="E42" s="5" t="n"/>
      <c r="F42" s="32" t="inlineStr">
        <is>
          <t>pages</t>
        </is>
      </c>
      <c r="G42" s="32" t="n"/>
      <c r="H42" s="32" t="n"/>
      <c r="I42" s="5" t="n"/>
    </row>
    <row r="43" ht="20" customHeight="1">
      <c r="A43" s="33" t="n">
        <v>3</v>
      </c>
      <c r="B43" s="30">
        <f>'Getting Started'!B31</f>
        <v/>
      </c>
      <c r="C43" s="34" t="inlineStr">
        <is>
          <t>Health</t>
        </is>
      </c>
      <c r="D43" s="31" t="inlineStr">
        <is>
          <t>—</t>
        </is>
      </c>
      <c r="E43" s="5" t="n"/>
      <c r="F43" s="32" t="inlineStr">
        <is>
          <t>pages</t>
        </is>
      </c>
      <c r="G43" s="32" t="n"/>
      <c r="H43" s="32" t="n"/>
      <c r="I43" s="5" t="n"/>
    </row>
    <row r="44" ht="20" customHeight="1">
      <c r="A44" s="29" t="n">
        <v>3</v>
      </c>
      <c r="B44" s="30">
        <f>'Getting Started'!B31</f>
        <v/>
      </c>
      <c r="C44" s="4" t="inlineStr">
        <is>
          <t>Physical Education</t>
        </is>
      </c>
      <c r="D44" s="31" t="inlineStr">
        <is>
          <t>—</t>
        </is>
      </c>
      <c r="E44" s="5" t="n"/>
      <c r="F44" s="32" t="inlineStr">
        <is>
          <t>pages</t>
        </is>
      </c>
      <c r="G44" s="32" t="n"/>
      <c r="H44" s="32" t="n"/>
      <c r="I44" s="5" t="n"/>
    </row>
    <row r="45" ht="20" customHeight="1">
      <c r="A45" s="33" t="n">
        <v>3</v>
      </c>
      <c r="B45" s="30">
        <f>'Getting Started'!B31</f>
        <v/>
      </c>
      <c r="C45" s="34" t="inlineStr">
        <is>
          <t>Art / Music</t>
        </is>
      </c>
      <c r="D45" s="31" t="inlineStr">
        <is>
          <t>—</t>
        </is>
      </c>
      <c r="E45" s="5" t="n"/>
      <c r="F45" s="32" t="inlineStr">
        <is>
          <t>pages</t>
        </is>
      </c>
      <c r="G45" s="32" t="n"/>
      <c r="H45" s="32" t="n"/>
      <c r="I45" s="5" t="n"/>
    </row>
    <row r="46" ht="20" customHeight="1">
      <c r="A46" s="29" t="n">
        <v>3</v>
      </c>
      <c r="B46" s="30">
        <f>'Getting Started'!B31</f>
        <v/>
      </c>
      <c r="C46" s="35" t="inlineStr">
        <is>
          <t>Elective / Other 1</t>
        </is>
      </c>
      <c r="D46" s="5" t="n"/>
      <c r="E46" s="5" t="n"/>
      <c r="F46" s="32" t="inlineStr">
        <is>
          <t>pages</t>
        </is>
      </c>
      <c r="G46" s="32" t="n"/>
      <c r="H46" s="32" t="n"/>
      <c r="I46" s="5" t="n"/>
    </row>
    <row r="47" ht="20" customHeight="1">
      <c r="A47" s="33" t="n">
        <v>3</v>
      </c>
      <c r="B47" s="30">
        <f>'Getting Started'!B31</f>
        <v/>
      </c>
      <c r="C47" s="36" t="inlineStr">
        <is>
          <t>Elective / Other 2</t>
        </is>
      </c>
      <c r="D47" s="5" t="n"/>
      <c r="E47" s="5" t="n"/>
      <c r="F47" s="32" t="inlineStr">
        <is>
          <t>pages</t>
        </is>
      </c>
      <c r="G47" s="32" t="n"/>
      <c r="H47" s="32" t="n"/>
      <c r="I47" s="5" t="n"/>
    </row>
    <row r="48" ht="20" customHeight="1">
      <c r="A48" s="29" t="n">
        <v>3</v>
      </c>
      <c r="B48" s="30">
        <f>'Getting Started'!B31</f>
        <v/>
      </c>
      <c r="C48" s="35" t="inlineStr">
        <is>
          <t>Elective / Other 3</t>
        </is>
      </c>
      <c r="D48" s="5" t="n"/>
      <c r="E48" s="5" t="n"/>
      <c r="F48" s="32" t="inlineStr">
        <is>
          <t>pages</t>
        </is>
      </c>
      <c r="G48" s="32" t="n"/>
      <c r="H48" s="32" t="n"/>
      <c r="I48" s="5" t="n"/>
    </row>
    <row r="49" ht="20" customHeight="1">
      <c r="A49" s="33" t="n">
        <v>3</v>
      </c>
      <c r="B49" s="30">
        <f>'Getting Started'!B31</f>
        <v/>
      </c>
      <c r="C49" s="36" t="inlineStr">
        <is>
          <t>Elective / Other 4</t>
        </is>
      </c>
      <c r="D49" s="5" t="n"/>
      <c r="E49" s="5" t="n"/>
      <c r="F49" s="32" t="inlineStr">
        <is>
          <t>pages</t>
        </is>
      </c>
      <c r="G49" s="32" t="n"/>
      <c r="H49" s="32" t="n"/>
      <c r="I49" s="5" t="n"/>
    </row>
    <row r="50" ht="20" customHeight="1">
      <c r="A50" s="29" t="n">
        <v>4</v>
      </c>
      <c r="B50" s="30">
        <f>'Getting Started'!B32</f>
        <v/>
      </c>
      <c r="C50" s="4" t="inlineStr">
        <is>
          <t>Bible</t>
        </is>
      </c>
      <c r="D50" s="31" t="inlineStr">
        <is>
          <t>—</t>
        </is>
      </c>
      <c r="E50" s="5" t="n"/>
      <c r="F50" s="32" t="inlineStr">
        <is>
          <t>pages</t>
        </is>
      </c>
      <c r="G50" s="32" t="n"/>
      <c r="H50" s="32" t="n"/>
      <c r="I50" s="5" t="n"/>
    </row>
    <row r="51" ht="20" customHeight="1">
      <c r="A51" s="33" t="n">
        <v>4</v>
      </c>
      <c r="B51" s="30">
        <f>'Getting Started'!B32</f>
        <v/>
      </c>
      <c r="C51" s="34" t="inlineStr">
        <is>
          <t>Math</t>
        </is>
      </c>
      <c r="D51" s="31" t="inlineStr">
        <is>
          <t>—</t>
        </is>
      </c>
      <c r="E51" s="5" t="n"/>
      <c r="F51" s="32" t="inlineStr">
        <is>
          <t>pages</t>
        </is>
      </c>
      <c r="G51" s="32" t="n"/>
      <c r="H51" s="32" t="n"/>
      <c r="I51" s="5" t="n"/>
    </row>
    <row r="52" ht="20" customHeight="1">
      <c r="A52" s="29" t="n">
        <v>4</v>
      </c>
      <c r="B52" s="30">
        <f>'Getting Started'!B32</f>
        <v/>
      </c>
      <c r="C52" s="4" t="inlineStr">
        <is>
          <t>English / Language Arts</t>
        </is>
      </c>
      <c r="D52" s="31" t="inlineStr">
        <is>
          <t>—</t>
        </is>
      </c>
      <c r="E52" s="5" t="n"/>
      <c r="F52" s="32" t="inlineStr">
        <is>
          <t>pages</t>
        </is>
      </c>
      <c r="G52" s="32" t="n"/>
      <c r="H52" s="32" t="n"/>
      <c r="I52" s="5" t="n"/>
    </row>
    <row r="53" ht="20" customHeight="1">
      <c r="A53" s="33" t="n">
        <v>4</v>
      </c>
      <c r="B53" s="30">
        <f>'Getting Started'!B32</f>
        <v/>
      </c>
      <c r="C53" s="34" t="inlineStr">
        <is>
          <t>Reading</t>
        </is>
      </c>
      <c r="D53" s="31" t="inlineStr">
        <is>
          <t>—</t>
        </is>
      </c>
      <c r="E53" s="5" t="n"/>
      <c r="F53" s="32" t="inlineStr">
        <is>
          <t>pages</t>
        </is>
      </c>
      <c r="G53" s="32" t="n"/>
      <c r="H53" s="32" t="n"/>
      <c r="I53" s="5" t="n"/>
    </row>
    <row r="54" ht="20" customHeight="1">
      <c r="A54" s="29" t="n">
        <v>4</v>
      </c>
      <c r="B54" s="30">
        <f>'Getting Started'!B32</f>
        <v/>
      </c>
      <c r="C54" s="4" t="inlineStr">
        <is>
          <t>Writing / Composition</t>
        </is>
      </c>
      <c r="D54" s="31" t="inlineStr">
        <is>
          <t>—</t>
        </is>
      </c>
      <c r="E54" s="5" t="n"/>
      <c r="F54" s="32" t="inlineStr">
        <is>
          <t>pages</t>
        </is>
      </c>
      <c r="G54" s="32" t="n"/>
      <c r="H54" s="32" t="n"/>
      <c r="I54" s="5" t="n"/>
    </row>
    <row r="55" ht="20" customHeight="1">
      <c r="A55" s="33" t="n">
        <v>4</v>
      </c>
      <c r="B55" s="30">
        <f>'Getting Started'!B32</f>
        <v/>
      </c>
      <c r="C55" s="34" t="inlineStr">
        <is>
          <t>Science</t>
        </is>
      </c>
      <c r="D55" s="31" t="inlineStr">
        <is>
          <t>—</t>
        </is>
      </c>
      <c r="E55" s="5" t="n"/>
      <c r="F55" s="32" t="inlineStr">
        <is>
          <t>pages</t>
        </is>
      </c>
      <c r="G55" s="32" t="n"/>
      <c r="H55" s="32" t="n"/>
      <c r="I55" s="5" t="n"/>
    </row>
    <row r="56" ht="20" customHeight="1">
      <c r="A56" s="29" t="n">
        <v>4</v>
      </c>
      <c r="B56" s="30">
        <f>'Getting Started'!B32</f>
        <v/>
      </c>
      <c r="C56" s="4" t="inlineStr">
        <is>
          <t>Social Studies / History</t>
        </is>
      </c>
      <c r="D56" s="31" t="inlineStr">
        <is>
          <t>—</t>
        </is>
      </c>
      <c r="E56" s="5" t="n"/>
      <c r="F56" s="32" t="inlineStr">
        <is>
          <t>pages</t>
        </is>
      </c>
      <c r="G56" s="32" t="n"/>
      <c r="H56" s="32" t="n"/>
      <c r="I56" s="5" t="n"/>
    </row>
    <row r="57" ht="20" customHeight="1">
      <c r="A57" s="33" t="n">
        <v>4</v>
      </c>
      <c r="B57" s="30">
        <f>'Getting Started'!B32</f>
        <v/>
      </c>
      <c r="C57" s="34" t="inlineStr">
        <is>
          <t>Health</t>
        </is>
      </c>
      <c r="D57" s="31" t="inlineStr">
        <is>
          <t>—</t>
        </is>
      </c>
      <c r="E57" s="5" t="n"/>
      <c r="F57" s="32" t="inlineStr">
        <is>
          <t>pages</t>
        </is>
      </c>
      <c r="G57" s="32" t="n"/>
      <c r="H57" s="32" t="n"/>
      <c r="I57" s="5" t="n"/>
    </row>
    <row r="58" ht="20" customHeight="1">
      <c r="A58" s="29" t="n">
        <v>4</v>
      </c>
      <c r="B58" s="30">
        <f>'Getting Started'!B32</f>
        <v/>
      </c>
      <c r="C58" s="4" t="inlineStr">
        <is>
          <t>Physical Education</t>
        </is>
      </c>
      <c r="D58" s="31" t="inlineStr">
        <is>
          <t>—</t>
        </is>
      </c>
      <c r="E58" s="5" t="n"/>
      <c r="F58" s="32" t="inlineStr">
        <is>
          <t>pages</t>
        </is>
      </c>
      <c r="G58" s="32" t="n"/>
      <c r="H58" s="32" t="n"/>
      <c r="I58" s="5" t="n"/>
    </row>
    <row r="59" ht="20" customHeight="1">
      <c r="A59" s="33" t="n">
        <v>4</v>
      </c>
      <c r="B59" s="30">
        <f>'Getting Started'!B32</f>
        <v/>
      </c>
      <c r="C59" s="34" t="inlineStr">
        <is>
          <t>Art / Music</t>
        </is>
      </c>
      <c r="D59" s="31" t="inlineStr">
        <is>
          <t>—</t>
        </is>
      </c>
      <c r="E59" s="5" t="n"/>
      <c r="F59" s="32" t="inlineStr">
        <is>
          <t>pages</t>
        </is>
      </c>
      <c r="G59" s="32" t="n"/>
      <c r="H59" s="32" t="n"/>
      <c r="I59" s="5" t="n"/>
    </row>
    <row r="60" ht="20" customHeight="1">
      <c r="A60" s="29" t="n">
        <v>4</v>
      </c>
      <c r="B60" s="30">
        <f>'Getting Started'!B32</f>
        <v/>
      </c>
      <c r="C60" s="35" t="inlineStr">
        <is>
          <t>Elective / Other 1</t>
        </is>
      </c>
      <c r="D60" s="5" t="n"/>
      <c r="E60" s="5" t="n"/>
      <c r="F60" s="32" t="inlineStr">
        <is>
          <t>pages</t>
        </is>
      </c>
      <c r="G60" s="32" t="n"/>
      <c r="H60" s="32" t="n"/>
      <c r="I60" s="5" t="n"/>
    </row>
    <row r="61" ht="20" customHeight="1">
      <c r="A61" s="33" t="n">
        <v>4</v>
      </c>
      <c r="B61" s="30">
        <f>'Getting Started'!B32</f>
        <v/>
      </c>
      <c r="C61" s="36" t="inlineStr">
        <is>
          <t>Elective / Other 2</t>
        </is>
      </c>
      <c r="D61" s="5" t="n"/>
      <c r="E61" s="5" t="n"/>
      <c r="F61" s="32" t="inlineStr">
        <is>
          <t>pages</t>
        </is>
      </c>
      <c r="G61" s="32" t="n"/>
      <c r="H61" s="32" t="n"/>
      <c r="I61" s="5" t="n"/>
    </row>
    <row r="62" ht="20" customHeight="1">
      <c r="A62" s="29" t="n">
        <v>4</v>
      </c>
      <c r="B62" s="30">
        <f>'Getting Started'!B32</f>
        <v/>
      </c>
      <c r="C62" s="35" t="inlineStr">
        <is>
          <t>Elective / Other 3</t>
        </is>
      </c>
      <c r="D62" s="5" t="n"/>
      <c r="E62" s="5" t="n"/>
      <c r="F62" s="32" t="inlineStr">
        <is>
          <t>pages</t>
        </is>
      </c>
      <c r="G62" s="32" t="n"/>
      <c r="H62" s="32" t="n"/>
      <c r="I62" s="5" t="n"/>
    </row>
    <row r="63" ht="20" customHeight="1">
      <c r="A63" s="33" t="n">
        <v>4</v>
      </c>
      <c r="B63" s="30">
        <f>'Getting Started'!B32</f>
        <v/>
      </c>
      <c r="C63" s="36" t="inlineStr">
        <is>
          <t>Elective / Other 4</t>
        </is>
      </c>
      <c r="D63" s="5" t="n"/>
      <c r="E63" s="5" t="n"/>
      <c r="F63" s="32" t="inlineStr">
        <is>
          <t>pages</t>
        </is>
      </c>
      <c r="G63" s="32" t="n"/>
      <c r="H63" s="32" t="n"/>
      <c r="I63" s="5" t="n"/>
    </row>
    <row r="64" ht="20" customHeight="1">
      <c r="A64" s="29" t="n">
        <v>5</v>
      </c>
      <c r="B64" s="30">
        <f>'Getting Started'!B33</f>
        <v/>
      </c>
      <c r="C64" s="4" t="inlineStr">
        <is>
          <t>Bible</t>
        </is>
      </c>
      <c r="D64" s="31" t="inlineStr">
        <is>
          <t>—</t>
        </is>
      </c>
      <c r="E64" s="5" t="n"/>
      <c r="F64" s="32" t="inlineStr">
        <is>
          <t>pages</t>
        </is>
      </c>
      <c r="G64" s="32" t="n"/>
      <c r="H64" s="32" t="n"/>
      <c r="I64" s="5" t="n"/>
    </row>
    <row r="65" ht="20" customHeight="1">
      <c r="A65" s="33" t="n">
        <v>5</v>
      </c>
      <c r="B65" s="30">
        <f>'Getting Started'!B33</f>
        <v/>
      </c>
      <c r="C65" s="34" t="inlineStr">
        <is>
          <t>Math</t>
        </is>
      </c>
      <c r="D65" s="31" t="inlineStr">
        <is>
          <t>—</t>
        </is>
      </c>
      <c r="E65" s="5" t="n"/>
      <c r="F65" s="32" t="inlineStr">
        <is>
          <t>pages</t>
        </is>
      </c>
      <c r="G65" s="32" t="n"/>
      <c r="H65" s="32" t="n"/>
      <c r="I65" s="5" t="n"/>
    </row>
    <row r="66" ht="20" customHeight="1">
      <c r="A66" s="29" t="n">
        <v>5</v>
      </c>
      <c r="B66" s="30">
        <f>'Getting Started'!B33</f>
        <v/>
      </c>
      <c r="C66" s="4" t="inlineStr">
        <is>
          <t>English / Language Arts</t>
        </is>
      </c>
      <c r="D66" s="31" t="inlineStr">
        <is>
          <t>—</t>
        </is>
      </c>
      <c r="E66" s="5" t="n"/>
      <c r="F66" s="32" t="inlineStr">
        <is>
          <t>pages</t>
        </is>
      </c>
      <c r="G66" s="32" t="n"/>
      <c r="H66" s="32" t="n"/>
      <c r="I66" s="5" t="n"/>
    </row>
    <row r="67" ht="20" customHeight="1">
      <c r="A67" s="33" t="n">
        <v>5</v>
      </c>
      <c r="B67" s="30">
        <f>'Getting Started'!B33</f>
        <v/>
      </c>
      <c r="C67" s="34" t="inlineStr">
        <is>
          <t>Reading</t>
        </is>
      </c>
      <c r="D67" s="31" t="inlineStr">
        <is>
          <t>—</t>
        </is>
      </c>
      <c r="E67" s="5" t="n"/>
      <c r="F67" s="32" t="inlineStr">
        <is>
          <t>pages</t>
        </is>
      </c>
      <c r="G67" s="32" t="n"/>
      <c r="H67" s="32" t="n"/>
      <c r="I67" s="5" t="n"/>
    </row>
    <row r="68" ht="20" customHeight="1">
      <c r="A68" s="29" t="n">
        <v>5</v>
      </c>
      <c r="B68" s="30">
        <f>'Getting Started'!B33</f>
        <v/>
      </c>
      <c r="C68" s="4" t="inlineStr">
        <is>
          <t>Writing / Composition</t>
        </is>
      </c>
      <c r="D68" s="31" t="inlineStr">
        <is>
          <t>—</t>
        </is>
      </c>
      <c r="E68" s="5" t="n"/>
      <c r="F68" s="32" t="inlineStr">
        <is>
          <t>pages</t>
        </is>
      </c>
      <c r="G68" s="32" t="n"/>
      <c r="H68" s="32" t="n"/>
      <c r="I68" s="5" t="n"/>
    </row>
    <row r="69" ht="20" customHeight="1">
      <c r="A69" s="33" t="n">
        <v>5</v>
      </c>
      <c r="B69" s="30">
        <f>'Getting Started'!B33</f>
        <v/>
      </c>
      <c r="C69" s="34" t="inlineStr">
        <is>
          <t>Science</t>
        </is>
      </c>
      <c r="D69" s="31" t="inlineStr">
        <is>
          <t>—</t>
        </is>
      </c>
      <c r="E69" s="5" t="n"/>
      <c r="F69" s="32" t="inlineStr">
        <is>
          <t>pages</t>
        </is>
      </c>
      <c r="G69" s="32" t="n"/>
      <c r="H69" s="32" t="n"/>
      <c r="I69" s="5" t="n"/>
    </row>
    <row r="70" ht="20" customHeight="1">
      <c r="A70" s="29" t="n">
        <v>5</v>
      </c>
      <c r="B70" s="30">
        <f>'Getting Started'!B33</f>
        <v/>
      </c>
      <c r="C70" s="4" t="inlineStr">
        <is>
          <t>Social Studies / History</t>
        </is>
      </c>
      <c r="D70" s="31" t="inlineStr">
        <is>
          <t>—</t>
        </is>
      </c>
      <c r="E70" s="5" t="n"/>
      <c r="F70" s="32" t="inlineStr">
        <is>
          <t>pages</t>
        </is>
      </c>
      <c r="G70" s="32" t="n"/>
      <c r="H70" s="32" t="n"/>
      <c r="I70" s="5" t="n"/>
    </row>
    <row r="71" ht="20" customHeight="1">
      <c r="A71" s="33" t="n">
        <v>5</v>
      </c>
      <c r="B71" s="30">
        <f>'Getting Started'!B33</f>
        <v/>
      </c>
      <c r="C71" s="34" t="inlineStr">
        <is>
          <t>Health</t>
        </is>
      </c>
      <c r="D71" s="31" t="inlineStr">
        <is>
          <t>—</t>
        </is>
      </c>
      <c r="E71" s="5" t="n"/>
      <c r="F71" s="32" t="inlineStr">
        <is>
          <t>pages</t>
        </is>
      </c>
      <c r="G71" s="32" t="n"/>
      <c r="H71" s="32" t="n"/>
      <c r="I71" s="5" t="n"/>
    </row>
    <row r="72" ht="20" customHeight="1">
      <c r="A72" s="29" t="n">
        <v>5</v>
      </c>
      <c r="B72" s="30">
        <f>'Getting Started'!B33</f>
        <v/>
      </c>
      <c r="C72" s="4" t="inlineStr">
        <is>
          <t>Physical Education</t>
        </is>
      </c>
      <c r="D72" s="31" t="inlineStr">
        <is>
          <t>—</t>
        </is>
      </c>
      <c r="E72" s="5" t="n"/>
      <c r="F72" s="32" t="inlineStr">
        <is>
          <t>pages</t>
        </is>
      </c>
      <c r="G72" s="32" t="n"/>
      <c r="H72" s="32" t="n"/>
      <c r="I72" s="5" t="n"/>
    </row>
    <row r="73" ht="20" customHeight="1">
      <c r="A73" s="33" t="n">
        <v>5</v>
      </c>
      <c r="B73" s="30">
        <f>'Getting Started'!B33</f>
        <v/>
      </c>
      <c r="C73" s="34" t="inlineStr">
        <is>
          <t>Art / Music</t>
        </is>
      </c>
      <c r="D73" s="31" t="inlineStr">
        <is>
          <t>—</t>
        </is>
      </c>
      <c r="E73" s="5" t="n"/>
      <c r="F73" s="32" t="inlineStr">
        <is>
          <t>pages</t>
        </is>
      </c>
      <c r="G73" s="32" t="n"/>
      <c r="H73" s="32" t="n"/>
      <c r="I73" s="5" t="n"/>
    </row>
    <row r="74" ht="20" customHeight="1">
      <c r="A74" s="29" t="n">
        <v>5</v>
      </c>
      <c r="B74" s="30">
        <f>'Getting Started'!B33</f>
        <v/>
      </c>
      <c r="C74" s="35" t="inlineStr">
        <is>
          <t>Elective / Other 1</t>
        </is>
      </c>
      <c r="D74" s="5" t="n"/>
      <c r="E74" s="5" t="n"/>
      <c r="F74" s="32" t="inlineStr">
        <is>
          <t>pages</t>
        </is>
      </c>
      <c r="G74" s="32" t="n"/>
      <c r="H74" s="32" t="n"/>
      <c r="I74" s="5" t="n"/>
    </row>
    <row r="75" ht="20" customHeight="1">
      <c r="A75" s="33" t="n">
        <v>5</v>
      </c>
      <c r="B75" s="30">
        <f>'Getting Started'!B33</f>
        <v/>
      </c>
      <c r="C75" s="36" t="inlineStr">
        <is>
          <t>Elective / Other 2</t>
        </is>
      </c>
      <c r="D75" s="5" t="n"/>
      <c r="E75" s="5" t="n"/>
      <c r="F75" s="32" t="inlineStr">
        <is>
          <t>pages</t>
        </is>
      </c>
      <c r="G75" s="32" t="n"/>
      <c r="H75" s="32" t="n"/>
      <c r="I75" s="5" t="n"/>
    </row>
    <row r="76" ht="20" customHeight="1">
      <c r="A76" s="29" t="n">
        <v>5</v>
      </c>
      <c r="B76" s="30">
        <f>'Getting Started'!B33</f>
        <v/>
      </c>
      <c r="C76" s="35" t="inlineStr">
        <is>
          <t>Elective / Other 3</t>
        </is>
      </c>
      <c r="D76" s="5" t="n"/>
      <c r="E76" s="5" t="n"/>
      <c r="F76" s="32" t="inlineStr">
        <is>
          <t>pages</t>
        </is>
      </c>
      <c r="G76" s="32" t="n"/>
      <c r="H76" s="32" t="n"/>
      <c r="I76" s="5" t="n"/>
    </row>
    <row r="77" ht="20" customHeight="1">
      <c r="A77" s="33" t="n">
        <v>5</v>
      </c>
      <c r="B77" s="30">
        <f>'Getting Started'!B33</f>
        <v/>
      </c>
      <c r="C77" s="36" t="inlineStr">
        <is>
          <t>Elective / Other 4</t>
        </is>
      </c>
      <c r="D77" s="5" t="n"/>
      <c r="E77" s="5" t="n"/>
      <c r="F77" s="32" t="inlineStr">
        <is>
          <t>pages</t>
        </is>
      </c>
      <c r="G77" s="32" t="n"/>
      <c r="H77" s="32" t="n"/>
      <c r="I77" s="5" t="n"/>
    </row>
    <row r="78" ht="20" customHeight="1">
      <c r="A78" s="29" t="n">
        <v>6</v>
      </c>
      <c r="B78" s="30">
        <f>'Getting Started'!B34</f>
        <v/>
      </c>
      <c r="C78" s="4" t="inlineStr">
        <is>
          <t>Bible</t>
        </is>
      </c>
      <c r="D78" s="31" t="inlineStr">
        <is>
          <t>—</t>
        </is>
      </c>
      <c r="E78" s="5" t="n"/>
      <c r="F78" s="32" t="inlineStr">
        <is>
          <t>pages</t>
        </is>
      </c>
      <c r="G78" s="32" t="n"/>
      <c r="H78" s="32" t="n"/>
      <c r="I78" s="5" t="n"/>
    </row>
    <row r="79" ht="20" customHeight="1">
      <c r="A79" s="33" t="n">
        <v>6</v>
      </c>
      <c r="B79" s="30">
        <f>'Getting Started'!B34</f>
        <v/>
      </c>
      <c r="C79" s="34" t="inlineStr">
        <is>
          <t>Math</t>
        </is>
      </c>
      <c r="D79" s="31" t="inlineStr">
        <is>
          <t>—</t>
        </is>
      </c>
      <c r="E79" s="5" t="n"/>
      <c r="F79" s="32" t="inlineStr">
        <is>
          <t>pages</t>
        </is>
      </c>
      <c r="G79" s="32" t="n"/>
      <c r="H79" s="32" t="n"/>
      <c r="I79" s="5" t="n"/>
    </row>
    <row r="80" ht="20" customHeight="1">
      <c r="A80" s="29" t="n">
        <v>6</v>
      </c>
      <c r="B80" s="30">
        <f>'Getting Started'!B34</f>
        <v/>
      </c>
      <c r="C80" s="4" t="inlineStr">
        <is>
          <t>English / Language Arts</t>
        </is>
      </c>
      <c r="D80" s="31" t="inlineStr">
        <is>
          <t>—</t>
        </is>
      </c>
      <c r="E80" s="5" t="n"/>
      <c r="F80" s="32" t="inlineStr">
        <is>
          <t>pages</t>
        </is>
      </c>
      <c r="G80" s="32" t="n"/>
      <c r="H80" s="32" t="n"/>
      <c r="I80" s="5" t="n"/>
    </row>
    <row r="81" ht="20" customHeight="1">
      <c r="A81" s="33" t="n">
        <v>6</v>
      </c>
      <c r="B81" s="30">
        <f>'Getting Started'!B34</f>
        <v/>
      </c>
      <c r="C81" s="34" t="inlineStr">
        <is>
          <t>Reading</t>
        </is>
      </c>
      <c r="D81" s="31" t="inlineStr">
        <is>
          <t>—</t>
        </is>
      </c>
      <c r="E81" s="5" t="n"/>
      <c r="F81" s="32" t="inlineStr">
        <is>
          <t>pages</t>
        </is>
      </c>
      <c r="G81" s="32" t="n"/>
      <c r="H81" s="32" t="n"/>
      <c r="I81" s="5" t="n"/>
    </row>
    <row r="82" ht="20" customHeight="1">
      <c r="A82" s="29" t="n">
        <v>6</v>
      </c>
      <c r="B82" s="30">
        <f>'Getting Started'!B34</f>
        <v/>
      </c>
      <c r="C82" s="4" t="inlineStr">
        <is>
          <t>Writing / Composition</t>
        </is>
      </c>
      <c r="D82" s="31" t="inlineStr">
        <is>
          <t>—</t>
        </is>
      </c>
      <c r="E82" s="5" t="n"/>
      <c r="F82" s="32" t="inlineStr">
        <is>
          <t>pages</t>
        </is>
      </c>
      <c r="G82" s="32" t="n"/>
      <c r="H82" s="32" t="n"/>
      <c r="I82" s="5" t="n"/>
    </row>
    <row r="83" ht="20" customHeight="1">
      <c r="A83" s="33" t="n">
        <v>6</v>
      </c>
      <c r="B83" s="30">
        <f>'Getting Started'!B34</f>
        <v/>
      </c>
      <c r="C83" s="34" t="inlineStr">
        <is>
          <t>Science</t>
        </is>
      </c>
      <c r="D83" s="31" t="inlineStr">
        <is>
          <t>—</t>
        </is>
      </c>
      <c r="E83" s="5" t="n"/>
      <c r="F83" s="32" t="inlineStr">
        <is>
          <t>pages</t>
        </is>
      </c>
      <c r="G83" s="32" t="n"/>
      <c r="H83" s="32" t="n"/>
      <c r="I83" s="5" t="n"/>
    </row>
    <row r="84" ht="20" customHeight="1">
      <c r="A84" s="29" t="n">
        <v>6</v>
      </c>
      <c r="B84" s="30">
        <f>'Getting Started'!B34</f>
        <v/>
      </c>
      <c r="C84" s="4" t="inlineStr">
        <is>
          <t>Social Studies / History</t>
        </is>
      </c>
      <c r="D84" s="31" t="inlineStr">
        <is>
          <t>—</t>
        </is>
      </c>
      <c r="E84" s="5" t="n"/>
      <c r="F84" s="32" t="inlineStr">
        <is>
          <t>pages</t>
        </is>
      </c>
      <c r="G84" s="32" t="n"/>
      <c r="H84" s="32" t="n"/>
      <c r="I84" s="5" t="n"/>
    </row>
    <row r="85" ht="20" customHeight="1">
      <c r="A85" s="33" t="n">
        <v>6</v>
      </c>
      <c r="B85" s="30">
        <f>'Getting Started'!B34</f>
        <v/>
      </c>
      <c r="C85" s="34" t="inlineStr">
        <is>
          <t>Health</t>
        </is>
      </c>
      <c r="D85" s="31" t="inlineStr">
        <is>
          <t>—</t>
        </is>
      </c>
      <c r="E85" s="5" t="n"/>
      <c r="F85" s="32" t="inlineStr">
        <is>
          <t>pages</t>
        </is>
      </c>
      <c r="G85" s="32" t="n"/>
      <c r="H85" s="32" t="n"/>
      <c r="I85" s="5" t="n"/>
    </row>
    <row r="86" ht="20" customHeight="1">
      <c r="A86" s="29" t="n">
        <v>6</v>
      </c>
      <c r="B86" s="30">
        <f>'Getting Started'!B34</f>
        <v/>
      </c>
      <c r="C86" s="4" t="inlineStr">
        <is>
          <t>Physical Education</t>
        </is>
      </c>
      <c r="D86" s="31" t="inlineStr">
        <is>
          <t>—</t>
        </is>
      </c>
      <c r="E86" s="5" t="n"/>
      <c r="F86" s="32" t="inlineStr">
        <is>
          <t>pages</t>
        </is>
      </c>
      <c r="G86" s="32" t="n"/>
      <c r="H86" s="32" t="n"/>
      <c r="I86" s="5" t="n"/>
    </row>
    <row r="87" ht="20" customHeight="1">
      <c r="A87" s="33" t="n">
        <v>6</v>
      </c>
      <c r="B87" s="30">
        <f>'Getting Started'!B34</f>
        <v/>
      </c>
      <c r="C87" s="34" t="inlineStr">
        <is>
          <t>Art / Music</t>
        </is>
      </c>
      <c r="D87" s="31" t="inlineStr">
        <is>
          <t>—</t>
        </is>
      </c>
      <c r="E87" s="5" t="n"/>
      <c r="F87" s="32" t="inlineStr">
        <is>
          <t>pages</t>
        </is>
      </c>
      <c r="G87" s="32" t="n"/>
      <c r="H87" s="32" t="n"/>
      <c r="I87" s="5" t="n"/>
    </row>
    <row r="88" ht="20" customHeight="1">
      <c r="A88" s="29" t="n">
        <v>6</v>
      </c>
      <c r="B88" s="30">
        <f>'Getting Started'!B34</f>
        <v/>
      </c>
      <c r="C88" s="35" t="inlineStr">
        <is>
          <t>Elective / Other 1</t>
        </is>
      </c>
      <c r="D88" s="5" t="n"/>
      <c r="E88" s="5" t="n"/>
      <c r="F88" s="32" t="inlineStr">
        <is>
          <t>pages</t>
        </is>
      </c>
      <c r="G88" s="32" t="n"/>
      <c r="H88" s="32" t="n"/>
      <c r="I88" s="5" t="n"/>
    </row>
    <row r="89" ht="20" customHeight="1">
      <c r="A89" s="33" t="n">
        <v>6</v>
      </c>
      <c r="B89" s="30">
        <f>'Getting Started'!B34</f>
        <v/>
      </c>
      <c r="C89" s="36" t="inlineStr">
        <is>
          <t>Elective / Other 2</t>
        </is>
      </c>
      <c r="D89" s="5" t="n"/>
      <c r="E89" s="5" t="n"/>
      <c r="F89" s="32" t="inlineStr">
        <is>
          <t>pages</t>
        </is>
      </c>
      <c r="G89" s="32" t="n"/>
      <c r="H89" s="32" t="n"/>
      <c r="I89" s="5" t="n"/>
    </row>
    <row r="90" ht="20" customHeight="1">
      <c r="A90" s="29" t="n">
        <v>6</v>
      </c>
      <c r="B90" s="30">
        <f>'Getting Started'!B34</f>
        <v/>
      </c>
      <c r="C90" s="35" t="inlineStr">
        <is>
          <t>Elective / Other 3</t>
        </is>
      </c>
      <c r="D90" s="5" t="n"/>
      <c r="E90" s="5" t="n"/>
      <c r="F90" s="32" t="inlineStr">
        <is>
          <t>pages</t>
        </is>
      </c>
      <c r="G90" s="32" t="n"/>
      <c r="H90" s="32" t="n"/>
      <c r="I90" s="5" t="n"/>
    </row>
    <row r="91" ht="20" customHeight="1">
      <c r="A91" s="33" t="n">
        <v>6</v>
      </c>
      <c r="B91" s="30">
        <f>'Getting Started'!B34</f>
        <v/>
      </c>
      <c r="C91" s="36" t="inlineStr">
        <is>
          <t>Elective / Other 4</t>
        </is>
      </c>
      <c r="D91" s="5" t="n"/>
      <c r="E91" s="5" t="n"/>
      <c r="F91" s="32" t="inlineStr">
        <is>
          <t>pages</t>
        </is>
      </c>
      <c r="G91" s="32" t="n"/>
      <c r="H91" s="32" t="n"/>
      <c r="I91" s="5" t="n"/>
    </row>
    <row r="92" ht="20" customHeight="1">
      <c r="A92" s="29" t="n">
        <v>7</v>
      </c>
      <c r="B92" s="30">
        <f>'Getting Started'!B35</f>
        <v/>
      </c>
      <c r="C92" s="4" t="inlineStr">
        <is>
          <t>Bible</t>
        </is>
      </c>
      <c r="D92" s="31" t="inlineStr">
        <is>
          <t>—</t>
        </is>
      </c>
      <c r="E92" s="5" t="n"/>
      <c r="F92" s="32" t="inlineStr">
        <is>
          <t>pages</t>
        </is>
      </c>
      <c r="G92" s="32" t="n"/>
      <c r="H92" s="32" t="n"/>
      <c r="I92" s="5" t="n"/>
    </row>
    <row r="93" ht="20" customHeight="1">
      <c r="A93" s="33" t="n">
        <v>7</v>
      </c>
      <c r="B93" s="30">
        <f>'Getting Started'!B35</f>
        <v/>
      </c>
      <c r="C93" s="34" t="inlineStr">
        <is>
          <t>Math</t>
        </is>
      </c>
      <c r="D93" s="31" t="inlineStr">
        <is>
          <t>—</t>
        </is>
      </c>
      <c r="E93" s="5" t="n"/>
      <c r="F93" s="32" t="inlineStr">
        <is>
          <t>pages</t>
        </is>
      </c>
      <c r="G93" s="32" t="n"/>
      <c r="H93" s="32" t="n"/>
      <c r="I93" s="5" t="n"/>
    </row>
    <row r="94" ht="20" customHeight="1">
      <c r="A94" s="29" t="n">
        <v>7</v>
      </c>
      <c r="B94" s="30">
        <f>'Getting Started'!B35</f>
        <v/>
      </c>
      <c r="C94" s="4" t="inlineStr">
        <is>
          <t>English / Language Arts</t>
        </is>
      </c>
      <c r="D94" s="31" t="inlineStr">
        <is>
          <t>—</t>
        </is>
      </c>
      <c r="E94" s="5" t="n"/>
      <c r="F94" s="32" t="inlineStr">
        <is>
          <t>pages</t>
        </is>
      </c>
      <c r="G94" s="32" t="n"/>
      <c r="H94" s="32" t="n"/>
      <c r="I94" s="5" t="n"/>
    </row>
    <row r="95" ht="20" customHeight="1">
      <c r="A95" s="33" t="n">
        <v>7</v>
      </c>
      <c r="B95" s="30">
        <f>'Getting Started'!B35</f>
        <v/>
      </c>
      <c r="C95" s="34" t="inlineStr">
        <is>
          <t>Reading</t>
        </is>
      </c>
      <c r="D95" s="31" t="inlineStr">
        <is>
          <t>—</t>
        </is>
      </c>
      <c r="E95" s="5" t="n"/>
      <c r="F95" s="32" t="inlineStr">
        <is>
          <t>pages</t>
        </is>
      </c>
      <c r="G95" s="32" t="n"/>
      <c r="H95" s="32" t="n"/>
      <c r="I95" s="5" t="n"/>
    </row>
    <row r="96" ht="20" customHeight="1">
      <c r="A96" s="29" t="n">
        <v>7</v>
      </c>
      <c r="B96" s="30">
        <f>'Getting Started'!B35</f>
        <v/>
      </c>
      <c r="C96" s="4" t="inlineStr">
        <is>
          <t>Writing / Composition</t>
        </is>
      </c>
      <c r="D96" s="31" t="inlineStr">
        <is>
          <t>—</t>
        </is>
      </c>
      <c r="E96" s="5" t="n"/>
      <c r="F96" s="32" t="inlineStr">
        <is>
          <t>pages</t>
        </is>
      </c>
      <c r="G96" s="32" t="n"/>
      <c r="H96" s="32" t="n"/>
      <c r="I96" s="5" t="n"/>
    </row>
    <row r="97" ht="20" customHeight="1">
      <c r="A97" s="33" t="n">
        <v>7</v>
      </c>
      <c r="B97" s="30">
        <f>'Getting Started'!B35</f>
        <v/>
      </c>
      <c r="C97" s="34" t="inlineStr">
        <is>
          <t>Science</t>
        </is>
      </c>
      <c r="D97" s="31" t="inlineStr">
        <is>
          <t>—</t>
        </is>
      </c>
      <c r="E97" s="5" t="n"/>
      <c r="F97" s="32" t="inlineStr">
        <is>
          <t>pages</t>
        </is>
      </c>
      <c r="G97" s="32" t="n"/>
      <c r="H97" s="32" t="n"/>
      <c r="I97" s="5" t="n"/>
    </row>
    <row r="98" ht="20" customHeight="1">
      <c r="A98" s="29" t="n">
        <v>7</v>
      </c>
      <c r="B98" s="30">
        <f>'Getting Started'!B35</f>
        <v/>
      </c>
      <c r="C98" s="4" t="inlineStr">
        <is>
          <t>Social Studies / History</t>
        </is>
      </c>
      <c r="D98" s="31" t="inlineStr">
        <is>
          <t>—</t>
        </is>
      </c>
      <c r="E98" s="5" t="n"/>
      <c r="F98" s="32" t="inlineStr">
        <is>
          <t>pages</t>
        </is>
      </c>
      <c r="G98" s="32" t="n"/>
      <c r="H98" s="32" t="n"/>
      <c r="I98" s="5" t="n"/>
    </row>
    <row r="99" ht="20" customHeight="1">
      <c r="A99" s="33" t="n">
        <v>7</v>
      </c>
      <c r="B99" s="30">
        <f>'Getting Started'!B35</f>
        <v/>
      </c>
      <c r="C99" s="34" t="inlineStr">
        <is>
          <t>Health</t>
        </is>
      </c>
      <c r="D99" s="31" t="inlineStr">
        <is>
          <t>—</t>
        </is>
      </c>
      <c r="E99" s="5" t="n"/>
      <c r="F99" s="32" t="inlineStr">
        <is>
          <t>pages</t>
        </is>
      </c>
      <c r="G99" s="32" t="n"/>
      <c r="H99" s="32" t="n"/>
      <c r="I99" s="5" t="n"/>
    </row>
    <row r="100" ht="20" customHeight="1">
      <c r="A100" s="29" t="n">
        <v>7</v>
      </c>
      <c r="B100" s="30">
        <f>'Getting Started'!B35</f>
        <v/>
      </c>
      <c r="C100" s="4" t="inlineStr">
        <is>
          <t>Physical Education</t>
        </is>
      </c>
      <c r="D100" s="31" t="inlineStr">
        <is>
          <t>—</t>
        </is>
      </c>
      <c r="E100" s="5" t="n"/>
      <c r="F100" s="32" t="inlineStr">
        <is>
          <t>pages</t>
        </is>
      </c>
      <c r="G100" s="32" t="n"/>
      <c r="H100" s="32" t="n"/>
      <c r="I100" s="5" t="n"/>
    </row>
    <row r="101" ht="20" customHeight="1">
      <c r="A101" s="33" t="n">
        <v>7</v>
      </c>
      <c r="B101" s="30">
        <f>'Getting Started'!B35</f>
        <v/>
      </c>
      <c r="C101" s="34" t="inlineStr">
        <is>
          <t>Art / Music</t>
        </is>
      </c>
      <c r="D101" s="31" t="inlineStr">
        <is>
          <t>—</t>
        </is>
      </c>
      <c r="E101" s="5" t="n"/>
      <c r="F101" s="32" t="inlineStr">
        <is>
          <t>pages</t>
        </is>
      </c>
      <c r="G101" s="32" t="n"/>
      <c r="H101" s="32" t="n"/>
      <c r="I101" s="5" t="n"/>
    </row>
    <row r="102" ht="20" customHeight="1">
      <c r="A102" s="29" t="n">
        <v>7</v>
      </c>
      <c r="B102" s="30">
        <f>'Getting Started'!B35</f>
        <v/>
      </c>
      <c r="C102" s="35" t="inlineStr">
        <is>
          <t>Elective / Other 1</t>
        </is>
      </c>
      <c r="D102" s="5" t="n"/>
      <c r="E102" s="5" t="n"/>
      <c r="F102" s="32" t="inlineStr">
        <is>
          <t>pages</t>
        </is>
      </c>
      <c r="G102" s="32" t="n"/>
      <c r="H102" s="32" t="n"/>
      <c r="I102" s="5" t="n"/>
    </row>
    <row r="103" ht="20" customHeight="1">
      <c r="A103" s="33" t="n">
        <v>7</v>
      </c>
      <c r="B103" s="30">
        <f>'Getting Started'!B35</f>
        <v/>
      </c>
      <c r="C103" s="36" t="inlineStr">
        <is>
          <t>Elective / Other 2</t>
        </is>
      </c>
      <c r="D103" s="5" t="n"/>
      <c r="E103" s="5" t="n"/>
      <c r="F103" s="32" t="inlineStr">
        <is>
          <t>pages</t>
        </is>
      </c>
      <c r="G103" s="32" t="n"/>
      <c r="H103" s="32" t="n"/>
      <c r="I103" s="5" t="n"/>
    </row>
    <row r="104" ht="20" customHeight="1">
      <c r="A104" s="29" t="n">
        <v>7</v>
      </c>
      <c r="B104" s="30">
        <f>'Getting Started'!B35</f>
        <v/>
      </c>
      <c r="C104" s="35" t="inlineStr">
        <is>
          <t>Elective / Other 3</t>
        </is>
      </c>
      <c r="D104" s="5" t="n"/>
      <c r="E104" s="5" t="n"/>
      <c r="F104" s="32" t="inlineStr">
        <is>
          <t>pages</t>
        </is>
      </c>
      <c r="G104" s="32" t="n"/>
      <c r="H104" s="32" t="n"/>
      <c r="I104" s="5" t="n"/>
    </row>
    <row r="105" ht="20" customHeight="1">
      <c r="A105" s="33" t="n">
        <v>7</v>
      </c>
      <c r="B105" s="30">
        <f>'Getting Started'!B35</f>
        <v/>
      </c>
      <c r="C105" s="36" t="inlineStr">
        <is>
          <t>Elective / Other 4</t>
        </is>
      </c>
      <c r="D105" s="5" t="n"/>
      <c r="E105" s="5" t="n"/>
      <c r="F105" s="32" t="inlineStr">
        <is>
          <t>pages</t>
        </is>
      </c>
      <c r="G105" s="32" t="n"/>
      <c r="H105" s="32" t="n"/>
      <c r="I105" s="5" t="n"/>
    </row>
    <row r="106" ht="20" customHeight="1">
      <c r="A106" s="29" t="n">
        <v>8</v>
      </c>
      <c r="B106" s="30">
        <f>'Getting Started'!B36</f>
        <v/>
      </c>
      <c r="C106" s="4" t="inlineStr">
        <is>
          <t>Bible</t>
        </is>
      </c>
      <c r="D106" s="31" t="inlineStr">
        <is>
          <t>—</t>
        </is>
      </c>
      <c r="E106" s="5" t="n"/>
      <c r="F106" s="32" t="inlineStr">
        <is>
          <t>pages</t>
        </is>
      </c>
      <c r="G106" s="32" t="n"/>
      <c r="H106" s="32" t="n"/>
      <c r="I106" s="5" t="n"/>
    </row>
    <row r="107" ht="20" customHeight="1">
      <c r="A107" s="33" t="n">
        <v>8</v>
      </c>
      <c r="B107" s="30">
        <f>'Getting Started'!B36</f>
        <v/>
      </c>
      <c r="C107" s="34" t="inlineStr">
        <is>
          <t>Math</t>
        </is>
      </c>
      <c r="D107" s="31" t="inlineStr">
        <is>
          <t>—</t>
        </is>
      </c>
      <c r="E107" s="5" t="n"/>
      <c r="F107" s="32" t="inlineStr">
        <is>
          <t>pages</t>
        </is>
      </c>
      <c r="G107" s="32" t="n"/>
      <c r="H107" s="32" t="n"/>
      <c r="I107" s="5" t="n"/>
    </row>
    <row r="108" ht="20" customHeight="1">
      <c r="A108" s="29" t="n">
        <v>8</v>
      </c>
      <c r="B108" s="30">
        <f>'Getting Started'!B36</f>
        <v/>
      </c>
      <c r="C108" s="4" t="inlineStr">
        <is>
          <t>English / Language Arts</t>
        </is>
      </c>
      <c r="D108" s="31" t="inlineStr">
        <is>
          <t>—</t>
        </is>
      </c>
      <c r="E108" s="5" t="n"/>
      <c r="F108" s="32" t="inlineStr">
        <is>
          <t>pages</t>
        </is>
      </c>
      <c r="G108" s="32" t="n"/>
      <c r="H108" s="32" t="n"/>
      <c r="I108" s="5" t="n"/>
    </row>
    <row r="109" ht="20" customHeight="1">
      <c r="A109" s="33" t="n">
        <v>8</v>
      </c>
      <c r="B109" s="30">
        <f>'Getting Started'!B36</f>
        <v/>
      </c>
      <c r="C109" s="34" t="inlineStr">
        <is>
          <t>Reading</t>
        </is>
      </c>
      <c r="D109" s="31" t="inlineStr">
        <is>
          <t>—</t>
        </is>
      </c>
      <c r="E109" s="5" t="n"/>
      <c r="F109" s="32" t="inlineStr">
        <is>
          <t>pages</t>
        </is>
      </c>
      <c r="G109" s="32" t="n"/>
      <c r="H109" s="32" t="n"/>
      <c r="I109" s="5" t="n"/>
    </row>
    <row r="110" ht="20" customHeight="1">
      <c r="A110" s="29" t="n">
        <v>8</v>
      </c>
      <c r="B110" s="30">
        <f>'Getting Started'!B36</f>
        <v/>
      </c>
      <c r="C110" s="4" t="inlineStr">
        <is>
          <t>Writing / Composition</t>
        </is>
      </c>
      <c r="D110" s="31" t="inlineStr">
        <is>
          <t>—</t>
        </is>
      </c>
      <c r="E110" s="5" t="n"/>
      <c r="F110" s="32" t="inlineStr">
        <is>
          <t>pages</t>
        </is>
      </c>
      <c r="G110" s="32" t="n"/>
      <c r="H110" s="32" t="n"/>
      <c r="I110" s="5" t="n"/>
    </row>
    <row r="111" ht="20" customHeight="1">
      <c r="A111" s="33" t="n">
        <v>8</v>
      </c>
      <c r="B111" s="30">
        <f>'Getting Started'!B36</f>
        <v/>
      </c>
      <c r="C111" s="34" t="inlineStr">
        <is>
          <t>Science</t>
        </is>
      </c>
      <c r="D111" s="31" t="inlineStr">
        <is>
          <t>—</t>
        </is>
      </c>
      <c r="E111" s="5" t="n"/>
      <c r="F111" s="32" t="inlineStr">
        <is>
          <t>pages</t>
        </is>
      </c>
      <c r="G111" s="32" t="n"/>
      <c r="H111" s="32" t="n"/>
      <c r="I111" s="5" t="n"/>
    </row>
    <row r="112" ht="20" customHeight="1">
      <c r="A112" s="29" t="n">
        <v>8</v>
      </c>
      <c r="B112" s="30">
        <f>'Getting Started'!B36</f>
        <v/>
      </c>
      <c r="C112" s="4" t="inlineStr">
        <is>
          <t>Social Studies / History</t>
        </is>
      </c>
      <c r="D112" s="31" t="inlineStr">
        <is>
          <t>—</t>
        </is>
      </c>
      <c r="E112" s="5" t="n"/>
      <c r="F112" s="32" t="inlineStr">
        <is>
          <t>pages</t>
        </is>
      </c>
      <c r="G112" s="32" t="n"/>
      <c r="H112" s="32" t="n"/>
      <c r="I112" s="5" t="n"/>
    </row>
    <row r="113" ht="20" customHeight="1">
      <c r="A113" s="33" t="n">
        <v>8</v>
      </c>
      <c r="B113" s="30">
        <f>'Getting Started'!B36</f>
        <v/>
      </c>
      <c r="C113" s="34" t="inlineStr">
        <is>
          <t>Health</t>
        </is>
      </c>
      <c r="D113" s="31" t="inlineStr">
        <is>
          <t>—</t>
        </is>
      </c>
      <c r="E113" s="5" t="n"/>
      <c r="F113" s="32" t="inlineStr">
        <is>
          <t>pages</t>
        </is>
      </c>
      <c r="G113" s="32" t="n"/>
      <c r="H113" s="32" t="n"/>
      <c r="I113" s="5" t="n"/>
    </row>
    <row r="114" ht="20" customHeight="1">
      <c r="A114" s="29" t="n">
        <v>8</v>
      </c>
      <c r="B114" s="30">
        <f>'Getting Started'!B36</f>
        <v/>
      </c>
      <c r="C114" s="4" t="inlineStr">
        <is>
          <t>Physical Education</t>
        </is>
      </c>
      <c r="D114" s="31" t="inlineStr">
        <is>
          <t>—</t>
        </is>
      </c>
      <c r="E114" s="5" t="n"/>
      <c r="F114" s="32" t="inlineStr">
        <is>
          <t>pages</t>
        </is>
      </c>
      <c r="G114" s="32" t="n"/>
      <c r="H114" s="32" t="n"/>
      <c r="I114" s="5" t="n"/>
    </row>
    <row r="115" ht="20" customHeight="1">
      <c r="A115" s="33" t="n">
        <v>8</v>
      </c>
      <c r="B115" s="30">
        <f>'Getting Started'!B36</f>
        <v/>
      </c>
      <c r="C115" s="34" t="inlineStr">
        <is>
          <t>Art / Music</t>
        </is>
      </c>
      <c r="D115" s="31" t="inlineStr">
        <is>
          <t>—</t>
        </is>
      </c>
      <c r="E115" s="5" t="n"/>
      <c r="F115" s="32" t="inlineStr">
        <is>
          <t>pages</t>
        </is>
      </c>
      <c r="G115" s="32" t="n"/>
      <c r="H115" s="32" t="n"/>
      <c r="I115" s="5" t="n"/>
    </row>
    <row r="116" ht="20" customHeight="1">
      <c r="A116" s="29" t="n">
        <v>8</v>
      </c>
      <c r="B116" s="30">
        <f>'Getting Started'!B36</f>
        <v/>
      </c>
      <c r="C116" s="35" t="inlineStr">
        <is>
          <t>Elective / Other 1</t>
        </is>
      </c>
      <c r="D116" s="5" t="n"/>
      <c r="E116" s="5" t="n"/>
      <c r="F116" s="32" t="inlineStr">
        <is>
          <t>pages</t>
        </is>
      </c>
      <c r="G116" s="32" t="n"/>
      <c r="H116" s="32" t="n"/>
      <c r="I116" s="5" t="n"/>
    </row>
    <row r="117" ht="20" customHeight="1">
      <c r="A117" s="33" t="n">
        <v>8</v>
      </c>
      <c r="B117" s="30">
        <f>'Getting Started'!B36</f>
        <v/>
      </c>
      <c r="C117" s="36" t="inlineStr">
        <is>
          <t>Elective / Other 2</t>
        </is>
      </c>
      <c r="D117" s="5" t="n"/>
      <c r="E117" s="5" t="n"/>
      <c r="F117" s="32" t="inlineStr">
        <is>
          <t>pages</t>
        </is>
      </c>
      <c r="G117" s="32" t="n"/>
      <c r="H117" s="32" t="n"/>
      <c r="I117" s="5" t="n"/>
    </row>
    <row r="118" ht="20" customHeight="1">
      <c r="A118" s="29" t="n">
        <v>8</v>
      </c>
      <c r="B118" s="30">
        <f>'Getting Started'!B36</f>
        <v/>
      </c>
      <c r="C118" s="35" t="inlineStr">
        <is>
          <t>Elective / Other 3</t>
        </is>
      </c>
      <c r="D118" s="5" t="n"/>
      <c r="E118" s="5" t="n"/>
      <c r="F118" s="32" t="inlineStr">
        <is>
          <t>pages</t>
        </is>
      </c>
      <c r="G118" s="32" t="n"/>
      <c r="H118" s="32" t="n"/>
      <c r="I118" s="5" t="n"/>
    </row>
    <row r="119" ht="20" customHeight="1">
      <c r="A119" s="33" t="n">
        <v>8</v>
      </c>
      <c r="B119" s="30">
        <f>'Getting Started'!B36</f>
        <v/>
      </c>
      <c r="C119" s="36" t="inlineStr">
        <is>
          <t>Elective / Other 4</t>
        </is>
      </c>
      <c r="D119" s="5" t="n"/>
      <c r="E119" s="5" t="n"/>
      <c r="F119" s="32" t="inlineStr">
        <is>
          <t>pages</t>
        </is>
      </c>
      <c r="G119" s="32" t="n"/>
      <c r="H119" s="32" t="n"/>
      <c r="I119" s="5" t="n"/>
    </row>
    <row r="120" ht="20" customHeight="1">
      <c r="A120" s="29" t="n">
        <v>9</v>
      </c>
      <c r="B120" s="30">
        <f>'Getting Started'!B37</f>
        <v/>
      </c>
      <c r="C120" s="4" t="inlineStr">
        <is>
          <t>Bible</t>
        </is>
      </c>
      <c r="D120" s="31" t="inlineStr">
        <is>
          <t>—</t>
        </is>
      </c>
      <c r="E120" s="5" t="n"/>
      <c r="F120" s="32" t="inlineStr">
        <is>
          <t>pages</t>
        </is>
      </c>
      <c r="G120" s="32" t="n"/>
      <c r="H120" s="32" t="n"/>
      <c r="I120" s="5" t="n"/>
    </row>
    <row r="121" ht="20" customHeight="1">
      <c r="A121" s="33" t="n">
        <v>9</v>
      </c>
      <c r="B121" s="30">
        <f>'Getting Started'!B37</f>
        <v/>
      </c>
      <c r="C121" s="34" t="inlineStr">
        <is>
          <t>Math</t>
        </is>
      </c>
      <c r="D121" s="31" t="inlineStr">
        <is>
          <t>—</t>
        </is>
      </c>
      <c r="E121" s="5" t="n"/>
      <c r="F121" s="32" t="inlineStr">
        <is>
          <t>pages</t>
        </is>
      </c>
      <c r="G121" s="32" t="n"/>
      <c r="H121" s="32" t="n"/>
      <c r="I121" s="5" t="n"/>
    </row>
    <row r="122" ht="20" customHeight="1">
      <c r="A122" s="29" t="n">
        <v>9</v>
      </c>
      <c r="B122" s="30">
        <f>'Getting Started'!B37</f>
        <v/>
      </c>
      <c r="C122" s="4" t="inlineStr">
        <is>
          <t>English / Language Arts</t>
        </is>
      </c>
      <c r="D122" s="31" t="inlineStr">
        <is>
          <t>—</t>
        </is>
      </c>
      <c r="E122" s="5" t="n"/>
      <c r="F122" s="32" t="inlineStr">
        <is>
          <t>pages</t>
        </is>
      </c>
      <c r="G122" s="32" t="n"/>
      <c r="H122" s="32" t="n"/>
      <c r="I122" s="5" t="n"/>
    </row>
    <row r="123" ht="20" customHeight="1">
      <c r="A123" s="33" t="n">
        <v>9</v>
      </c>
      <c r="B123" s="30">
        <f>'Getting Started'!B37</f>
        <v/>
      </c>
      <c r="C123" s="34" t="inlineStr">
        <is>
          <t>Reading</t>
        </is>
      </c>
      <c r="D123" s="31" t="inlineStr">
        <is>
          <t>—</t>
        </is>
      </c>
      <c r="E123" s="5" t="n"/>
      <c r="F123" s="32" t="inlineStr">
        <is>
          <t>pages</t>
        </is>
      </c>
      <c r="G123" s="32" t="n"/>
      <c r="H123" s="32" t="n"/>
      <c r="I123" s="5" t="n"/>
    </row>
    <row r="124" ht="20" customHeight="1">
      <c r="A124" s="29" t="n">
        <v>9</v>
      </c>
      <c r="B124" s="30">
        <f>'Getting Started'!B37</f>
        <v/>
      </c>
      <c r="C124" s="4" t="inlineStr">
        <is>
          <t>Writing / Composition</t>
        </is>
      </c>
      <c r="D124" s="31" t="inlineStr">
        <is>
          <t>—</t>
        </is>
      </c>
      <c r="E124" s="5" t="n"/>
      <c r="F124" s="32" t="inlineStr">
        <is>
          <t>pages</t>
        </is>
      </c>
      <c r="G124" s="32" t="n"/>
      <c r="H124" s="32" t="n"/>
      <c r="I124" s="5" t="n"/>
    </row>
    <row r="125" ht="20" customHeight="1">
      <c r="A125" s="33" t="n">
        <v>9</v>
      </c>
      <c r="B125" s="30">
        <f>'Getting Started'!B37</f>
        <v/>
      </c>
      <c r="C125" s="34" t="inlineStr">
        <is>
          <t>Science</t>
        </is>
      </c>
      <c r="D125" s="31" t="inlineStr">
        <is>
          <t>—</t>
        </is>
      </c>
      <c r="E125" s="5" t="n"/>
      <c r="F125" s="32" t="inlineStr">
        <is>
          <t>pages</t>
        </is>
      </c>
      <c r="G125" s="32" t="n"/>
      <c r="H125" s="32" t="n"/>
      <c r="I125" s="5" t="n"/>
    </row>
    <row r="126" ht="20" customHeight="1">
      <c r="A126" s="29" t="n">
        <v>9</v>
      </c>
      <c r="B126" s="30">
        <f>'Getting Started'!B37</f>
        <v/>
      </c>
      <c r="C126" s="4" t="inlineStr">
        <is>
          <t>Social Studies / History</t>
        </is>
      </c>
      <c r="D126" s="31" t="inlineStr">
        <is>
          <t>—</t>
        </is>
      </c>
      <c r="E126" s="5" t="n"/>
      <c r="F126" s="32" t="inlineStr">
        <is>
          <t>pages</t>
        </is>
      </c>
      <c r="G126" s="32" t="n"/>
      <c r="H126" s="32" t="n"/>
      <c r="I126" s="5" t="n"/>
    </row>
    <row r="127" ht="20" customHeight="1">
      <c r="A127" s="33" t="n">
        <v>9</v>
      </c>
      <c r="B127" s="30">
        <f>'Getting Started'!B37</f>
        <v/>
      </c>
      <c r="C127" s="34" t="inlineStr">
        <is>
          <t>Health</t>
        </is>
      </c>
      <c r="D127" s="31" t="inlineStr">
        <is>
          <t>—</t>
        </is>
      </c>
      <c r="E127" s="5" t="n"/>
      <c r="F127" s="32" t="inlineStr">
        <is>
          <t>pages</t>
        </is>
      </c>
      <c r="G127" s="32" t="n"/>
      <c r="H127" s="32" t="n"/>
      <c r="I127" s="5" t="n"/>
    </row>
    <row r="128" ht="20" customHeight="1">
      <c r="A128" s="29" t="n">
        <v>9</v>
      </c>
      <c r="B128" s="30">
        <f>'Getting Started'!B37</f>
        <v/>
      </c>
      <c r="C128" s="4" t="inlineStr">
        <is>
          <t>Physical Education</t>
        </is>
      </c>
      <c r="D128" s="31" t="inlineStr">
        <is>
          <t>—</t>
        </is>
      </c>
      <c r="E128" s="5" t="n"/>
      <c r="F128" s="32" t="inlineStr">
        <is>
          <t>pages</t>
        </is>
      </c>
      <c r="G128" s="32" t="n"/>
      <c r="H128" s="32" t="n"/>
      <c r="I128" s="5" t="n"/>
    </row>
    <row r="129" ht="20" customHeight="1">
      <c r="A129" s="33" t="n">
        <v>9</v>
      </c>
      <c r="B129" s="30">
        <f>'Getting Started'!B37</f>
        <v/>
      </c>
      <c r="C129" s="34" t="inlineStr">
        <is>
          <t>Art / Music</t>
        </is>
      </c>
      <c r="D129" s="31" t="inlineStr">
        <is>
          <t>—</t>
        </is>
      </c>
      <c r="E129" s="5" t="n"/>
      <c r="F129" s="32" t="inlineStr">
        <is>
          <t>pages</t>
        </is>
      </c>
      <c r="G129" s="32" t="n"/>
      <c r="H129" s="32" t="n"/>
      <c r="I129" s="5" t="n"/>
    </row>
    <row r="130" ht="20" customHeight="1">
      <c r="A130" s="29" t="n">
        <v>9</v>
      </c>
      <c r="B130" s="30">
        <f>'Getting Started'!B37</f>
        <v/>
      </c>
      <c r="C130" s="35" t="inlineStr">
        <is>
          <t>Elective / Other 1</t>
        </is>
      </c>
      <c r="D130" s="5" t="n"/>
      <c r="E130" s="5" t="n"/>
      <c r="F130" s="32" t="inlineStr">
        <is>
          <t>pages</t>
        </is>
      </c>
      <c r="G130" s="32" t="n"/>
      <c r="H130" s="32" t="n"/>
      <c r="I130" s="5" t="n"/>
    </row>
    <row r="131" ht="20" customHeight="1">
      <c r="A131" s="33" t="n">
        <v>9</v>
      </c>
      <c r="B131" s="30">
        <f>'Getting Started'!B37</f>
        <v/>
      </c>
      <c r="C131" s="36" t="inlineStr">
        <is>
          <t>Elective / Other 2</t>
        </is>
      </c>
      <c r="D131" s="5" t="n"/>
      <c r="E131" s="5" t="n"/>
      <c r="F131" s="32" t="inlineStr">
        <is>
          <t>pages</t>
        </is>
      </c>
      <c r="G131" s="32" t="n"/>
      <c r="H131" s="32" t="n"/>
      <c r="I131" s="5" t="n"/>
    </row>
    <row r="132" ht="20" customHeight="1">
      <c r="A132" s="29" t="n">
        <v>9</v>
      </c>
      <c r="B132" s="30">
        <f>'Getting Started'!B37</f>
        <v/>
      </c>
      <c r="C132" s="35" t="inlineStr">
        <is>
          <t>Elective / Other 3</t>
        </is>
      </c>
      <c r="D132" s="5" t="n"/>
      <c r="E132" s="5" t="n"/>
      <c r="F132" s="32" t="inlineStr">
        <is>
          <t>pages</t>
        </is>
      </c>
      <c r="G132" s="32" t="n"/>
      <c r="H132" s="32" t="n"/>
      <c r="I132" s="5" t="n"/>
    </row>
    <row r="133" ht="20" customHeight="1">
      <c r="A133" s="33" t="n">
        <v>9</v>
      </c>
      <c r="B133" s="30">
        <f>'Getting Started'!B37</f>
        <v/>
      </c>
      <c r="C133" s="36" t="inlineStr">
        <is>
          <t>Elective / Other 4</t>
        </is>
      </c>
      <c r="D133" s="5" t="n"/>
      <c r="E133" s="5" t="n"/>
      <c r="F133" s="32" t="inlineStr">
        <is>
          <t>pages</t>
        </is>
      </c>
      <c r="G133" s="32" t="n"/>
      <c r="H133" s="32" t="n"/>
      <c r="I133" s="5" t="n"/>
    </row>
    <row r="134" ht="20" customHeight="1">
      <c r="A134" s="29" t="n">
        <v>10</v>
      </c>
      <c r="B134" s="30">
        <f>'Getting Started'!B38</f>
        <v/>
      </c>
      <c r="C134" s="4" t="inlineStr">
        <is>
          <t>Bible</t>
        </is>
      </c>
      <c r="D134" s="31" t="inlineStr">
        <is>
          <t>—</t>
        </is>
      </c>
      <c r="E134" s="5" t="n"/>
      <c r="F134" s="32" t="inlineStr">
        <is>
          <t>pages</t>
        </is>
      </c>
      <c r="G134" s="32" t="n"/>
      <c r="H134" s="32" t="n"/>
      <c r="I134" s="5" t="n"/>
    </row>
    <row r="135" ht="20" customHeight="1">
      <c r="A135" s="33" t="n">
        <v>10</v>
      </c>
      <c r="B135" s="30">
        <f>'Getting Started'!B38</f>
        <v/>
      </c>
      <c r="C135" s="34" t="inlineStr">
        <is>
          <t>Math</t>
        </is>
      </c>
      <c r="D135" s="31" t="inlineStr">
        <is>
          <t>—</t>
        </is>
      </c>
      <c r="E135" s="5" t="n"/>
      <c r="F135" s="32" t="inlineStr">
        <is>
          <t>pages</t>
        </is>
      </c>
      <c r="G135" s="32" t="n"/>
      <c r="H135" s="32" t="n"/>
      <c r="I135" s="5" t="n"/>
    </row>
    <row r="136" ht="20" customHeight="1">
      <c r="A136" s="29" t="n">
        <v>10</v>
      </c>
      <c r="B136" s="30">
        <f>'Getting Started'!B38</f>
        <v/>
      </c>
      <c r="C136" s="4" t="inlineStr">
        <is>
          <t>English / Language Arts</t>
        </is>
      </c>
      <c r="D136" s="31" t="inlineStr">
        <is>
          <t>—</t>
        </is>
      </c>
      <c r="E136" s="5" t="n"/>
      <c r="F136" s="32" t="inlineStr">
        <is>
          <t>pages</t>
        </is>
      </c>
      <c r="G136" s="32" t="n"/>
      <c r="H136" s="32" t="n"/>
      <c r="I136" s="5" t="n"/>
    </row>
    <row r="137" ht="20" customHeight="1">
      <c r="A137" s="33" t="n">
        <v>10</v>
      </c>
      <c r="B137" s="30">
        <f>'Getting Started'!B38</f>
        <v/>
      </c>
      <c r="C137" s="34" t="inlineStr">
        <is>
          <t>Reading</t>
        </is>
      </c>
      <c r="D137" s="31" t="inlineStr">
        <is>
          <t>—</t>
        </is>
      </c>
      <c r="E137" s="5" t="n"/>
      <c r="F137" s="32" t="inlineStr">
        <is>
          <t>pages</t>
        </is>
      </c>
      <c r="G137" s="32" t="n"/>
      <c r="H137" s="32" t="n"/>
      <c r="I137" s="5" t="n"/>
    </row>
    <row r="138" ht="20" customHeight="1">
      <c r="A138" s="29" t="n">
        <v>10</v>
      </c>
      <c r="B138" s="30">
        <f>'Getting Started'!B38</f>
        <v/>
      </c>
      <c r="C138" s="4" t="inlineStr">
        <is>
          <t>Writing / Composition</t>
        </is>
      </c>
      <c r="D138" s="31" t="inlineStr">
        <is>
          <t>—</t>
        </is>
      </c>
      <c r="E138" s="5" t="n"/>
      <c r="F138" s="32" t="inlineStr">
        <is>
          <t>pages</t>
        </is>
      </c>
      <c r="G138" s="32" t="n"/>
      <c r="H138" s="32" t="n"/>
      <c r="I138" s="5" t="n"/>
    </row>
    <row r="139" ht="20" customHeight="1">
      <c r="A139" s="33" t="n">
        <v>10</v>
      </c>
      <c r="B139" s="30">
        <f>'Getting Started'!B38</f>
        <v/>
      </c>
      <c r="C139" s="34" t="inlineStr">
        <is>
          <t>Science</t>
        </is>
      </c>
      <c r="D139" s="31" t="inlineStr">
        <is>
          <t>—</t>
        </is>
      </c>
      <c r="E139" s="5" t="n"/>
      <c r="F139" s="32" t="inlineStr">
        <is>
          <t>pages</t>
        </is>
      </c>
      <c r="G139" s="32" t="n"/>
      <c r="H139" s="32" t="n"/>
      <c r="I139" s="5" t="n"/>
    </row>
    <row r="140" ht="20" customHeight="1">
      <c r="A140" s="29" t="n">
        <v>10</v>
      </c>
      <c r="B140" s="30">
        <f>'Getting Started'!B38</f>
        <v/>
      </c>
      <c r="C140" s="4" t="inlineStr">
        <is>
          <t>Social Studies / History</t>
        </is>
      </c>
      <c r="D140" s="31" t="inlineStr">
        <is>
          <t>—</t>
        </is>
      </c>
      <c r="E140" s="5" t="n"/>
      <c r="F140" s="32" t="inlineStr">
        <is>
          <t>pages</t>
        </is>
      </c>
      <c r="G140" s="32" t="n"/>
      <c r="H140" s="32" t="n"/>
      <c r="I140" s="5" t="n"/>
    </row>
    <row r="141" ht="20" customHeight="1">
      <c r="A141" s="33" t="n">
        <v>10</v>
      </c>
      <c r="B141" s="30">
        <f>'Getting Started'!B38</f>
        <v/>
      </c>
      <c r="C141" s="34" t="inlineStr">
        <is>
          <t>Health</t>
        </is>
      </c>
      <c r="D141" s="31" t="inlineStr">
        <is>
          <t>—</t>
        </is>
      </c>
      <c r="E141" s="5" t="n"/>
      <c r="F141" s="32" t="inlineStr">
        <is>
          <t>pages</t>
        </is>
      </c>
      <c r="G141" s="32" t="n"/>
      <c r="H141" s="32" t="n"/>
      <c r="I141" s="5" t="n"/>
    </row>
    <row r="142" ht="20" customHeight="1">
      <c r="A142" s="29" t="n">
        <v>10</v>
      </c>
      <c r="B142" s="30">
        <f>'Getting Started'!B38</f>
        <v/>
      </c>
      <c r="C142" s="4" t="inlineStr">
        <is>
          <t>Physical Education</t>
        </is>
      </c>
      <c r="D142" s="31" t="inlineStr">
        <is>
          <t>—</t>
        </is>
      </c>
      <c r="E142" s="5" t="n"/>
      <c r="F142" s="32" t="inlineStr">
        <is>
          <t>pages</t>
        </is>
      </c>
      <c r="G142" s="32" t="n"/>
      <c r="H142" s="32" t="n"/>
      <c r="I142" s="5" t="n"/>
    </row>
    <row r="143" ht="20" customHeight="1">
      <c r="A143" s="33" t="n">
        <v>10</v>
      </c>
      <c r="B143" s="30">
        <f>'Getting Started'!B38</f>
        <v/>
      </c>
      <c r="C143" s="34" t="inlineStr">
        <is>
          <t>Art / Music</t>
        </is>
      </c>
      <c r="D143" s="31" t="inlineStr">
        <is>
          <t>—</t>
        </is>
      </c>
      <c r="E143" s="5" t="n"/>
      <c r="F143" s="32" t="inlineStr">
        <is>
          <t>pages</t>
        </is>
      </c>
      <c r="G143" s="32" t="n"/>
      <c r="H143" s="32" t="n"/>
      <c r="I143" s="5" t="n"/>
    </row>
    <row r="144" ht="20" customHeight="1">
      <c r="A144" s="29" t="n">
        <v>10</v>
      </c>
      <c r="B144" s="30">
        <f>'Getting Started'!B38</f>
        <v/>
      </c>
      <c r="C144" s="35" t="inlineStr">
        <is>
          <t>Elective / Other 1</t>
        </is>
      </c>
      <c r="D144" s="5" t="n"/>
      <c r="E144" s="5" t="n"/>
      <c r="F144" s="32" t="inlineStr">
        <is>
          <t>pages</t>
        </is>
      </c>
      <c r="G144" s="32" t="n"/>
      <c r="H144" s="32" t="n"/>
      <c r="I144" s="5" t="n"/>
    </row>
    <row r="145" ht="20" customHeight="1">
      <c r="A145" s="33" t="n">
        <v>10</v>
      </c>
      <c r="B145" s="30">
        <f>'Getting Started'!B38</f>
        <v/>
      </c>
      <c r="C145" s="36" t="inlineStr">
        <is>
          <t>Elective / Other 2</t>
        </is>
      </c>
      <c r="D145" s="5" t="n"/>
      <c r="E145" s="5" t="n"/>
      <c r="F145" s="32" t="inlineStr">
        <is>
          <t>pages</t>
        </is>
      </c>
      <c r="G145" s="32" t="n"/>
      <c r="H145" s="32" t="n"/>
      <c r="I145" s="5" t="n"/>
    </row>
    <row r="146" ht="20" customHeight="1">
      <c r="A146" s="29" t="n">
        <v>10</v>
      </c>
      <c r="B146" s="30">
        <f>'Getting Started'!B38</f>
        <v/>
      </c>
      <c r="C146" s="35" t="inlineStr">
        <is>
          <t>Elective / Other 3</t>
        </is>
      </c>
      <c r="D146" s="5" t="n"/>
      <c r="E146" s="5" t="n"/>
      <c r="F146" s="32" t="inlineStr">
        <is>
          <t>pages</t>
        </is>
      </c>
      <c r="G146" s="32" t="n"/>
      <c r="H146" s="32" t="n"/>
      <c r="I146" s="5" t="n"/>
    </row>
    <row r="147" ht="20" customHeight="1">
      <c r="A147" s="33" t="n">
        <v>10</v>
      </c>
      <c r="B147" s="30">
        <f>'Getting Started'!B38</f>
        <v/>
      </c>
      <c r="C147" s="36" t="inlineStr">
        <is>
          <t>Elective / Other 4</t>
        </is>
      </c>
      <c r="D147" s="5" t="n"/>
      <c r="E147" s="5" t="n"/>
      <c r="F147" s="32" t="inlineStr">
        <is>
          <t>pages</t>
        </is>
      </c>
      <c r="G147" s="32" t="n"/>
      <c r="H147" s="32" t="n"/>
      <c r="I147" s="5" t="n"/>
    </row>
  </sheetData>
  <autoFilter ref="A7:I147"/>
  <mergeCells count="6">
    <mergeCell ref="A4:B4"/>
    <mergeCell ref="A2:I2"/>
    <mergeCell ref="F4:I4"/>
    <mergeCell ref="A1:I1"/>
    <mergeCell ref="D4:E4"/>
    <mergeCell ref="A6:I6"/>
  </mergeCells>
  <conditionalFormatting sqref="A8:I147">
    <cfRule type="expression" priority="1" dxfId="0">
      <formula>$A8=$C$4</formula>
    </cfRule>
  </conditionalFormatting>
  <dataValidations count="2">
    <dataValidation sqref="C4" showDropDown="0" showInputMessage="0" showErrorMessage="1" allowBlank="0" errorTitle="Invalid" error="Enter 1–10" type="whole" operator="between">
      <formula1>1</formula1>
      <formula2>10</formula2>
    </dataValidation>
    <dataValidation sqref="A8 A9 A10 A11 A12 A13 A14 A15 A16 A17 A18 A19 A20 A21 A22 A23 A24 A25 A26 A27 A28 A29 A30 A31 A32 A33 A34 A35 A36 A37 A38 A39 A40 A41 A42 A43 A44 A45 A46 A47 A48 A49 A50 A51 A52 A53 A54 A55 A56 A57 A58 A59 A60 A61 A62 A63 A64 A65 A66 A67 A68 A69 A70 A71 A72 A73 A74 A75 A76 A77 A78 A79 A80 A81 A82 A83 A84 A85 A86 A87 A88 A89 A90 A91 A92 A93 A94 A95 A96 A97 A98 A99 A100 A101 A102 A103 A104 A105 A106 A107 A108 A109 A110 A111 A112 A113 A114 A115 A116 A117 A118 A119 A120 A121 A122 A123 A124 A125 A126 A127 A128 A129 A130 A131 A132 A133 A134 A135 A136 A137 A138 A139 A140 A141 A142 A143 A144 A145 A146 A147" showDropDown="0" showInputMessage="0" showErrorMessage="0" allowBlank="0" type="whole" operator="between">
      <formula1>1</formula1>
      <formula2>10</formula2>
    </dataValidation>
  </dataValidations>
  <pageMargins left="0.75" right="0.75" top="1" bottom="1" header="0.5" footer="0.5"/>
</worksheet>
</file>

<file path=xl/worksheets/sheet3.xml><?xml version="1.0" encoding="utf-8"?>
<worksheet xmlns="http://schemas.openxmlformats.org/spreadsheetml/2006/main">
  <sheetPr>
    <tabColor rgb="00C48B8B"/>
    <outlinePr summaryBelow="1" summaryRight="1"/>
    <pageSetUpPr/>
  </sheetPr>
  <dimension ref="A1:J173"/>
  <sheetViews>
    <sheetView workbookViewId="0">
      <pane ySplit="6" topLeftCell="A7"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8" customWidth="1" min="5" max="5"/>
    <col width="4" customWidth="1" min="6" max="6"/>
    <col width="14" customWidth="1" min="7" max="7"/>
    <col width="14" customWidth="1" min="8" max="8"/>
    <col width="14" customWidth="1" min="9" max="9"/>
    <col width="18" customWidth="1" min="10" max="10"/>
  </cols>
  <sheetData>
    <row r="1" ht="40" customHeight="1">
      <c r="A1" s="1">
        <f>IF('Getting Started'!B29="","Student 1",'Getting Started'!B29)</f>
        <v/>
      </c>
    </row>
    <row r="2" ht="22" customHeight="1">
      <c r="A2" s="37">
        <f>IFERROR("Grade: "&amp;'Getting Started'!F29&amp;"   ·   School Year: "&amp;'Getting Started'!C6,"")</f>
        <v/>
      </c>
    </row>
    <row r="3" ht="8" customHeight="1"/>
    <row r="4" ht="22" customHeight="1">
      <c r="A4" s="38">
        <f>IFERROR("SEMESTER 1   "&amp;TEXT('Getting Started'!C10,"MMM D")&amp;" – "&amp;TEXT('Getting Started'!C11,"MMM D, YYYY")&amp;"   ("&amp;'Getting Started'!C15&amp;" wks)","SEMESTER 1")</f>
        <v/>
      </c>
      <c r="F4" s="39" t="n"/>
      <c r="G4" s="40">
        <f>IFERROR("SEMESTER 2   "&amp;TEXT('Getting Started'!C18,"MMM D")&amp;" – "&amp;TEXT('Getting Started'!C19,"MMM D, YYYY")&amp;"   ("&amp;'Getting Started'!C23&amp;" wks)","SEMESTER 2")</f>
        <v/>
      </c>
    </row>
    <row r="5" ht="24" customHeight="1">
      <c r="A5" s="28" t="inlineStr">
        <is>
          <t>Subject  /  Curriculum</t>
        </is>
      </c>
      <c r="B5" s="41" t="inlineStr">
        <is>
          <t>Sem 1
Units</t>
        </is>
      </c>
      <c r="C5" s="41" t="inlineStr">
        <is>
          <t>/ Week</t>
        </is>
      </c>
      <c r="D5" s="41" t="inlineStr">
        <is>
          <t>/ Day</t>
        </is>
      </c>
      <c r="E5" s="41" t="inlineStr">
        <is>
          <t>Est. End</t>
        </is>
      </c>
      <c r="F5" s="42" t="inlineStr"/>
      <c r="G5" s="43" t="inlineStr">
        <is>
          <t>Sem 2
Units</t>
        </is>
      </c>
      <c r="H5" s="43" t="inlineStr">
        <is>
          <t>/ Week</t>
        </is>
      </c>
      <c r="I5" s="43" t="inlineStr">
        <is>
          <t>/ Day</t>
        </is>
      </c>
      <c r="J5" s="43" t="inlineStr">
        <is>
          <t>Est. End</t>
        </is>
      </c>
    </row>
    <row r="6" ht="8" customHeight="1"/>
    <row r="7" ht="24" customHeight="1">
      <c r="A7" s="44" t="inlineStr">
        <is>
          <t xml:space="preserve">  BIBLE</t>
        </is>
      </c>
      <c r="E7" s="45">
        <f>IFERROR(IF('Course Content'!E8="","← enter on Course Content tab",'Course Content'!E8),"")</f>
        <v/>
      </c>
    </row>
    <row r="8" ht="22" customHeight="1">
      <c r="B8" s="46">
        <f>'Course Content'!G8</f>
        <v/>
      </c>
      <c r="C8" s="47">
        <f>IFERROR(IF(B8="","",ROUND(B8/'Getting Started'!C15,1)),"")</f>
        <v/>
      </c>
      <c r="D8" s="47">
        <f>IFERROR(IF(C8="","",ROUND(C8/'Getting Started'!C7,1)),"")</f>
        <v/>
      </c>
      <c r="E8" s="48">
        <f>IFERROR(IF(B8="","",TEXT('Getting Started'!C10+(B8/D8),"MMM D, YYYY")),"")</f>
        <v/>
      </c>
      <c r="F8" s="39" t="n"/>
      <c r="G8" s="49">
        <f>'Course Content'!H8</f>
        <v/>
      </c>
      <c r="H8" s="50">
        <f>IFERROR(IF(G8="","",ROUND(G8/'Getting Started'!C23,1)),"")</f>
        <v/>
      </c>
      <c r="I8" s="50">
        <f>IFERROR(IF(H8="","",ROUND(H8/'Getting Started'!C7,1)),"")</f>
        <v/>
      </c>
      <c r="J8" s="51">
        <f>IFERROR(IF(G8="","",TEXT('Getting Started'!C18+(G8/I8),"MMM D, YYYY")),"")</f>
        <v/>
      </c>
    </row>
    <row r="9" ht="16" customHeight="1">
      <c r="A9" s="52" t="inlineStr">
        <is>
          <t xml:space="preserve">  Component Breakdown  (optional — use for multi-volume curricula)</t>
        </is>
      </c>
    </row>
    <row r="10" ht="22" customHeight="1">
      <c r="A10" s="28" t="inlineStr">
        <is>
          <t>#</t>
        </is>
      </c>
      <c r="B10" s="28" t="inlineStr">
        <is>
          <t>Book / Component Title</t>
        </is>
      </c>
      <c r="F10" s="28" t="inlineStr">
        <is>
          <t>Units</t>
        </is>
      </c>
      <c r="G10" s="28" t="inlineStr">
        <is>
          <t>Cumul.</t>
        </is>
      </c>
      <c r="H10" s="28" t="inlineStr">
        <is>
          <t>Start
Week</t>
        </is>
      </c>
      <c r="I10" s="28" t="inlineStr">
        <is>
          <t>End
Week</t>
        </is>
      </c>
      <c r="J10" s="28" t="inlineStr">
        <is>
          <t>Est. Dates</t>
        </is>
      </c>
    </row>
    <row r="11" ht="18" customHeight="1">
      <c r="A11" s="53" t="n">
        <v>1</v>
      </c>
      <c r="B11" s="5" t="n"/>
      <c r="F11" s="32" t="n"/>
      <c r="G11" s="17">
        <f>IFERROR(SUM(F11:F11),"")</f>
        <v/>
      </c>
      <c r="H11" s="17">
        <f>IF(F11="","",1)</f>
        <v/>
      </c>
      <c r="I11" s="17">
        <f>IFERROR(IF(F11="","",CEILING(G11/((IFERROR(B8,0)+IFERROR(G8,0))/(IFERROR('Getting Started'!C15,0)+IFERROR('Getting Started'!C23,0))),1)),"")</f>
        <v/>
      </c>
      <c r="J11" s="54">
        <f>IFERROR(IF(F11="","",TEXT('Getting Started'!C10+(H11-1)*7,"MMM D")&amp;" – "&amp;TEXT('Getting Started'!C10+I11*7,"MMM D")),"")</f>
        <v/>
      </c>
    </row>
    <row r="12" ht="18" customHeight="1">
      <c r="A12" s="53" t="n">
        <v>2</v>
      </c>
      <c r="B12" s="18" t="n"/>
      <c r="F12" s="55" t="n"/>
      <c r="G12" s="17">
        <f>IFERROR(SUM(F11:F12),"")</f>
        <v/>
      </c>
      <c r="H12" s="17">
        <f>IFERROR(IF(F12="","",FLOOR(G11/((IFERROR(B8,0)+IFERROR(G8,0))/(IFERROR('Getting Started'!C15,0)+IFERROR('Getting Started'!C23,0))),1)+1),"")</f>
        <v/>
      </c>
      <c r="I12" s="17">
        <f>IFERROR(IF(F12="","",CEILING(G12/((IFERROR(B8,0)+IFERROR(G8,0))/(IFERROR('Getting Started'!C15,0)+IFERROR('Getting Started'!C23,0))),1)),"")</f>
        <v/>
      </c>
      <c r="J12" s="54">
        <f>IFERROR(IF(F12="","",TEXT('Getting Started'!C10+(H12-1)*7,"MMM D")&amp;" – "&amp;TEXT('Getting Started'!C10+I12*7,"MMM D")),"")</f>
        <v/>
      </c>
    </row>
    <row r="13" ht="18" customHeight="1">
      <c r="A13" s="53" t="n">
        <v>3</v>
      </c>
      <c r="B13" s="5" t="n"/>
      <c r="F13" s="32" t="n"/>
      <c r="G13" s="17">
        <f>IFERROR(SUM(F11:F13),"")</f>
        <v/>
      </c>
      <c r="H13" s="17">
        <f>IFERROR(IF(F13="","",FLOOR(G12/((IFERROR(B8,0)+IFERROR(G8,0))/(IFERROR('Getting Started'!C15,0)+IFERROR('Getting Started'!C23,0))),1)+1),"")</f>
        <v/>
      </c>
      <c r="I13" s="17">
        <f>IFERROR(IF(F13="","",CEILING(G13/((IFERROR(B8,0)+IFERROR(G8,0))/(IFERROR('Getting Started'!C15,0)+IFERROR('Getting Started'!C23,0))),1)),"")</f>
        <v/>
      </c>
      <c r="J13" s="54">
        <f>IFERROR(IF(F13="","",TEXT('Getting Started'!C10+(H13-1)*7,"MMM D")&amp;" – "&amp;TEXT('Getting Started'!C10+I13*7,"MMM D")),"")</f>
        <v/>
      </c>
    </row>
    <row r="14" ht="18" customHeight="1">
      <c r="A14" s="53" t="n">
        <v>4</v>
      </c>
      <c r="B14" s="18" t="n"/>
      <c r="F14" s="55" t="n"/>
      <c r="G14" s="17">
        <f>IFERROR(SUM(F11:F14),"")</f>
        <v/>
      </c>
      <c r="H14" s="17">
        <f>IFERROR(IF(F14="","",FLOOR(G13/((IFERROR(B8,0)+IFERROR(G8,0))/(IFERROR('Getting Started'!C15,0)+IFERROR('Getting Started'!C23,0))),1)+1),"")</f>
        <v/>
      </c>
      <c r="I14" s="17">
        <f>IFERROR(IF(F14="","",CEILING(G14/((IFERROR(B8,0)+IFERROR(G8,0))/(IFERROR('Getting Started'!C15,0)+IFERROR('Getting Started'!C23,0))),1)),"")</f>
        <v/>
      </c>
      <c r="J14" s="54">
        <f>IFERROR(IF(F14="","",TEXT('Getting Started'!C10+(H14-1)*7,"MMM D")&amp;" – "&amp;TEXT('Getting Started'!C10+I14*7,"MMM D")),"")</f>
        <v/>
      </c>
    </row>
    <row r="15" ht="18" customHeight="1">
      <c r="A15" s="53" t="n">
        <v>5</v>
      </c>
      <c r="B15" s="5" t="n"/>
      <c r="F15" s="32" t="n"/>
      <c r="G15" s="17">
        <f>IFERROR(SUM(F11:F15),"")</f>
        <v/>
      </c>
      <c r="H15" s="17">
        <f>IFERROR(IF(F15="","",FLOOR(G14/((IFERROR(B8,0)+IFERROR(G8,0))/(IFERROR('Getting Started'!C15,0)+IFERROR('Getting Started'!C23,0))),1)+1),"")</f>
        <v/>
      </c>
      <c r="I15" s="17">
        <f>IFERROR(IF(F15="","",CEILING(G15/((IFERROR(B8,0)+IFERROR(G8,0))/(IFERROR('Getting Started'!C15,0)+IFERROR('Getting Started'!C23,0))),1)),"")</f>
        <v/>
      </c>
      <c r="J15" s="54">
        <f>IFERROR(IF(F15="","",TEXT('Getting Started'!C10+(H15-1)*7,"MMM D")&amp;" – "&amp;TEXT('Getting Started'!C10+I15*7,"MMM D")),"")</f>
        <v/>
      </c>
    </row>
    <row r="16" ht="18" customHeight="1">
      <c r="A16" s="53" t="n">
        <v>6</v>
      </c>
      <c r="B16" s="18" t="n"/>
      <c r="F16" s="55" t="n"/>
      <c r="G16" s="17">
        <f>IFERROR(SUM(F11:F16),"")</f>
        <v/>
      </c>
      <c r="H16" s="17">
        <f>IFERROR(IF(F16="","",FLOOR(G15/((IFERROR(B8,0)+IFERROR(G8,0))/(IFERROR('Getting Started'!C15,0)+IFERROR('Getting Started'!C23,0))),1)+1),"")</f>
        <v/>
      </c>
      <c r="I16" s="17">
        <f>IFERROR(IF(F16="","",CEILING(G16/((IFERROR(B8,0)+IFERROR(G8,0))/(IFERROR('Getting Started'!C15,0)+IFERROR('Getting Started'!C23,0))),1)),"")</f>
        <v/>
      </c>
      <c r="J16" s="54">
        <f>IFERROR(IF(F16="","",TEXT('Getting Started'!C10+(H16-1)*7,"MMM D")&amp;" – "&amp;TEXT('Getting Started'!C10+I16*7,"MMM D")),"")</f>
        <v/>
      </c>
    </row>
    <row r="17" ht="20" customHeight="1">
      <c r="A17" s="56">
        <f>IFERROR(IF('Course Content'!I8="","",'Course Content'!I8),"")</f>
        <v/>
      </c>
    </row>
    <row r="18" ht="8" customHeight="1"/>
    <row r="19" ht="24" customHeight="1">
      <c r="A19" s="44" t="inlineStr">
        <is>
          <t xml:space="preserve">  MATH</t>
        </is>
      </c>
      <c r="E19" s="45">
        <f>IFERROR(IF('Course Content'!E9="","← enter on Course Content tab",'Course Content'!E9),"")</f>
        <v/>
      </c>
    </row>
    <row r="20" ht="22" customHeight="1">
      <c r="B20" s="46">
        <f>'Course Content'!G9</f>
        <v/>
      </c>
      <c r="C20" s="47">
        <f>IFERROR(IF(B20="","",ROUND(B20/'Getting Started'!C15,1)),"")</f>
        <v/>
      </c>
      <c r="D20" s="47">
        <f>IFERROR(IF(C20="","",ROUND(C20/'Getting Started'!C7,1)),"")</f>
        <v/>
      </c>
      <c r="E20" s="48">
        <f>IFERROR(IF(B20="","",TEXT('Getting Started'!C10+(B20/D20),"MMM D, YYYY")),"")</f>
        <v/>
      </c>
      <c r="F20" s="39" t="n"/>
      <c r="G20" s="49">
        <f>'Course Content'!H9</f>
        <v/>
      </c>
      <c r="H20" s="50">
        <f>IFERROR(IF(G20="","",ROUND(G20/'Getting Started'!C23,1)),"")</f>
        <v/>
      </c>
      <c r="I20" s="50">
        <f>IFERROR(IF(H20="","",ROUND(H20/'Getting Started'!C7,1)),"")</f>
        <v/>
      </c>
      <c r="J20" s="51">
        <f>IFERROR(IF(G20="","",TEXT('Getting Started'!C18+(G20/I20),"MMM D, YYYY")),"")</f>
        <v/>
      </c>
    </row>
    <row r="21" ht="16" customHeight="1">
      <c r="A21" s="52" t="inlineStr">
        <is>
          <t xml:space="preserve">  Component Breakdown  (optional — use for multi-volume curricula)</t>
        </is>
      </c>
    </row>
    <row r="22" ht="22" customHeight="1">
      <c r="A22" s="28" t="inlineStr">
        <is>
          <t>#</t>
        </is>
      </c>
      <c r="B22" s="28" t="inlineStr">
        <is>
          <t>Book / Component Title</t>
        </is>
      </c>
      <c r="F22" s="28" t="inlineStr">
        <is>
          <t>Units</t>
        </is>
      </c>
      <c r="G22" s="28" t="inlineStr">
        <is>
          <t>Cumul.</t>
        </is>
      </c>
      <c r="H22" s="28" t="inlineStr">
        <is>
          <t>Start
Week</t>
        </is>
      </c>
      <c r="I22" s="28" t="inlineStr">
        <is>
          <t>End
Week</t>
        </is>
      </c>
      <c r="J22" s="28" t="inlineStr">
        <is>
          <t>Est. Dates</t>
        </is>
      </c>
    </row>
    <row r="23" ht="18" customHeight="1">
      <c r="A23" s="53" t="n">
        <v>1</v>
      </c>
      <c r="B23" s="5" t="n"/>
      <c r="F23" s="32" t="n"/>
      <c r="G23" s="17">
        <f>IFERROR(SUM(F23:F23),"")</f>
        <v/>
      </c>
      <c r="H23" s="17">
        <f>IF(F23="","",1)</f>
        <v/>
      </c>
      <c r="I23" s="17">
        <f>IFERROR(IF(F23="","",CEILING(G23/((IFERROR(B20,0)+IFERROR(G20,0))/(IFERROR('Getting Started'!C15,0)+IFERROR('Getting Started'!C23,0))),1)),"")</f>
        <v/>
      </c>
      <c r="J23" s="54">
        <f>IFERROR(IF(F23="","",TEXT('Getting Started'!C10+(H23-1)*7,"MMM D")&amp;" – "&amp;TEXT('Getting Started'!C10+I23*7,"MMM D")),"")</f>
        <v/>
      </c>
    </row>
    <row r="24" ht="18" customHeight="1">
      <c r="A24" s="53" t="n">
        <v>2</v>
      </c>
      <c r="B24" s="18" t="n"/>
      <c r="F24" s="55" t="n"/>
      <c r="G24" s="17">
        <f>IFERROR(SUM(F23:F24),"")</f>
        <v/>
      </c>
      <c r="H24" s="17">
        <f>IFERROR(IF(F24="","",FLOOR(G23/((IFERROR(B20,0)+IFERROR(G20,0))/(IFERROR('Getting Started'!C15,0)+IFERROR('Getting Started'!C23,0))),1)+1),"")</f>
        <v/>
      </c>
      <c r="I24" s="17">
        <f>IFERROR(IF(F24="","",CEILING(G24/((IFERROR(B20,0)+IFERROR(G20,0))/(IFERROR('Getting Started'!C15,0)+IFERROR('Getting Started'!C23,0))),1)),"")</f>
        <v/>
      </c>
      <c r="J24" s="54">
        <f>IFERROR(IF(F24="","",TEXT('Getting Started'!C10+(H24-1)*7,"MMM D")&amp;" – "&amp;TEXT('Getting Started'!C10+I24*7,"MMM D")),"")</f>
        <v/>
      </c>
    </row>
    <row r="25" ht="18" customHeight="1">
      <c r="A25" s="53" t="n">
        <v>3</v>
      </c>
      <c r="B25" s="5" t="n"/>
      <c r="F25" s="32" t="n"/>
      <c r="G25" s="17">
        <f>IFERROR(SUM(F23:F25),"")</f>
        <v/>
      </c>
      <c r="H25" s="17">
        <f>IFERROR(IF(F25="","",FLOOR(G24/((IFERROR(B20,0)+IFERROR(G20,0))/(IFERROR('Getting Started'!C15,0)+IFERROR('Getting Started'!C23,0))),1)+1),"")</f>
        <v/>
      </c>
      <c r="I25" s="17">
        <f>IFERROR(IF(F25="","",CEILING(G25/((IFERROR(B20,0)+IFERROR(G20,0))/(IFERROR('Getting Started'!C15,0)+IFERROR('Getting Started'!C23,0))),1)),"")</f>
        <v/>
      </c>
      <c r="J25" s="54">
        <f>IFERROR(IF(F25="","",TEXT('Getting Started'!C10+(H25-1)*7,"MMM D")&amp;" – "&amp;TEXT('Getting Started'!C10+I25*7,"MMM D")),"")</f>
        <v/>
      </c>
    </row>
    <row r="26" ht="18" customHeight="1">
      <c r="A26" s="53" t="n">
        <v>4</v>
      </c>
      <c r="B26" s="18" t="n"/>
      <c r="F26" s="55" t="n"/>
      <c r="G26" s="17">
        <f>IFERROR(SUM(F23:F26),"")</f>
        <v/>
      </c>
      <c r="H26" s="17">
        <f>IFERROR(IF(F26="","",FLOOR(G25/((IFERROR(B20,0)+IFERROR(G20,0))/(IFERROR('Getting Started'!C15,0)+IFERROR('Getting Started'!C23,0))),1)+1),"")</f>
        <v/>
      </c>
      <c r="I26" s="17">
        <f>IFERROR(IF(F26="","",CEILING(G26/((IFERROR(B20,0)+IFERROR(G20,0))/(IFERROR('Getting Started'!C15,0)+IFERROR('Getting Started'!C23,0))),1)),"")</f>
        <v/>
      </c>
      <c r="J26" s="54">
        <f>IFERROR(IF(F26="","",TEXT('Getting Started'!C10+(H26-1)*7,"MMM D")&amp;" – "&amp;TEXT('Getting Started'!C10+I26*7,"MMM D")),"")</f>
        <v/>
      </c>
    </row>
    <row r="27" ht="18" customHeight="1">
      <c r="A27" s="53" t="n">
        <v>5</v>
      </c>
      <c r="B27" s="5" t="n"/>
      <c r="F27" s="32" t="n"/>
      <c r="G27" s="17">
        <f>IFERROR(SUM(F23:F27),"")</f>
        <v/>
      </c>
      <c r="H27" s="17">
        <f>IFERROR(IF(F27="","",FLOOR(G26/((IFERROR(B20,0)+IFERROR(G20,0))/(IFERROR('Getting Started'!C15,0)+IFERROR('Getting Started'!C23,0))),1)+1),"")</f>
        <v/>
      </c>
      <c r="I27" s="17">
        <f>IFERROR(IF(F27="","",CEILING(G27/((IFERROR(B20,0)+IFERROR(G20,0))/(IFERROR('Getting Started'!C15,0)+IFERROR('Getting Started'!C23,0))),1)),"")</f>
        <v/>
      </c>
      <c r="J27" s="54">
        <f>IFERROR(IF(F27="","",TEXT('Getting Started'!C10+(H27-1)*7,"MMM D")&amp;" – "&amp;TEXT('Getting Started'!C10+I27*7,"MMM D")),"")</f>
        <v/>
      </c>
    </row>
    <row r="28" ht="18" customHeight="1">
      <c r="A28" s="53" t="n">
        <v>6</v>
      </c>
      <c r="B28" s="18" t="n"/>
      <c r="F28" s="55" t="n"/>
      <c r="G28" s="17">
        <f>IFERROR(SUM(F23:F28),"")</f>
        <v/>
      </c>
      <c r="H28" s="17">
        <f>IFERROR(IF(F28="","",FLOOR(G27/((IFERROR(B20,0)+IFERROR(G20,0))/(IFERROR('Getting Started'!C15,0)+IFERROR('Getting Started'!C23,0))),1)+1),"")</f>
        <v/>
      </c>
      <c r="I28" s="17">
        <f>IFERROR(IF(F28="","",CEILING(G28/((IFERROR(B20,0)+IFERROR(G20,0))/(IFERROR('Getting Started'!C15,0)+IFERROR('Getting Started'!C23,0))),1)),"")</f>
        <v/>
      </c>
      <c r="J28" s="54">
        <f>IFERROR(IF(F28="","",TEXT('Getting Started'!C10+(H28-1)*7,"MMM D")&amp;" – "&amp;TEXT('Getting Started'!C10+I28*7,"MMM D")),"")</f>
        <v/>
      </c>
    </row>
    <row r="29" ht="20" customHeight="1">
      <c r="A29" s="56">
        <f>IFERROR(IF('Course Content'!I9="","",'Course Content'!I9),"")</f>
        <v/>
      </c>
    </row>
    <row r="30" ht="8" customHeight="1"/>
    <row r="31" ht="24" customHeight="1">
      <c r="A31" s="44" t="inlineStr">
        <is>
          <t xml:space="preserve">  ENGLISH / LANGUAGE ARTS</t>
        </is>
      </c>
      <c r="E31" s="45">
        <f>IFERROR(IF('Course Content'!E10="","← enter on Course Content tab",'Course Content'!E10),"")</f>
        <v/>
      </c>
    </row>
    <row r="32" ht="22" customHeight="1">
      <c r="B32" s="46">
        <f>'Course Content'!G10</f>
        <v/>
      </c>
      <c r="C32" s="47">
        <f>IFERROR(IF(B32="","",ROUND(B32/'Getting Started'!C15,1)),"")</f>
        <v/>
      </c>
      <c r="D32" s="47">
        <f>IFERROR(IF(C32="","",ROUND(C32/'Getting Started'!C7,1)),"")</f>
        <v/>
      </c>
      <c r="E32" s="48">
        <f>IFERROR(IF(B32="","",TEXT('Getting Started'!C10+(B32/D32),"MMM D, YYYY")),"")</f>
        <v/>
      </c>
      <c r="F32" s="39" t="n"/>
      <c r="G32" s="49">
        <f>'Course Content'!H10</f>
        <v/>
      </c>
      <c r="H32" s="50">
        <f>IFERROR(IF(G32="","",ROUND(G32/'Getting Started'!C23,1)),"")</f>
        <v/>
      </c>
      <c r="I32" s="50">
        <f>IFERROR(IF(H32="","",ROUND(H32/'Getting Started'!C7,1)),"")</f>
        <v/>
      </c>
      <c r="J32" s="51">
        <f>IFERROR(IF(G32="","",TEXT('Getting Started'!C18+(G32/I32),"MMM D, YYYY")),"")</f>
        <v/>
      </c>
    </row>
    <row r="33" ht="16" customHeight="1">
      <c r="A33" s="52" t="inlineStr">
        <is>
          <t xml:space="preserve">  Component Breakdown  (optional — use for multi-volume curricula)</t>
        </is>
      </c>
    </row>
    <row r="34" ht="22" customHeight="1">
      <c r="A34" s="28" t="inlineStr">
        <is>
          <t>#</t>
        </is>
      </c>
      <c r="B34" s="28" t="inlineStr">
        <is>
          <t>Book / Component Title</t>
        </is>
      </c>
      <c r="F34" s="28" t="inlineStr">
        <is>
          <t>Units</t>
        </is>
      </c>
      <c r="G34" s="28" t="inlineStr">
        <is>
          <t>Cumul.</t>
        </is>
      </c>
      <c r="H34" s="28" t="inlineStr">
        <is>
          <t>Start
Week</t>
        </is>
      </c>
      <c r="I34" s="28" t="inlineStr">
        <is>
          <t>End
Week</t>
        </is>
      </c>
      <c r="J34" s="28" t="inlineStr">
        <is>
          <t>Est. Dates</t>
        </is>
      </c>
    </row>
    <row r="35" ht="18" customHeight="1">
      <c r="A35" s="53" t="n">
        <v>1</v>
      </c>
      <c r="B35" s="5" t="n"/>
      <c r="F35" s="32" t="n"/>
      <c r="G35" s="17">
        <f>IFERROR(SUM(F35:F35),"")</f>
        <v/>
      </c>
      <c r="H35" s="17">
        <f>IF(F35="","",1)</f>
        <v/>
      </c>
      <c r="I35" s="17">
        <f>IFERROR(IF(F35="","",CEILING(G35/((IFERROR(B32,0)+IFERROR(G32,0))/(IFERROR('Getting Started'!C15,0)+IFERROR('Getting Started'!C23,0))),1)),"")</f>
        <v/>
      </c>
      <c r="J35" s="54">
        <f>IFERROR(IF(F35="","",TEXT('Getting Started'!C10+(H35-1)*7,"MMM D")&amp;" – "&amp;TEXT('Getting Started'!C10+I35*7,"MMM D")),"")</f>
        <v/>
      </c>
    </row>
    <row r="36" ht="18" customHeight="1">
      <c r="A36" s="53" t="n">
        <v>2</v>
      </c>
      <c r="B36" s="18" t="n"/>
      <c r="F36" s="55" t="n"/>
      <c r="G36" s="17">
        <f>IFERROR(SUM(F35:F36),"")</f>
        <v/>
      </c>
      <c r="H36" s="17">
        <f>IFERROR(IF(F36="","",FLOOR(G35/((IFERROR(B32,0)+IFERROR(G32,0))/(IFERROR('Getting Started'!C15,0)+IFERROR('Getting Started'!C23,0))),1)+1),"")</f>
        <v/>
      </c>
      <c r="I36" s="17">
        <f>IFERROR(IF(F36="","",CEILING(G36/((IFERROR(B32,0)+IFERROR(G32,0))/(IFERROR('Getting Started'!C15,0)+IFERROR('Getting Started'!C23,0))),1)),"")</f>
        <v/>
      </c>
      <c r="J36" s="54">
        <f>IFERROR(IF(F36="","",TEXT('Getting Started'!C10+(H36-1)*7,"MMM D")&amp;" – "&amp;TEXT('Getting Started'!C10+I36*7,"MMM D")),"")</f>
        <v/>
      </c>
    </row>
    <row r="37" ht="18" customHeight="1">
      <c r="A37" s="53" t="n">
        <v>3</v>
      </c>
      <c r="B37" s="5" t="n"/>
      <c r="F37" s="32" t="n"/>
      <c r="G37" s="17">
        <f>IFERROR(SUM(F35:F37),"")</f>
        <v/>
      </c>
      <c r="H37" s="17">
        <f>IFERROR(IF(F37="","",FLOOR(G36/((IFERROR(B32,0)+IFERROR(G32,0))/(IFERROR('Getting Started'!C15,0)+IFERROR('Getting Started'!C23,0))),1)+1),"")</f>
        <v/>
      </c>
      <c r="I37" s="17">
        <f>IFERROR(IF(F37="","",CEILING(G37/((IFERROR(B32,0)+IFERROR(G32,0))/(IFERROR('Getting Started'!C15,0)+IFERROR('Getting Started'!C23,0))),1)),"")</f>
        <v/>
      </c>
      <c r="J37" s="54">
        <f>IFERROR(IF(F37="","",TEXT('Getting Started'!C10+(H37-1)*7,"MMM D")&amp;" – "&amp;TEXT('Getting Started'!C10+I37*7,"MMM D")),"")</f>
        <v/>
      </c>
    </row>
    <row r="38" ht="18" customHeight="1">
      <c r="A38" s="53" t="n">
        <v>4</v>
      </c>
      <c r="B38" s="18" t="n"/>
      <c r="F38" s="55" t="n"/>
      <c r="G38" s="17">
        <f>IFERROR(SUM(F35:F38),"")</f>
        <v/>
      </c>
      <c r="H38" s="17">
        <f>IFERROR(IF(F38="","",FLOOR(G37/((IFERROR(B32,0)+IFERROR(G32,0))/(IFERROR('Getting Started'!C15,0)+IFERROR('Getting Started'!C23,0))),1)+1),"")</f>
        <v/>
      </c>
      <c r="I38" s="17">
        <f>IFERROR(IF(F38="","",CEILING(G38/((IFERROR(B32,0)+IFERROR(G32,0))/(IFERROR('Getting Started'!C15,0)+IFERROR('Getting Started'!C23,0))),1)),"")</f>
        <v/>
      </c>
      <c r="J38" s="54">
        <f>IFERROR(IF(F38="","",TEXT('Getting Started'!C10+(H38-1)*7,"MMM D")&amp;" – "&amp;TEXT('Getting Started'!C10+I38*7,"MMM D")),"")</f>
        <v/>
      </c>
    </row>
    <row r="39" ht="18" customHeight="1">
      <c r="A39" s="53" t="n">
        <v>5</v>
      </c>
      <c r="B39" s="5" t="n"/>
      <c r="F39" s="32" t="n"/>
      <c r="G39" s="17">
        <f>IFERROR(SUM(F35:F39),"")</f>
        <v/>
      </c>
      <c r="H39" s="17">
        <f>IFERROR(IF(F39="","",FLOOR(G38/((IFERROR(B32,0)+IFERROR(G32,0))/(IFERROR('Getting Started'!C15,0)+IFERROR('Getting Started'!C23,0))),1)+1),"")</f>
        <v/>
      </c>
      <c r="I39" s="17">
        <f>IFERROR(IF(F39="","",CEILING(G39/((IFERROR(B32,0)+IFERROR(G32,0))/(IFERROR('Getting Started'!C15,0)+IFERROR('Getting Started'!C23,0))),1)),"")</f>
        <v/>
      </c>
      <c r="J39" s="54">
        <f>IFERROR(IF(F39="","",TEXT('Getting Started'!C10+(H39-1)*7,"MMM D")&amp;" – "&amp;TEXT('Getting Started'!C10+I39*7,"MMM D")),"")</f>
        <v/>
      </c>
    </row>
    <row r="40" ht="18" customHeight="1">
      <c r="A40" s="53" t="n">
        <v>6</v>
      </c>
      <c r="B40" s="18" t="n"/>
      <c r="F40" s="55" t="n"/>
      <c r="G40" s="17">
        <f>IFERROR(SUM(F35:F40),"")</f>
        <v/>
      </c>
      <c r="H40" s="17">
        <f>IFERROR(IF(F40="","",FLOOR(G39/((IFERROR(B32,0)+IFERROR(G32,0))/(IFERROR('Getting Started'!C15,0)+IFERROR('Getting Started'!C23,0))),1)+1),"")</f>
        <v/>
      </c>
      <c r="I40" s="17">
        <f>IFERROR(IF(F40="","",CEILING(G40/((IFERROR(B32,0)+IFERROR(G32,0))/(IFERROR('Getting Started'!C15,0)+IFERROR('Getting Started'!C23,0))),1)),"")</f>
        <v/>
      </c>
      <c r="J40" s="54">
        <f>IFERROR(IF(F40="","",TEXT('Getting Started'!C10+(H40-1)*7,"MMM D")&amp;" – "&amp;TEXT('Getting Started'!C10+I40*7,"MMM D")),"")</f>
        <v/>
      </c>
    </row>
    <row r="41" ht="20" customHeight="1">
      <c r="A41" s="56">
        <f>IFERROR(IF('Course Content'!I10="","",'Course Content'!I10),"")</f>
        <v/>
      </c>
    </row>
    <row r="42" ht="8" customHeight="1"/>
    <row r="43" ht="24" customHeight="1">
      <c r="A43" s="44" t="inlineStr">
        <is>
          <t xml:space="preserve">  READING</t>
        </is>
      </c>
      <c r="E43" s="45">
        <f>IFERROR(IF('Course Content'!E11="","← enter on Course Content tab",'Course Content'!E11),"")</f>
        <v/>
      </c>
    </row>
    <row r="44" ht="22" customHeight="1">
      <c r="B44" s="46">
        <f>'Course Content'!G11</f>
        <v/>
      </c>
      <c r="C44" s="47">
        <f>IFERROR(IF(B44="","",ROUND(B44/'Getting Started'!C15,1)),"")</f>
        <v/>
      </c>
      <c r="D44" s="47">
        <f>IFERROR(IF(C44="","",ROUND(C44/'Getting Started'!C7,1)),"")</f>
        <v/>
      </c>
      <c r="E44" s="48">
        <f>IFERROR(IF(B44="","",TEXT('Getting Started'!C10+(B44/D44),"MMM D, YYYY")),"")</f>
        <v/>
      </c>
      <c r="F44" s="39" t="n"/>
      <c r="G44" s="49">
        <f>'Course Content'!H11</f>
        <v/>
      </c>
      <c r="H44" s="50">
        <f>IFERROR(IF(G44="","",ROUND(G44/'Getting Started'!C23,1)),"")</f>
        <v/>
      </c>
      <c r="I44" s="50">
        <f>IFERROR(IF(H44="","",ROUND(H44/'Getting Started'!C7,1)),"")</f>
        <v/>
      </c>
      <c r="J44" s="51">
        <f>IFERROR(IF(G44="","",TEXT('Getting Started'!C18+(G44/I44),"MMM D, YYYY")),"")</f>
        <v/>
      </c>
    </row>
    <row r="45" ht="16" customHeight="1">
      <c r="A45" s="52" t="inlineStr">
        <is>
          <t xml:space="preserve">  Component Breakdown  (optional — use for multi-volume curricula)</t>
        </is>
      </c>
    </row>
    <row r="46" ht="22" customHeight="1">
      <c r="A46" s="28" t="inlineStr">
        <is>
          <t>#</t>
        </is>
      </c>
      <c r="B46" s="28" t="inlineStr">
        <is>
          <t>Book / Component Title</t>
        </is>
      </c>
      <c r="F46" s="28" t="inlineStr">
        <is>
          <t>Units</t>
        </is>
      </c>
      <c r="G46" s="28" t="inlineStr">
        <is>
          <t>Cumul.</t>
        </is>
      </c>
      <c r="H46" s="28" t="inlineStr">
        <is>
          <t>Start
Week</t>
        </is>
      </c>
      <c r="I46" s="28" t="inlineStr">
        <is>
          <t>End
Week</t>
        </is>
      </c>
      <c r="J46" s="28" t="inlineStr">
        <is>
          <t>Est. Dates</t>
        </is>
      </c>
    </row>
    <row r="47" ht="18" customHeight="1">
      <c r="A47" s="53" t="n">
        <v>1</v>
      </c>
      <c r="B47" s="5" t="n"/>
      <c r="F47" s="32" t="n"/>
      <c r="G47" s="17">
        <f>IFERROR(SUM(F47:F47),"")</f>
        <v/>
      </c>
      <c r="H47" s="17">
        <f>IF(F47="","",1)</f>
        <v/>
      </c>
      <c r="I47" s="17">
        <f>IFERROR(IF(F47="","",CEILING(G47/((IFERROR(B44,0)+IFERROR(G44,0))/(IFERROR('Getting Started'!C15,0)+IFERROR('Getting Started'!C23,0))),1)),"")</f>
        <v/>
      </c>
      <c r="J47" s="54">
        <f>IFERROR(IF(F47="","",TEXT('Getting Started'!C10+(H47-1)*7,"MMM D")&amp;" – "&amp;TEXT('Getting Started'!C10+I47*7,"MMM D")),"")</f>
        <v/>
      </c>
    </row>
    <row r="48" ht="18" customHeight="1">
      <c r="A48" s="53" t="n">
        <v>2</v>
      </c>
      <c r="B48" s="18" t="n"/>
      <c r="F48" s="55" t="n"/>
      <c r="G48" s="17">
        <f>IFERROR(SUM(F47:F48),"")</f>
        <v/>
      </c>
      <c r="H48" s="17">
        <f>IFERROR(IF(F48="","",FLOOR(G47/((IFERROR(B44,0)+IFERROR(G44,0))/(IFERROR('Getting Started'!C15,0)+IFERROR('Getting Started'!C23,0))),1)+1),"")</f>
        <v/>
      </c>
      <c r="I48" s="17">
        <f>IFERROR(IF(F48="","",CEILING(G48/((IFERROR(B44,0)+IFERROR(G44,0))/(IFERROR('Getting Started'!C15,0)+IFERROR('Getting Started'!C23,0))),1)),"")</f>
        <v/>
      </c>
      <c r="J48" s="54">
        <f>IFERROR(IF(F48="","",TEXT('Getting Started'!C10+(H48-1)*7,"MMM D")&amp;" – "&amp;TEXT('Getting Started'!C10+I48*7,"MMM D")),"")</f>
        <v/>
      </c>
    </row>
    <row r="49" ht="18" customHeight="1">
      <c r="A49" s="53" t="n">
        <v>3</v>
      </c>
      <c r="B49" s="5" t="n"/>
      <c r="F49" s="32" t="n"/>
      <c r="G49" s="17">
        <f>IFERROR(SUM(F47:F49),"")</f>
        <v/>
      </c>
      <c r="H49" s="17">
        <f>IFERROR(IF(F49="","",FLOOR(G48/((IFERROR(B44,0)+IFERROR(G44,0))/(IFERROR('Getting Started'!C15,0)+IFERROR('Getting Started'!C23,0))),1)+1),"")</f>
        <v/>
      </c>
      <c r="I49" s="17">
        <f>IFERROR(IF(F49="","",CEILING(G49/((IFERROR(B44,0)+IFERROR(G44,0))/(IFERROR('Getting Started'!C15,0)+IFERROR('Getting Started'!C23,0))),1)),"")</f>
        <v/>
      </c>
      <c r="J49" s="54">
        <f>IFERROR(IF(F49="","",TEXT('Getting Started'!C10+(H49-1)*7,"MMM D")&amp;" – "&amp;TEXT('Getting Started'!C10+I49*7,"MMM D")),"")</f>
        <v/>
      </c>
    </row>
    <row r="50" ht="18" customHeight="1">
      <c r="A50" s="53" t="n">
        <v>4</v>
      </c>
      <c r="B50" s="18" t="n"/>
      <c r="F50" s="55" t="n"/>
      <c r="G50" s="17">
        <f>IFERROR(SUM(F47:F50),"")</f>
        <v/>
      </c>
      <c r="H50" s="17">
        <f>IFERROR(IF(F50="","",FLOOR(G49/((IFERROR(B44,0)+IFERROR(G44,0))/(IFERROR('Getting Started'!C15,0)+IFERROR('Getting Started'!C23,0))),1)+1),"")</f>
        <v/>
      </c>
      <c r="I50" s="17">
        <f>IFERROR(IF(F50="","",CEILING(G50/((IFERROR(B44,0)+IFERROR(G44,0))/(IFERROR('Getting Started'!C15,0)+IFERROR('Getting Started'!C23,0))),1)),"")</f>
        <v/>
      </c>
      <c r="J50" s="54">
        <f>IFERROR(IF(F50="","",TEXT('Getting Started'!C10+(H50-1)*7,"MMM D")&amp;" – "&amp;TEXT('Getting Started'!C10+I50*7,"MMM D")),"")</f>
        <v/>
      </c>
    </row>
    <row r="51" ht="18" customHeight="1">
      <c r="A51" s="53" t="n">
        <v>5</v>
      </c>
      <c r="B51" s="5" t="n"/>
      <c r="F51" s="32" t="n"/>
      <c r="G51" s="17">
        <f>IFERROR(SUM(F47:F51),"")</f>
        <v/>
      </c>
      <c r="H51" s="17">
        <f>IFERROR(IF(F51="","",FLOOR(G50/((IFERROR(B44,0)+IFERROR(G44,0))/(IFERROR('Getting Started'!C15,0)+IFERROR('Getting Started'!C23,0))),1)+1),"")</f>
        <v/>
      </c>
      <c r="I51" s="17">
        <f>IFERROR(IF(F51="","",CEILING(G51/((IFERROR(B44,0)+IFERROR(G44,0))/(IFERROR('Getting Started'!C15,0)+IFERROR('Getting Started'!C23,0))),1)),"")</f>
        <v/>
      </c>
      <c r="J51" s="54">
        <f>IFERROR(IF(F51="","",TEXT('Getting Started'!C10+(H51-1)*7,"MMM D")&amp;" – "&amp;TEXT('Getting Started'!C10+I51*7,"MMM D")),"")</f>
        <v/>
      </c>
    </row>
    <row r="52" ht="18" customHeight="1">
      <c r="A52" s="53" t="n">
        <v>6</v>
      </c>
      <c r="B52" s="18" t="n"/>
      <c r="F52" s="55" t="n"/>
      <c r="G52" s="17">
        <f>IFERROR(SUM(F47:F52),"")</f>
        <v/>
      </c>
      <c r="H52" s="17">
        <f>IFERROR(IF(F52="","",FLOOR(G51/((IFERROR(B44,0)+IFERROR(G44,0))/(IFERROR('Getting Started'!C15,0)+IFERROR('Getting Started'!C23,0))),1)+1),"")</f>
        <v/>
      </c>
      <c r="I52" s="17">
        <f>IFERROR(IF(F52="","",CEILING(G52/((IFERROR(B44,0)+IFERROR(G44,0))/(IFERROR('Getting Started'!C15,0)+IFERROR('Getting Started'!C23,0))),1)),"")</f>
        <v/>
      </c>
      <c r="J52" s="54">
        <f>IFERROR(IF(F52="","",TEXT('Getting Started'!C10+(H52-1)*7,"MMM D")&amp;" – "&amp;TEXT('Getting Started'!C10+I52*7,"MMM D")),"")</f>
        <v/>
      </c>
    </row>
    <row r="53" ht="20" customHeight="1">
      <c r="A53" s="56">
        <f>IFERROR(IF('Course Content'!I11="","",'Course Content'!I11),"")</f>
        <v/>
      </c>
    </row>
    <row r="54" ht="8" customHeight="1"/>
    <row r="55" ht="24" customHeight="1">
      <c r="A55" s="44" t="inlineStr">
        <is>
          <t xml:space="preserve">  WRITING / COMPOSITION</t>
        </is>
      </c>
      <c r="E55" s="45">
        <f>IFERROR(IF('Course Content'!E12="","← enter on Course Content tab",'Course Content'!E12),"")</f>
        <v/>
      </c>
    </row>
    <row r="56" ht="22" customHeight="1">
      <c r="B56" s="46">
        <f>'Course Content'!G12</f>
        <v/>
      </c>
      <c r="C56" s="47">
        <f>IFERROR(IF(B56="","",ROUND(B56/'Getting Started'!C15,1)),"")</f>
        <v/>
      </c>
      <c r="D56" s="47">
        <f>IFERROR(IF(C56="","",ROUND(C56/'Getting Started'!C7,1)),"")</f>
        <v/>
      </c>
      <c r="E56" s="48">
        <f>IFERROR(IF(B56="","",TEXT('Getting Started'!C10+(B56/D56),"MMM D, YYYY")),"")</f>
        <v/>
      </c>
      <c r="F56" s="39" t="n"/>
      <c r="G56" s="49">
        <f>'Course Content'!H12</f>
        <v/>
      </c>
      <c r="H56" s="50">
        <f>IFERROR(IF(G56="","",ROUND(G56/'Getting Started'!C23,1)),"")</f>
        <v/>
      </c>
      <c r="I56" s="50">
        <f>IFERROR(IF(H56="","",ROUND(H56/'Getting Started'!C7,1)),"")</f>
        <v/>
      </c>
      <c r="J56" s="51">
        <f>IFERROR(IF(G56="","",TEXT('Getting Started'!C18+(G56/I56),"MMM D, YYYY")),"")</f>
        <v/>
      </c>
    </row>
    <row r="57" ht="16" customHeight="1">
      <c r="A57" s="52" t="inlineStr">
        <is>
          <t xml:space="preserve">  Component Breakdown  (optional — use for multi-volume curricula)</t>
        </is>
      </c>
    </row>
    <row r="58" ht="22" customHeight="1">
      <c r="A58" s="28" t="inlineStr">
        <is>
          <t>#</t>
        </is>
      </c>
      <c r="B58" s="28" t="inlineStr">
        <is>
          <t>Book / Component Title</t>
        </is>
      </c>
      <c r="F58" s="28" t="inlineStr">
        <is>
          <t>Units</t>
        </is>
      </c>
      <c r="G58" s="28" t="inlineStr">
        <is>
          <t>Cumul.</t>
        </is>
      </c>
      <c r="H58" s="28" t="inlineStr">
        <is>
          <t>Start
Week</t>
        </is>
      </c>
      <c r="I58" s="28" t="inlineStr">
        <is>
          <t>End
Week</t>
        </is>
      </c>
      <c r="J58" s="28" t="inlineStr">
        <is>
          <t>Est. Dates</t>
        </is>
      </c>
    </row>
    <row r="59" ht="18" customHeight="1">
      <c r="A59" s="53" t="n">
        <v>1</v>
      </c>
      <c r="B59" s="5" t="n"/>
      <c r="F59" s="32" t="n"/>
      <c r="G59" s="17">
        <f>IFERROR(SUM(F59:F59),"")</f>
        <v/>
      </c>
      <c r="H59" s="17">
        <f>IF(F59="","",1)</f>
        <v/>
      </c>
      <c r="I59" s="17">
        <f>IFERROR(IF(F59="","",CEILING(G59/((IFERROR(B56,0)+IFERROR(G56,0))/(IFERROR('Getting Started'!C15,0)+IFERROR('Getting Started'!C23,0))),1)),"")</f>
        <v/>
      </c>
      <c r="J59" s="54">
        <f>IFERROR(IF(F59="","",TEXT('Getting Started'!C10+(H59-1)*7,"MMM D")&amp;" – "&amp;TEXT('Getting Started'!C10+I59*7,"MMM D")),"")</f>
        <v/>
      </c>
    </row>
    <row r="60" ht="18" customHeight="1">
      <c r="A60" s="53" t="n">
        <v>2</v>
      </c>
      <c r="B60" s="18" t="n"/>
      <c r="F60" s="55" t="n"/>
      <c r="G60" s="17">
        <f>IFERROR(SUM(F59:F60),"")</f>
        <v/>
      </c>
      <c r="H60" s="17">
        <f>IFERROR(IF(F60="","",FLOOR(G59/((IFERROR(B56,0)+IFERROR(G56,0))/(IFERROR('Getting Started'!C15,0)+IFERROR('Getting Started'!C23,0))),1)+1),"")</f>
        <v/>
      </c>
      <c r="I60" s="17">
        <f>IFERROR(IF(F60="","",CEILING(G60/((IFERROR(B56,0)+IFERROR(G56,0))/(IFERROR('Getting Started'!C15,0)+IFERROR('Getting Started'!C23,0))),1)),"")</f>
        <v/>
      </c>
      <c r="J60" s="54">
        <f>IFERROR(IF(F60="","",TEXT('Getting Started'!C10+(H60-1)*7,"MMM D")&amp;" – "&amp;TEXT('Getting Started'!C10+I60*7,"MMM D")),"")</f>
        <v/>
      </c>
    </row>
    <row r="61" ht="18" customHeight="1">
      <c r="A61" s="53" t="n">
        <v>3</v>
      </c>
      <c r="B61" s="5" t="n"/>
      <c r="F61" s="32" t="n"/>
      <c r="G61" s="17">
        <f>IFERROR(SUM(F59:F61),"")</f>
        <v/>
      </c>
      <c r="H61" s="17">
        <f>IFERROR(IF(F61="","",FLOOR(G60/((IFERROR(B56,0)+IFERROR(G56,0))/(IFERROR('Getting Started'!C15,0)+IFERROR('Getting Started'!C23,0))),1)+1),"")</f>
        <v/>
      </c>
      <c r="I61" s="17">
        <f>IFERROR(IF(F61="","",CEILING(G61/((IFERROR(B56,0)+IFERROR(G56,0))/(IFERROR('Getting Started'!C15,0)+IFERROR('Getting Started'!C23,0))),1)),"")</f>
        <v/>
      </c>
      <c r="J61" s="54">
        <f>IFERROR(IF(F61="","",TEXT('Getting Started'!C10+(H61-1)*7,"MMM D")&amp;" – "&amp;TEXT('Getting Started'!C10+I61*7,"MMM D")),"")</f>
        <v/>
      </c>
    </row>
    <row r="62" ht="18" customHeight="1">
      <c r="A62" s="53" t="n">
        <v>4</v>
      </c>
      <c r="B62" s="18" t="n"/>
      <c r="F62" s="55" t="n"/>
      <c r="G62" s="17">
        <f>IFERROR(SUM(F59:F62),"")</f>
        <v/>
      </c>
      <c r="H62" s="17">
        <f>IFERROR(IF(F62="","",FLOOR(G61/((IFERROR(B56,0)+IFERROR(G56,0))/(IFERROR('Getting Started'!C15,0)+IFERROR('Getting Started'!C23,0))),1)+1),"")</f>
        <v/>
      </c>
      <c r="I62" s="17">
        <f>IFERROR(IF(F62="","",CEILING(G62/((IFERROR(B56,0)+IFERROR(G56,0))/(IFERROR('Getting Started'!C15,0)+IFERROR('Getting Started'!C23,0))),1)),"")</f>
        <v/>
      </c>
      <c r="J62" s="54">
        <f>IFERROR(IF(F62="","",TEXT('Getting Started'!C10+(H62-1)*7,"MMM D")&amp;" – "&amp;TEXT('Getting Started'!C10+I62*7,"MMM D")),"")</f>
        <v/>
      </c>
    </row>
    <row r="63" ht="18" customHeight="1">
      <c r="A63" s="53" t="n">
        <v>5</v>
      </c>
      <c r="B63" s="5" t="n"/>
      <c r="F63" s="32" t="n"/>
      <c r="G63" s="17">
        <f>IFERROR(SUM(F59:F63),"")</f>
        <v/>
      </c>
      <c r="H63" s="17">
        <f>IFERROR(IF(F63="","",FLOOR(G62/((IFERROR(B56,0)+IFERROR(G56,0))/(IFERROR('Getting Started'!C15,0)+IFERROR('Getting Started'!C23,0))),1)+1),"")</f>
        <v/>
      </c>
      <c r="I63" s="17">
        <f>IFERROR(IF(F63="","",CEILING(G63/((IFERROR(B56,0)+IFERROR(G56,0))/(IFERROR('Getting Started'!C15,0)+IFERROR('Getting Started'!C23,0))),1)),"")</f>
        <v/>
      </c>
      <c r="J63" s="54">
        <f>IFERROR(IF(F63="","",TEXT('Getting Started'!C10+(H63-1)*7,"MMM D")&amp;" – "&amp;TEXT('Getting Started'!C10+I63*7,"MMM D")),"")</f>
        <v/>
      </c>
    </row>
    <row r="64" ht="18" customHeight="1">
      <c r="A64" s="53" t="n">
        <v>6</v>
      </c>
      <c r="B64" s="18" t="n"/>
      <c r="F64" s="55" t="n"/>
      <c r="G64" s="17">
        <f>IFERROR(SUM(F59:F64),"")</f>
        <v/>
      </c>
      <c r="H64" s="17">
        <f>IFERROR(IF(F64="","",FLOOR(G63/((IFERROR(B56,0)+IFERROR(G56,0))/(IFERROR('Getting Started'!C15,0)+IFERROR('Getting Started'!C23,0))),1)+1),"")</f>
        <v/>
      </c>
      <c r="I64" s="17">
        <f>IFERROR(IF(F64="","",CEILING(G64/((IFERROR(B56,0)+IFERROR(G56,0))/(IFERROR('Getting Started'!C15,0)+IFERROR('Getting Started'!C23,0))),1)),"")</f>
        <v/>
      </c>
      <c r="J64" s="54">
        <f>IFERROR(IF(F64="","",TEXT('Getting Started'!C10+(H64-1)*7,"MMM D")&amp;" – "&amp;TEXT('Getting Started'!C10+I64*7,"MMM D")),"")</f>
        <v/>
      </c>
    </row>
    <row r="65" ht="20" customHeight="1">
      <c r="A65" s="56">
        <f>IFERROR(IF('Course Content'!I12="","",'Course Content'!I12),"")</f>
        <v/>
      </c>
    </row>
    <row r="66" ht="8" customHeight="1"/>
    <row r="67" ht="24" customHeight="1">
      <c r="A67" s="44" t="inlineStr">
        <is>
          <t xml:space="preserve">  SCIENCE</t>
        </is>
      </c>
      <c r="E67" s="45">
        <f>IFERROR(IF('Course Content'!E13="","← enter on Course Content tab",'Course Content'!E13),"")</f>
        <v/>
      </c>
    </row>
    <row r="68" ht="22" customHeight="1">
      <c r="B68" s="46">
        <f>'Course Content'!G13</f>
        <v/>
      </c>
      <c r="C68" s="47">
        <f>IFERROR(IF(B68="","",ROUND(B68/'Getting Started'!C15,1)),"")</f>
        <v/>
      </c>
      <c r="D68" s="47">
        <f>IFERROR(IF(C68="","",ROUND(C68/'Getting Started'!C7,1)),"")</f>
        <v/>
      </c>
      <c r="E68" s="48">
        <f>IFERROR(IF(B68="","",TEXT('Getting Started'!C10+(B68/D68),"MMM D, YYYY")),"")</f>
        <v/>
      </c>
      <c r="F68" s="39" t="n"/>
      <c r="G68" s="49">
        <f>'Course Content'!H13</f>
        <v/>
      </c>
      <c r="H68" s="50">
        <f>IFERROR(IF(G68="","",ROUND(G68/'Getting Started'!C23,1)),"")</f>
        <v/>
      </c>
      <c r="I68" s="50">
        <f>IFERROR(IF(H68="","",ROUND(H68/'Getting Started'!C7,1)),"")</f>
        <v/>
      </c>
      <c r="J68" s="51">
        <f>IFERROR(IF(G68="","",TEXT('Getting Started'!C18+(G68/I68),"MMM D, YYYY")),"")</f>
        <v/>
      </c>
    </row>
    <row r="69" ht="16" customHeight="1">
      <c r="A69" s="52" t="inlineStr">
        <is>
          <t xml:space="preserve">  Component Breakdown  (optional — use for multi-volume curricula)</t>
        </is>
      </c>
    </row>
    <row r="70" ht="22" customHeight="1">
      <c r="A70" s="28" t="inlineStr">
        <is>
          <t>#</t>
        </is>
      </c>
      <c r="B70" s="28" t="inlineStr">
        <is>
          <t>Book / Component Title</t>
        </is>
      </c>
      <c r="F70" s="28" t="inlineStr">
        <is>
          <t>Units</t>
        </is>
      </c>
      <c r="G70" s="28" t="inlineStr">
        <is>
          <t>Cumul.</t>
        </is>
      </c>
      <c r="H70" s="28" t="inlineStr">
        <is>
          <t>Start
Week</t>
        </is>
      </c>
      <c r="I70" s="28" t="inlineStr">
        <is>
          <t>End
Week</t>
        </is>
      </c>
      <c r="J70" s="28" t="inlineStr">
        <is>
          <t>Est. Dates</t>
        </is>
      </c>
    </row>
    <row r="71" ht="18" customHeight="1">
      <c r="A71" s="53" t="n">
        <v>1</v>
      </c>
      <c r="B71" s="5" t="n"/>
      <c r="F71" s="32" t="n"/>
      <c r="G71" s="17">
        <f>IFERROR(SUM(F71:F71),"")</f>
        <v/>
      </c>
      <c r="H71" s="17">
        <f>IF(F71="","",1)</f>
        <v/>
      </c>
      <c r="I71" s="17">
        <f>IFERROR(IF(F71="","",CEILING(G71/((IFERROR(B68,0)+IFERROR(G68,0))/(IFERROR('Getting Started'!C15,0)+IFERROR('Getting Started'!C23,0))),1)),"")</f>
        <v/>
      </c>
      <c r="J71" s="54">
        <f>IFERROR(IF(F71="","",TEXT('Getting Started'!C10+(H71-1)*7,"MMM D")&amp;" – "&amp;TEXT('Getting Started'!C10+I71*7,"MMM D")),"")</f>
        <v/>
      </c>
    </row>
    <row r="72" ht="18" customHeight="1">
      <c r="A72" s="53" t="n">
        <v>2</v>
      </c>
      <c r="B72" s="18" t="n"/>
      <c r="F72" s="55" t="n"/>
      <c r="G72" s="17">
        <f>IFERROR(SUM(F71:F72),"")</f>
        <v/>
      </c>
      <c r="H72" s="17">
        <f>IFERROR(IF(F72="","",FLOOR(G71/((IFERROR(B68,0)+IFERROR(G68,0))/(IFERROR('Getting Started'!C15,0)+IFERROR('Getting Started'!C23,0))),1)+1),"")</f>
        <v/>
      </c>
      <c r="I72" s="17">
        <f>IFERROR(IF(F72="","",CEILING(G72/((IFERROR(B68,0)+IFERROR(G68,0))/(IFERROR('Getting Started'!C15,0)+IFERROR('Getting Started'!C23,0))),1)),"")</f>
        <v/>
      </c>
      <c r="J72" s="54">
        <f>IFERROR(IF(F72="","",TEXT('Getting Started'!C10+(H72-1)*7,"MMM D")&amp;" – "&amp;TEXT('Getting Started'!C10+I72*7,"MMM D")),"")</f>
        <v/>
      </c>
    </row>
    <row r="73" ht="18" customHeight="1">
      <c r="A73" s="53" t="n">
        <v>3</v>
      </c>
      <c r="B73" s="5" t="n"/>
      <c r="F73" s="32" t="n"/>
      <c r="G73" s="17">
        <f>IFERROR(SUM(F71:F73),"")</f>
        <v/>
      </c>
      <c r="H73" s="17">
        <f>IFERROR(IF(F73="","",FLOOR(G72/((IFERROR(B68,0)+IFERROR(G68,0))/(IFERROR('Getting Started'!C15,0)+IFERROR('Getting Started'!C23,0))),1)+1),"")</f>
        <v/>
      </c>
      <c r="I73" s="17">
        <f>IFERROR(IF(F73="","",CEILING(G73/((IFERROR(B68,0)+IFERROR(G68,0))/(IFERROR('Getting Started'!C15,0)+IFERROR('Getting Started'!C23,0))),1)),"")</f>
        <v/>
      </c>
      <c r="J73" s="54">
        <f>IFERROR(IF(F73="","",TEXT('Getting Started'!C10+(H73-1)*7,"MMM D")&amp;" – "&amp;TEXT('Getting Started'!C10+I73*7,"MMM D")),"")</f>
        <v/>
      </c>
    </row>
    <row r="74" ht="18" customHeight="1">
      <c r="A74" s="53" t="n">
        <v>4</v>
      </c>
      <c r="B74" s="18" t="n"/>
      <c r="F74" s="55" t="n"/>
      <c r="G74" s="17">
        <f>IFERROR(SUM(F71:F74),"")</f>
        <v/>
      </c>
      <c r="H74" s="17">
        <f>IFERROR(IF(F74="","",FLOOR(G73/((IFERROR(B68,0)+IFERROR(G68,0))/(IFERROR('Getting Started'!C15,0)+IFERROR('Getting Started'!C23,0))),1)+1),"")</f>
        <v/>
      </c>
      <c r="I74" s="17">
        <f>IFERROR(IF(F74="","",CEILING(G74/((IFERROR(B68,0)+IFERROR(G68,0))/(IFERROR('Getting Started'!C15,0)+IFERROR('Getting Started'!C23,0))),1)),"")</f>
        <v/>
      </c>
      <c r="J74" s="54">
        <f>IFERROR(IF(F74="","",TEXT('Getting Started'!C10+(H74-1)*7,"MMM D")&amp;" – "&amp;TEXT('Getting Started'!C10+I74*7,"MMM D")),"")</f>
        <v/>
      </c>
    </row>
    <row r="75" ht="18" customHeight="1">
      <c r="A75" s="53" t="n">
        <v>5</v>
      </c>
      <c r="B75" s="5" t="n"/>
      <c r="F75" s="32" t="n"/>
      <c r="G75" s="17">
        <f>IFERROR(SUM(F71:F75),"")</f>
        <v/>
      </c>
      <c r="H75" s="17">
        <f>IFERROR(IF(F75="","",FLOOR(G74/((IFERROR(B68,0)+IFERROR(G68,0))/(IFERROR('Getting Started'!C15,0)+IFERROR('Getting Started'!C23,0))),1)+1),"")</f>
        <v/>
      </c>
      <c r="I75" s="17">
        <f>IFERROR(IF(F75="","",CEILING(G75/((IFERROR(B68,0)+IFERROR(G68,0))/(IFERROR('Getting Started'!C15,0)+IFERROR('Getting Started'!C23,0))),1)),"")</f>
        <v/>
      </c>
      <c r="J75" s="54">
        <f>IFERROR(IF(F75="","",TEXT('Getting Started'!C10+(H75-1)*7,"MMM D")&amp;" – "&amp;TEXT('Getting Started'!C10+I75*7,"MMM D")),"")</f>
        <v/>
      </c>
    </row>
    <row r="76" ht="18" customHeight="1">
      <c r="A76" s="53" t="n">
        <v>6</v>
      </c>
      <c r="B76" s="18" t="n"/>
      <c r="F76" s="55" t="n"/>
      <c r="G76" s="17">
        <f>IFERROR(SUM(F71:F76),"")</f>
        <v/>
      </c>
      <c r="H76" s="17">
        <f>IFERROR(IF(F76="","",FLOOR(G75/((IFERROR(B68,0)+IFERROR(G68,0))/(IFERROR('Getting Started'!C15,0)+IFERROR('Getting Started'!C23,0))),1)+1),"")</f>
        <v/>
      </c>
      <c r="I76" s="17">
        <f>IFERROR(IF(F76="","",CEILING(G76/((IFERROR(B68,0)+IFERROR(G68,0))/(IFERROR('Getting Started'!C15,0)+IFERROR('Getting Started'!C23,0))),1)),"")</f>
        <v/>
      </c>
      <c r="J76" s="54">
        <f>IFERROR(IF(F76="","",TEXT('Getting Started'!C10+(H76-1)*7,"MMM D")&amp;" – "&amp;TEXT('Getting Started'!C10+I76*7,"MMM D")),"")</f>
        <v/>
      </c>
    </row>
    <row r="77" ht="20" customHeight="1">
      <c r="A77" s="56">
        <f>IFERROR(IF('Course Content'!I13="","",'Course Content'!I13),"")</f>
        <v/>
      </c>
    </row>
    <row r="78" ht="8" customHeight="1"/>
    <row r="79" ht="24" customHeight="1">
      <c r="A79" s="44" t="inlineStr">
        <is>
          <t xml:space="preserve">  SOCIAL STUDIES / HISTORY</t>
        </is>
      </c>
      <c r="E79" s="45">
        <f>IFERROR(IF('Course Content'!E14="","← enter on Course Content tab",'Course Content'!E14),"")</f>
        <v/>
      </c>
    </row>
    <row r="80" ht="22" customHeight="1">
      <c r="B80" s="46">
        <f>'Course Content'!G14</f>
        <v/>
      </c>
      <c r="C80" s="47">
        <f>IFERROR(IF(B80="","",ROUND(B80/'Getting Started'!C15,1)),"")</f>
        <v/>
      </c>
      <c r="D80" s="47">
        <f>IFERROR(IF(C80="","",ROUND(C80/'Getting Started'!C7,1)),"")</f>
        <v/>
      </c>
      <c r="E80" s="48">
        <f>IFERROR(IF(B80="","",TEXT('Getting Started'!C10+(B80/D80),"MMM D, YYYY")),"")</f>
        <v/>
      </c>
      <c r="F80" s="39" t="n"/>
      <c r="G80" s="49">
        <f>'Course Content'!H14</f>
        <v/>
      </c>
      <c r="H80" s="50">
        <f>IFERROR(IF(G80="","",ROUND(G80/'Getting Started'!C23,1)),"")</f>
        <v/>
      </c>
      <c r="I80" s="50">
        <f>IFERROR(IF(H80="","",ROUND(H80/'Getting Started'!C7,1)),"")</f>
        <v/>
      </c>
      <c r="J80" s="51">
        <f>IFERROR(IF(G80="","",TEXT('Getting Started'!C18+(G80/I80),"MMM D, YYYY")),"")</f>
        <v/>
      </c>
    </row>
    <row r="81" ht="16" customHeight="1">
      <c r="A81" s="52" t="inlineStr">
        <is>
          <t xml:space="preserve">  Component Breakdown  (optional — use for multi-volume curricula)</t>
        </is>
      </c>
    </row>
    <row r="82" ht="22" customHeight="1">
      <c r="A82" s="28" t="inlineStr">
        <is>
          <t>#</t>
        </is>
      </c>
      <c r="B82" s="28" t="inlineStr">
        <is>
          <t>Book / Component Title</t>
        </is>
      </c>
      <c r="F82" s="28" t="inlineStr">
        <is>
          <t>Units</t>
        </is>
      </c>
      <c r="G82" s="28" t="inlineStr">
        <is>
          <t>Cumul.</t>
        </is>
      </c>
      <c r="H82" s="28" t="inlineStr">
        <is>
          <t>Start
Week</t>
        </is>
      </c>
      <c r="I82" s="28" t="inlineStr">
        <is>
          <t>End
Week</t>
        </is>
      </c>
      <c r="J82" s="28" t="inlineStr">
        <is>
          <t>Est. Dates</t>
        </is>
      </c>
    </row>
    <row r="83" ht="18" customHeight="1">
      <c r="A83" s="53" t="n">
        <v>1</v>
      </c>
      <c r="B83" s="5" t="n"/>
      <c r="F83" s="32" t="n"/>
      <c r="G83" s="17">
        <f>IFERROR(SUM(F83:F83),"")</f>
        <v/>
      </c>
      <c r="H83" s="17">
        <f>IF(F83="","",1)</f>
        <v/>
      </c>
      <c r="I83" s="17">
        <f>IFERROR(IF(F83="","",CEILING(G83/((IFERROR(B80,0)+IFERROR(G80,0))/(IFERROR('Getting Started'!C15,0)+IFERROR('Getting Started'!C23,0))),1)),"")</f>
        <v/>
      </c>
      <c r="J83" s="54">
        <f>IFERROR(IF(F83="","",TEXT('Getting Started'!C10+(H83-1)*7,"MMM D")&amp;" – "&amp;TEXT('Getting Started'!C10+I83*7,"MMM D")),"")</f>
        <v/>
      </c>
    </row>
    <row r="84" ht="18" customHeight="1">
      <c r="A84" s="53" t="n">
        <v>2</v>
      </c>
      <c r="B84" s="18" t="n"/>
      <c r="F84" s="55" t="n"/>
      <c r="G84" s="17">
        <f>IFERROR(SUM(F83:F84),"")</f>
        <v/>
      </c>
      <c r="H84" s="17">
        <f>IFERROR(IF(F84="","",FLOOR(G83/((IFERROR(B80,0)+IFERROR(G80,0))/(IFERROR('Getting Started'!C15,0)+IFERROR('Getting Started'!C23,0))),1)+1),"")</f>
        <v/>
      </c>
      <c r="I84" s="17">
        <f>IFERROR(IF(F84="","",CEILING(G84/((IFERROR(B80,0)+IFERROR(G80,0))/(IFERROR('Getting Started'!C15,0)+IFERROR('Getting Started'!C23,0))),1)),"")</f>
        <v/>
      </c>
      <c r="J84" s="54">
        <f>IFERROR(IF(F84="","",TEXT('Getting Started'!C10+(H84-1)*7,"MMM D")&amp;" – "&amp;TEXT('Getting Started'!C10+I84*7,"MMM D")),"")</f>
        <v/>
      </c>
    </row>
    <row r="85" ht="18" customHeight="1">
      <c r="A85" s="53" t="n">
        <v>3</v>
      </c>
      <c r="B85" s="5" t="n"/>
      <c r="F85" s="32" t="n"/>
      <c r="G85" s="17">
        <f>IFERROR(SUM(F83:F85),"")</f>
        <v/>
      </c>
      <c r="H85" s="17">
        <f>IFERROR(IF(F85="","",FLOOR(G84/((IFERROR(B80,0)+IFERROR(G80,0))/(IFERROR('Getting Started'!C15,0)+IFERROR('Getting Started'!C23,0))),1)+1),"")</f>
        <v/>
      </c>
      <c r="I85" s="17">
        <f>IFERROR(IF(F85="","",CEILING(G85/((IFERROR(B80,0)+IFERROR(G80,0))/(IFERROR('Getting Started'!C15,0)+IFERROR('Getting Started'!C23,0))),1)),"")</f>
        <v/>
      </c>
      <c r="J85" s="54">
        <f>IFERROR(IF(F85="","",TEXT('Getting Started'!C10+(H85-1)*7,"MMM D")&amp;" – "&amp;TEXT('Getting Started'!C10+I85*7,"MMM D")),"")</f>
        <v/>
      </c>
    </row>
    <row r="86" ht="18" customHeight="1">
      <c r="A86" s="53" t="n">
        <v>4</v>
      </c>
      <c r="B86" s="18" t="n"/>
      <c r="F86" s="55" t="n"/>
      <c r="G86" s="17">
        <f>IFERROR(SUM(F83:F86),"")</f>
        <v/>
      </c>
      <c r="H86" s="17">
        <f>IFERROR(IF(F86="","",FLOOR(G85/((IFERROR(B80,0)+IFERROR(G80,0))/(IFERROR('Getting Started'!C15,0)+IFERROR('Getting Started'!C23,0))),1)+1),"")</f>
        <v/>
      </c>
      <c r="I86" s="17">
        <f>IFERROR(IF(F86="","",CEILING(G86/((IFERROR(B80,0)+IFERROR(G80,0))/(IFERROR('Getting Started'!C15,0)+IFERROR('Getting Started'!C23,0))),1)),"")</f>
        <v/>
      </c>
      <c r="J86" s="54">
        <f>IFERROR(IF(F86="","",TEXT('Getting Started'!C10+(H86-1)*7,"MMM D")&amp;" – "&amp;TEXT('Getting Started'!C10+I86*7,"MMM D")),"")</f>
        <v/>
      </c>
    </row>
    <row r="87" ht="18" customHeight="1">
      <c r="A87" s="53" t="n">
        <v>5</v>
      </c>
      <c r="B87" s="5" t="n"/>
      <c r="F87" s="32" t="n"/>
      <c r="G87" s="17">
        <f>IFERROR(SUM(F83:F87),"")</f>
        <v/>
      </c>
      <c r="H87" s="17">
        <f>IFERROR(IF(F87="","",FLOOR(G86/((IFERROR(B80,0)+IFERROR(G80,0))/(IFERROR('Getting Started'!C15,0)+IFERROR('Getting Started'!C23,0))),1)+1),"")</f>
        <v/>
      </c>
      <c r="I87" s="17">
        <f>IFERROR(IF(F87="","",CEILING(G87/((IFERROR(B80,0)+IFERROR(G80,0))/(IFERROR('Getting Started'!C15,0)+IFERROR('Getting Started'!C23,0))),1)),"")</f>
        <v/>
      </c>
      <c r="J87" s="54">
        <f>IFERROR(IF(F87="","",TEXT('Getting Started'!C10+(H87-1)*7,"MMM D")&amp;" – "&amp;TEXT('Getting Started'!C10+I87*7,"MMM D")),"")</f>
        <v/>
      </c>
    </row>
    <row r="88" ht="18" customHeight="1">
      <c r="A88" s="53" t="n">
        <v>6</v>
      </c>
      <c r="B88" s="18" t="n"/>
      <c r="F88" s="55" t="n"/>
      <c r="G88" s="17">
        <f>IFERROR(SUM(F83:F88),"")</f>
        <v/>
      </c>
      <c r="H88" s="17">
        <f>IFERROR(IF(F88="","",FLOOR(G87/((IFERROR(B80,0)+IFERROR(G80,0))/(IFERROR('Getting Started'!C15,0)+IFERROR('Getting Started'!C23,0))),1)+1),"")</f>
        <v/>
      </c>
      <c r="I88" s="17">
        <f>IFERROR(IF(F88="","",CEILING(G88/((IFERROR(B80,0)+IFERROR(G80,0))/(IFERROR('Getting Started'!C15,0)+IFERROR('Getting Started'!C23,0))),1)),"")</f>
        <v/>
      </c>
      <c r="J88" s="54">
        <f>IFERROR(IF(F88="","",TEXT('Getting Started'!C10+(H88-1)*7,"MMM D")&amp;" – "&amp;TEXT('Getting Started'!C10+I88*7,"MMM D")),"")</f>
        <v/>
      </c>
    </row>
    <row r="89" ht="20" customHeight="1">
      <c r="A89" s="56">
        <f>IFERROR(IF('Course Content'!I14="","",'Course Content'!I14),"")</f>
        <v/>
      </c>
    </row>
    <row r="90" ht="8" customHeight="1"/>
    <row r="91" ht="24" customHeight="1">
      <c r="A91" s="44" t="inlineStr">
        <is>
          <t xml:space="preserve">  HEALTH</t>
        </is>
      </c>
      <c r="E91" s="45">
        <f>IFERROR(IF('Course Content'!E15="","← enter on Course Content tab",'Course Content'!E15),"")</f>
        <v/>
      </c>
    </row>
    <row r="92" ht="22" customHeight="1">
      <c r="B92" s="46">
        <f>'Course Content'!G15</f>
        <v/>
      </c>
      <c r="C92" s="47">
        <f>IFERROR(IF(B92="","",ROUND(B92/'Getting Started'!C15,1)),"")</f>
        <v/>
      </c>
      <c r="D92" s="47">
        <f>IFERROR(IF(C92="","",ROUND(C92/'Getting Started'!C7,1)),"")</f>
        <v/>
      </c>
      <c r="E92" s="48">
        <f>IFERROR(IF(B92="","",TEXT('Getting Started'!C10+(B92/D92),"MMM D, YYYY")),"")</f>
        <v/>
      </c>
      <c r="F92" s="39" t="n"/>
      <c r="G92" s="49">
        <f>'Course Content'!H15</f>
        <v/>
      </c>
      <c r="H92" s="50">
        <f>IFERROR(IF(G92="","",ROUND(G92/'Getting Started'!C23,1)),"")</f>
        <v/>
      </c>
      <c r="I92" s="50">
        <f>IFERROR(IF(H92="","",ROUND(H92/'Getting Started'!C7,1)),"")</f>
        <v/>
      </c>
      <c r="J92" s="51">
        <f>IFERROR(IF(G92="","",TEXT('Getting Started'!C18+(G92/I92),"MMM D, YYYY")),"")</f>
        <v/>
      </c>
    </row>
    <row r="93" ht="16" customHeight="1">
      <c r="A93" s="52" t="inlineStr">
        <is>
          <t xml:space="preserve">  Component Breakdown  (optional — use for multi-volume curricula)</t>
        </is>
      </c>
    </row>
    <row r="94" ht="22" customHeight="1">
      <c r="A94" s="28" t="inlineStr">
        <is>
          <t>#</t>
        </is>
      </c>
      <c r="B94" s="28" t="inlineStr">
        <is>
          <t>Book / Component Title</t>
        </is>
      </c>
      <c r="F94" s="28" t="inlineStr">
        <is>
          <t>Units</t>
        </is>
      </c>
      <c r="G94" s="28" t="inlineStr">
        <is>
          <t>Cumul.</t>
        </is>
      </c>
      <c r="H94" s="28" t="inlineStr">
        <is>
          <t>Start
Week</t>
        </is>
      </c>
      <c r="I94" s="28" t="inlineStr">
        <is>
          <t>End
Week</t>
        </is>
      </c>
      <c r="J94" s="28" t="inlineStr">
        <is>
          <t>Est. Dates</t>
        </is>
      </c>
    </row>
    <row r="95" ht="18" customHeight="1">
      <c r="A95" s="53" t="n">
        <v>1</v>
      </c>
      <c r="B95" s="5" t="n"/>
      <c r="F95" s="32" t="n"/>
      <c r="G95" s="17">
        <f>IFERROR(SUM(F95:F95),"")</f>
        <v/>
      </c>
      <c r="H95" s="17">
        <f>IF(F95="","",1)</f>
        <v/>
      </c>
      <c r="I95" s="17">
        <f>IFERROR(IF(F95="","",CEILING(G95/((IFERROR(B92,0)+IFERROR(G92,0))/(IFERROR('Getting Started'!C15,0)+IFERROR('Getting Started'!C23,0))),1)),"")</f>
        <v/>
      </c>
      <c r="J95" s="54">
        <f>IFERROR(IF(F95="","",TEXT('Getting Started'!C10+(H95-1)*7,"MMM D")&amp;" – "&amp;TEXT('Getting Started'!C10+I95*7,"MMM D")),"")</f>
        <v/>
      </c>
    </row>
    <row r="96" ht="18" customHeight="1">
      <c r="A96" s="53" t="n">
        <v>2</v>
      </c>
      <c r="B96" s="18" t="n"/>
      <c r="F96" s="55" t="n"/>
      <c r="G96" s="17">
        <f>IFERROR(SUM(F95:F96),"")</f>
        <v/>
      </c>
      <c r="H96" s="17">
        <f>IFERROR(IF(F96="","",FLOOR(G95/((IFERROR(B92,0)+IFERROR(G92,0))/(IFERROR('Getting Started'!C15,0)+IFERROR('Getting Started'!C23,0))),1)+1),"")</f>
        <v/>
      </c>
      <c r="I96" s="17">
        <f>IFERROR(IF(F96="","",CEILING(G96/((IFERROR(B92,0)+IFERROR(G92,0))/(IFERROR('Getting Started'!C15,0)+IFERROR('Getting Started'!C23,0))),1)),"")</f>
        <v/>
      </c>
      <c r="J96" s="54">
        <f>IFERROR(IF(F96="","",TEXT('Getting Started'!C10+(H96-1)*7,"MMM D")&amp;" – "&amp;TEXT('Getting Started'!C10+I96*7,"MMM D")),"")</f>
        <v/>
      </c>
    </row>
    <row r="97" ht="18" customHeight="1">
      <c r="A97" s="53" t="n">
        <v>3</v>
      </c>
      <c r="B97" s="5" t="n"/>
      <c r="F97" s="32" t="n"/>
      <c r="G97" s="17">
        <f>IFERROR(SUM(F95:F97),"")</f>
        <v/>
      </c>
      <c r="H97" s="17">
        <f>IFERROR(IF(F97="","",FLOOR(G96/((IFERROR(B92,0)+IFERROR(G92,0))/(IFERROR('Getting Started'!C15,0)+IFERROR('Getting Started'!C23,0))),1)+1),"")</f>
        <v/>
      </c>
      <c r="I97" s="17">
        <f>IFERROR(IF(F97="","",CEILING(G97/((IFERROR(B92,0)+IFERROR(G92,0))/(IFERROR('Getting Started'!C15,0)+IFERROR('Getting Started'!C23,0))),1)),"")</f>
        <v/>
      </c>
      <c r="J97" s="54">
        <f>IFERROR(IF(F97="","",TEXT('Getting Started'!C10+(H97-1)*7,"MMM D")&amp;" – "&amp;TEXT('Getting Started'!C10+I97*7,"MMM D")),"")</f>
        <v/>
      </c>
    </row>
    <row r="98" ht="18" customHeight="1">
      <c r="A98" s="53" t="n">
        <v>4</v>
      </c>
      <c r="B98" s="18" t="n"/>
      <c r="F98" s="55" t="n"/>
      <c r="G98" s="17">
        <f>IFERROR(SUM(F95:F98),"")</f>
        <v/>
      </c>
      <c r="H98" s="17">
        <f>IFERROR(IF(F98="","",FLOOR(G97/((IFERROR(B92,0)+IFERROR(G92,0))/(IFERROR('Getting Started'!C15,0)+IFERROR('Getting Started'!C23,0))),1)+1),"")</f>
        <v/>
      </c>
      <c r="I98" s="17">
        <f>IFERROR(IF(F98="","",CEILING(G98/((IFERROR(B92,0)+IFERROR(G92,0))/(IFERROR('Getting Started'!C15,0)+IFERROR('Getting Started'!C23,0))),1)),"")</f>
        <v/>
      </c>
      <c r="J98" s="54">
        <f>IFERROR(IF(F98="","",TEXT('Getting Started'!C10+(H98-1)*7,"MMM D")&amp;" – "&amp;TEXT('Getting Started'!C10+I98*7,"MMM D")),"")</f>
        <v/>
      </c>
    </row>
    <row r="99" ht="18" customHeight="1">
      <c r="A99" s="53" t="n">
        <v>5</v>
      </c>
      <c r="B99" s="5" t="n"/>
      <c r="F99" s="32" t="n"/>
      <c r="G99" s="17">
        <f>IFERROR(SUM(F95:F99),"")</f>
        <v/>
      </c>
      <c r="H99" s="17">
        <f>IFERROR(IF(F99="","",FLOOR(G98/((IFERROR(B92,0)+IFERROR(G92,0))/(IFERROR('Getting Started'!C15,0)+IFERROR('Getting Started'!C23,0))),1)+1),"")</f>
        <v/>
      </c>
      <c r="I99" s="17">
        <f>IFERROR(IF(F99="","",CEILING(G99/((IFERROR(B92,0)+IFERROR(G92,0))/(IFERROR('Getting Started'!C15,0)+IFERROR('Getting Started'!C23,0))),1)),"")</f>
        <v/>
      </c>
      <c r="J99" s="54">
        <f>IFERROR(IF(F99="","",TEXT('Getting Started'!C10+(H99-1)*7,"MMM D")&amp;" – "&amp;TEXT('Getting Started'!C10+I99*7,"MMM D")),"")</f>
        <v/>
      </c>
    </row>
    <row r="100" ht="18" customHeight="1">
      <c r="A100" s="53" t="n">
        <v>6</v>
      </c>
      <c r="B100" s="18" t="n"/>
      <c r="F100" s="55" t="n"/>
      <c r="G100" s="17">
        <f>IFERROR(SUM(F95:F100),"")</f>
        <v/>
      </c>
      <c r="H100" s="17">
        <f>IFERROR(IF(F100="","",FLOOR(G99/((IFERROR(B92,0)+IFERROR(G92,0))/(IFERROR('Getting Started'!C15,0)+IFERROR('Getting Started'!C23,0))),1)+1),"")</f>
        <v/>
      </c>
      <c r="I100" s="17">
        <f>IFERROR(IF(F100="","",CEILING(G100/((IFERROR(B92,0)+IFERROR(G92,0))/(IFERROR('Getting Started'!C15,0)+IFERROR('Getting Started'!C23,0))),1)),"")</f>
        <v/>
      </c>
      <c r="J100" s="54">
        <f>IFERROR(IF(F100="","",TEXT('Getting Started'!C10+(H100-1)*7,"MMM D")&amp;" – "&amp;TEXT('Getting Started'!C10+I100*7,"MMM D")),"")</f>
        <v/>
      </c>
    </row>
    <row r="101" ht="20" customHeight="1">
      <c r="A101" s="56">
        <f>IFERROR(IF('Course Content'!I15="","",'Course Content'!I15),"")</f>
        <v/>
      </c>
    </row>
    <row r="102" ht="8" customHeight="1"/>
    <row r="103" ht="24" customHeight="1">
      <c r="A103" s="44" t="inlineStr">
        <is>
          <t xml:space="preserve">  PHYSICAL EDUCATION</t>
        </is>
      </c>
      <c r="E103" s="45">
        <f>IFERROR(IF('Course Content'!E16="","← enter on Course Content tab",'Course Content'!E16),"")</f>
        <v/>
      </c>
    </row>
    <row r="104" ht="22" customHeight="1">
      <c r="B104" s="46">
        <f>'Course Content'!G16</f>
        <v/>
      </c>
      <c r="C104" s="47">
        <f>IFERROR(IF(B104="","",ROUND(B104/'Getting Started'!C15,1)),"")</f>
        <v/>
      </c>
      <c r="D104" s="47">
        <f>IFERROR(IF(C104="","",ROUND(C104/'Getting Started'!C7,1)),"")</f>
        <v/>
      </c>
      <c r="E104" s="48">
        <f>IFERROR(IF(B104="","",TEXT('Getting Started'!C10+(B104/D104),"MMM D, YYYY")),"")</f>
        <v/>
      </c>
      <c r="F104" s="39" t="n"/>
      <c r="G104" s="49">
        <f>'Course Content'!H16</f>
        <v/>
      </c>
      <c r="H104" s="50">
        <f>IFERROR(IF(G104="","",ROUND(G104/'Getting Started'!C23,1)),"")</f>
        <v/>
      </c>
      <c r="I104" s="50">
        <f>IFERROR(IF(H104="","",ROUND(H104/'Getting Started'!C7,1)),"")</f>
        <v/>
      </c>
      <c r="J104" s="51">
        <f>IFERROR(IF(G104="","",TEXT('Getting Started'!C18+(G104/I104),"MMM D, YYYY")),"")</f>
        <v/>
      </c>
    </row>
    <row r="105" ht="16" customHeight="1">
      <c r="A105" s="52" t="inlineStr">
        <is>
          <t xml:space="preserve">  Component Breakdown  (optional — use for multi-volume curricula)</t>
        </is>
      </c>
    </row>
    <row r="106" ht="22" customHeight="1">
      <c r="A106" s="28" t="inlineStr">
        <is>
          <t>#</t>
        </is>
      </c>
      <c r="B106" s="28" t="inlineStr">
        <is>
          <t>Book / Component Title</t>
        </is>
      </c>
      <c r="F106" s="28" t="inlineStr">
        <is>
          <t>Units</t>
        </is>
      </c>
      <c r="G106" s="28" t="inlineStr">
        <is>
          <t>Cumul.</t>
        </is>
      </c>
      <c r="H106" s="28" t="inlineStr">
        <is>
          <t>Start
Week</t>
        </is>
      </c>
      <c r="I106" s="28" t="inlineStr">
        <is>
          <t>End
Week</t>
        </is>
      </c>
      <c r="J106" s="28" t="inlineStr">
        <is>
          <t>Est. Dates</t>
        </is>
      </c>
    </row>
    <row r="107" ht="18" customHeight="1">
      <c r="A107" s="53" t="n">
        <v>1</v>
      </c>
      <c r="B107" s="5" t="n"/>
      <c r="F107" s="32" t="n"/>
      <c r="G107" s="17">
        <f>IFERROR(SUM(F107:F107),"")</f>
        <v/>
      </c>
      <c r="H107" s="17">
        <f>IF(F107="","",1)</f>
        <v/>
      </c>
      <c r="I107" s="17">
        <f>IFERROR(IF(F107="","",CEILING(G107/((IFERROR(B104,0)+IFERROR(G104,0))/(IFERROR('Getting Started'!C15,0)+IFERROR('Getting Started'!C23,0))),1)),"")</f>
        <v/>
      </c>
      <c r="J107" s="54">
        <f>IFERROR(IF(F107="","",TEXT('Getting Started'!C10+(H107-1)*7,"MMM D")&amp;" – "&amp;TEXT('Getting Started'!C10+I107*7,"MMM D")),"")</f>
        <v/>
      </c>
    </row>
    <row r="108" ht="18" customHeight="1">
      <c r="A108" s="53" t="n">
        <v>2</v>
      </c>
      <c r="B108" s="18" t="n"/>
      <c r="F108" s="55" t="n"/>
      <c r="G108" s="17">
        <f>IFERROR(SUM(F107:F108),"")</f>
        <v/>
      </c>
      <c r="H108" s="17">
        <f>IFERROR(IF(F108="","",FLOOR(G107/((IFERROR(B104,0)+IFERROR(G104,0))/(IFERROR('Getting Started'!C15,0)+IFERROR('Getting Started'!C23,0))),1)+1),"")</f>
        <v/>
      </c>
      <c r="I108" s="17">
        <f>IFERROR(IF(F108="","",CEILING(G108/((IFERROR(B104,0)+IFERROR(G104,0))/(IFERROR('Getting Started'!C15,0)+IFERROR('Getting Started'!C23,0))),1)),"")</f>
        <v/>
      </c>
      <c r="J108" s="54">
        <f>IFERROR(IF(F108="","",TEXT('Getting Started'!C10+(H108-1)*7,"MMM D")&amp;" – "&amp;TEXT('Getting Started'!C10+I108*7,"MMM D")),"")</f>
        <v/>
      </c>
    </row>
    <row r="109" ht="18" customHeight="1">
      <c r="A109" s="53" t="n">
        <v>3</v>
      </c>
      <c r="B109" s="5" t="n"/>
      <c r="F109" s="32" t="n"/>
      <c r="G109" s="17">
        <f>IFERROR(SUM(F107:F109),"")</f>
        <v/>
      </c>
      <c r="H109" s="17">
        <f>IFERROR(IF(F109="","",FLOOR(G108/((IFERROR(B104,0)+IFERROR(G104,0))/(IFERROR('Getting Started'!C15,0)+IFERROR('Getting Started'!C23,0))),1)+1),"")</f>
        <v/>
      </c>
      <c r="I109" s="17">
        <f>IFERROR(IF(F109="","",CEILING(G109/((IFERROR(B104,0)+IFERROR(G104,0))/(IFERROR('Getting Started'!C15,0)+IFERROR('Getting Started'!C23,0))),1)),"")</f>
        <v/>
      </c>
      <c r="J109" s="54">
        <f>IFERROR(IF(F109="","",TEXT('Getting Started'!C10+(H109-1)*7,"MMM D")&amp;" – "&amp;TEXT('Getting Started'!C10+I109*7,"MMM D")),"")</f>
        <v/>
      </c>
    </row>
    <row r="110" ht="18" customHeight="1">
      <c r="A110" s="53" t="n">
        <v>4</v>
      </c>
      <c r="B110" s="18" t="n"/>
      <c r="F110" s="55" t="n"/>
      <c r="G110" s="17">
        <f>IFERROR(SUM(F107:F110),"")</f>
        <v/>
      </c>
      <c r="H110" s="17">
        <f>IFERROR(IF(F110="","",FLOOR(G109/((IFERROR(B104,0)+IFERROR(G104,0))/(IFERROR('Getting Started'!C15,0)+IFERROR('Getting Started'!C23,0))),1)+1),"")</f>
        <v/>
      </c>
      <c r="I110" s="17">
        <f>IFERROR(IF(F110="","",CEILING(G110/((IFERROR(B104,0)+IFERROR(G104,0))/(IFERROR('Getting Started'!C15,0)+IFERROR('Getting Started'!C23,0))),1)),"")</f>
        <v/>
      </c>
      <c r="J110" s="54">
        <f>IFERROR(IF(F110="","",TEXT('Getting Started'!C10+(H110-1)*7,"MMM D")&amp;" – "&amp;TEXT('Getting Started'!C10+I110*7,"MMM D")),"")</f>
        <v/>
      </c>
    </row>
    <row r="111" ht="18" customHeight="1">
      <c r="A111" s="53" t="n">
        <v>5</v>
      </c>
      <c r="B111" s="5" t="n"/>
      <c r="F111" s="32" t="n"/>
      <c r="G111" s="17">
        <f>IFERROR(SUM(F107:F111),"")</f>
        <v/>
      </c>
      <c r="H111" s="17">
        <f>IFERROR(IF(F111="","",FLOOR(G110/((IFERROR(B104,0)+IFERROR(G104,0))/(IFERROR('Getting Started'!C15,0)+IFERROR('Getting Started'!C23,0))),1)+1),"")</f>
        <v/>
      </c>
      <c r="I111" s="17">
        <f>IFERROR(IF(F111="","",CEILING(G111/((IFERROR(B104,0)+IFERROR(G104,0))/(IFERROR('Getting Started'!C15,0)+IFERROR('Getting Started'!C23,0))),1)),"")</f>
        <v/>
      </c>
      <c r="J111" s="54">
        <f>IFERROR(IF(F111="","",TEXT('Getting Started'!C10+(H111-1)*7,"MMM D")&amp;" – "&amp;TEXT('Getting Started'!C10+I111*7,"MMM D")),"")</f>
        <v/>
      </c>
    </row>
    <row r="112" ht="18" customHeight="1">
      <c r="A112" s="53" t="n">
        <v>6</v>
      </c>
      <c r="B112" s="18" t="n"/>
      <c r="F112" s="55" t="n"/>
      <c r="G112" s="17">
        <f>IFERROR(SUM(F107:F112),"")</f>
        <v/>
      </c>
      <c r="H112" s="17">
        <f>IFERROR(IF(F112="","",FLOOR(G111/((IFERROR(B104,0)+IFERROR(G104,0))/(IFERROR('Getting Started'!C15,0)+IFERROR('Getting Started'!C23,0))),1)+1),"")</f>
        <v/>
      </c>
      <c r="I112" s="17">
        <f>IFERROR(IF(F112="","",CEILING(G112/((IFERROR(B104,0)+IFERROR(G104,0))/(IFERROR('Getting Started'!C15,0)+IFERROR('Getting Started'!C23,0))),1)),"")</f>
        <v/>
      </c>
      <c r="J112" s="54">
        <f>IFERROR(IF(F112="","",TEXT('Getting Started'!C10+(H112-1)*7,"MMM D")&amp;" – "&amp;TEXT('Getting Started'!C10+I112*7,"MMM D")),"")</f>
        <v/>
      </c>
    </row>
    <row r="113" ht="20" customHeight="1">
      <c r="A113" s="56">
        <f>IFERROR(IF('Course Content'!I16="","",'Course Content'!I16),"")</f>
        <v/>
      </c>
    </row>
    <row r="114" ht="8" customHeight="1"/>
    <row r="115" ht="24" customHeight="1">
      <c r="A115" s="44" t="inlineStr">
        <is>
          <t xml:space="preserve">  ART / MUSIC</t>
        </is>
      </c>
      <c r="E115" s="45">
        <f>IFERROR(IF('Course Content'!E17="","← enter on Course Content tab",'Course Content'!E17),"")</f>
        <v/>
      </c>
    </row>
    <row r="116" ht="22" customHeight="1">
      <c r="B116" s="46">
        <f>'Course Content'!G17</f>
        <v/>
      </c>
      <c r="C116" s="47">
        <f>IFERROR(IF(B116="","",ROUND(B116/'Getting Started'!C15,1)),"")</f>
        <v/>
      </c>
      <c r="D116" s="47">
        <f>IFERROR(IF(C116="","",ROUND(C116/'Getting Started'!C7,1)),"")</f>
        <v/>
      </c>
      <c r="E116" s="48">
        <f>IFERROR(IF(B116="","",TEXT('Getting Started'!C10+(B116/D116),"MMM D, YYYY")),"")</f>
        <v/>
      </c>
      <c r="F116" s="39" t="n"/>
      <c r="G116" s="49">
        <f>'Course Content'!H17</f>
        <v/>
      </c>
      <c r="H116" s="50">
        <f>IFERROR(IF(G116="","",ROUND(G116/'Getting Started'!C23,1)),"")</f>
        <v/>
      </c>
      <c r="I116" s="50">
        <f>IFERROR(IF(H116="","",ROUND(H116/'Getting Started'!C7,1)),"")</f>
        <v/>
      </c>
      <c r="J116" s="51">
        <f>IFERROR(IF(G116="","",TEXT('Getting Started'!C18+(G116/I116),"MMM D, YYYY")),"")</f>
        <v/>
      </c>
    </row>
    <row r="117" ht="16" customHeight="1">
      <c r="A117" s="52" t="inlineStr">
        <is>
          <t xml:space="preserve">  Component Breakdown  (optional — use for multi-volume curricula)</t>
        </is>
      </c>
    </row>
    <row r="118" ht="22" customHeight="1">
      <c r="A118" s="28" t="inlineStr">
        <is>
          <t>#</t>
        </is>
      </c>
      <c r="B118" s="28" t="inlineStr">
        <is>
          <t>Book / Component Title</t>
        </is>
      </c>
      <c r="F118" s="28" t="inlineStr">
        <is>
          <t>Units</t>
        </is>
      </c>
      <c r="G118" s="28" t="inlineStr">
        <is>
          <t>Cumul.</t>
        </is>
      </c>
      <c r="H118" s="28" t="inlineStr">
        <is>
          <t>Start
Week</t>
        </is>
      </c>
      <c r="I118" s="28" t="inlineStr">
        <is>
          <t>End
Week</t>
        </is>
      </c>
      <c r="J118" s="28" t="inlineStr">
        <is>
          <t>Est. Dates</t>
        </is>
      </c>
    </row>
    <row r="119" ht="18" customHeight="1">
      <c r="A119" s="53" t="n">
        <v>1</v>
      </c>
      <c r="B119" s="5" t="n"/>
      <c r="F119" s="32" t="n"/>
      <c r="G119" s="17">
        <f>IFERROR(SUM(F119:F119),"")</f>
        <v/>
      </c>
      <c r="H119" s="17">
        <f>IF(F119="","",1)</f>
        <v/>
      </c>
      <c r="I119" s="17">
        <f>IFERROR(IF(F119="","",CEILING(G119/((IFERROR(B116,0)+IFERROR(G116,0))/(IFERROR('Getting Started'!C15,0)+IFERROR('Getting Started'!C23,0))),1)),"")</f>
        <v/>
      </c>
      <c r="J119" s="54">
        <f>IFERROR(IF(F119="","",TEXT('Getting Started'!C10+(H119-1)*7,"MMM D")&amp;" – "&amp;TEXT('Getting Started'!C10+I119*7,"MMM D")),"")</f>
        <v/>
      </c>
    </row>
    <row r="120" ht="18" customHeight="1">
      <c r="A120" s="53" t="n">
        <v>2</v>
      </c>
      <c r="B120" s="18" t="n"/>
      <c r="F120" s="55" t="n"/>
      <c r="G120" s="17">
        <f>IFERROR(SUM(F119:F120),"")</f>
        <v/>
      </c>
      <c r="H120" s="17">
        <f>IFERROR(IF(F120="","",FLOOR(G119/((IFERROR(B116,0)+IFERROR(G116,0))/(IFERROR('Getting Started'!C15,0)+IFERROR('Getting Started'!C23,0))),1)+1),"")</f>
        <v/>
      </c>
      <c r="I120" s="17">
        <f>IFERROR(IF(F120="","",CEILING(G120/((IFERROR(B116,0)+IFERROR(G116,0))/(IFERROR('Getting Started'!C15,0)+IFERROR('Getting Started'!C23,0))),1)),"")</f>
        <v/>
      </c>
      <c r="J120" s="54">
        <f>IFERROR(IF(F120="","",TEXT('Getting Started'!C10+(H120-1)*7,"MMM D")&amp;" – "&amp;TEXT('Getting Started'!C10+I120*7,"MMM D")),"")</f>
        <v/>
      </c>
    </row>
    <row r="121" ht="18" customHeight="1">
      <c r="A121" s="53" t="n">
        <v>3</v>
      </c>
      <c r="B121" s="5" t="n"/>
      <c r="F121" s="32" t="n"/>
      <c r="G121" s="17">
        <f>IFERROR(SUM(F119:F121),"")</f>
        <v/>
      </c>
      <c r="H121" s="17">
        <f>IFERROR(IF(F121="","",FLOOR(G120/((IFERROR(B116,0)+IFERROR(G116,0))/(IFERROR('Getting Started'!C15,0)+IFERROR('Getting Started'!C23,0))),1)+1),"")</f>
        <v/>
      </c>
      <c r="I121" s="17">
        <f>IFERROR(IF(F121="","",CEILING(G121/((IFERROR(B116,0)+IFERROR(G116,0))/(IFERROR('Getting Started'!C15,0)+IFERROR('Getting Started'!C23,0))),1)),"")</f>
        <v/>
      </c>
      <c r="J121" s="54">
        <f>IFERROR(IF(F121="","",TEXT('Getting Started'!C10+(H121-1)*7,"MMM D")&amp;" – "&amp;TEXT('Getting Started'!C10+I121*7,"MMM D")),"")</f>
        <v/>
      </c>
    </row>
    <row r="122" ht="18" customHeight="1">
      <c r="A122" s="53" t="n">
        <v>4</v>
      </c>
      <c r="B122" s="18" t="n"/>
      <c r="F122" s="55" t="n"/>
      <c r="G122" s="17">
        <f>IFERROR(SUM(F119:F122),"")</f>
        <v/>
      </c>
      <c r="H122" s="17">
        <f>IFERROR(IF(F122="","",FLOOR(G121/((IFERROR(B116,0)+IFERROR(G116,0))/(IFERROR('Getting Started'!C15,0)+IFERROR('Getting Started'!C23,0))),1)+1),"")</f>
        <v/>
      </c>
      <c r="I122" s="17">
        <f>IFERROR(IF(F122="","",CEILING(G122/((IFERROR(B116,0)+IFERROR(G116,0))/(IFERROR('Getting Started'!C15,0)+IFERROR('Getting Started'!C23,0))),1)),"")</f>
        <v/>
      </c>
      <c r="J122" s="54">
        <f>IFERROR(IF(F122="","",TEXT('Getting Started'!C10+(H122-1)*7,"MMM D")&amp;" – "&amp;TEXT('Getting Started'!C10+I122*7,"MMM D")),"")</f>
        <v/>
      </c>
    </row>
    <row r="123" ht="18" customHeight="1">
      <c r="A123" s="53" t="n">
        <v>5</v>
      </c>
      <c r="B123" s="5" t="n"/>
      <c r="F123" s="32" t="n"/>
      <c r="G123" s="17">
        <f>IFERROR(SUM(F119:F123),"")</f>
        <v/>
      </c>
      <c r="H123" s="17">
        <f>IFERROR(IF(F123="","",FLOOR(G122/((IFERROR(B116,0)+IFERROR(G116,0))/(IFERROR('Getting Started'!C15,0)+IFERROR('Getting Started'!C23,0))),1)+1),"")</f>
        <v/>
      </c>
      <c r="I123" s="17">
        <f>IFERROR(IF(F123="","",CEILING(G123/((IFERROR(B116,0)+IFERROR(G116,0))/(IFERROR('Getting Started'!C15,0)+IFERROR('Getting Started'!C23,0))),1)),"")</f>
        <v/>
      </c>
      <c r="J123" s="54">
        <f>IFERROR(IF(F123="","",TEXT('Getting Started'!C10+(H123-1)*7,"MMM D")&amp;" – "&amp;TEXT('Getting Started'!C10+I123*7,"MMM D")),"")</f>
        <v/>
      </c>
    </row>
    <row r="124" ht="18" customHeight="1">
      <c r="A124" s="53" t="n">
        <v>6</v>
      </c>
      <c r="B124" s="18" t="n"/>
      <c r="F124" s="55" t="n"/>
      <c r="G124" s="17">
        <f>IFERROR(SUM(F119:F124),"")</f>
        <v/>
      </c>
      <c r="H124" s="17">
        <f>IFERROR(IF(F124="","",FLOOR(G123/((IFERROR(B116,0)+IFERROR(G116,0))/(IFERROR('Getting Started'!C15,0)+IFERROR('Getting Started'!C23,0))),1)+1),"")</f>
        <v/>
      </c>
      <c r="I124" s="17">
        <f>IFERROR(IF(F124="","",CEILING(G124/((IFERROR(B116,0)+IFERROR(G116,0))/(IFERROR('Getting Started'!C15,0)+IFERROR('Getting Started'!C23,0))),1)),"")</f>
        <v/>
      </c>
      <c r="J124" s="54">
        <f>IFERROR(IF(F124="","",TEXT('Getting Started'!C10+(H124-1)*7,"MMM D")&amp;" – "&amp;TEXT('Getting Started'!C10+I124*7,"MMM D")),"")</f>
        <v/>
      </c>
    </row>
    <row r="125" ht="20" customHeight="1">
      <c r="A125" s="56">
        <f>IFERROR(IF('Course Content'!I17="","",'Course Content'!I17),"")</f>
        <v/>
      </c>
    </row>
    <row r="126" ht="8" customHeight="1"/>
    <row r="127" ht="24" customHeight="1">
      <c r="A127" s="44">
        <f>IF('Course Content'!D18="","  ELECTIVE / OTHER 1","  "&amp;UPPER('Course Content'!D18))</f>
        <v/>
      </c>
      <c r="E127" s="45">
        <f>IFERROR(IF('Course Content'!E18="","← enter on Course Content tab",'Course Content'!E18),"")</f>
        <v/>
      </c>
    </row>
    <row r="128" ht="22" customHeight="1">
      <c r="B128" s="46">
        <f>'Course Content'!G18</f>
        <v/>
      </c>
      <c r="C128" s="47">
        <f>IFERROR(IF(B128="","",ROUND(B128/'Getting Started'!C15,1)),"")</f>
        <v/>
      </c>
      <c r="D128" s="47">
        <f>IFERROR(IF(C128="","",ROUND(C128/'Getting Started'!C7,1)),"")</f>
        <v/>
      </c>
      <c r="E128" s="48">
        <f>IFERROR(IF(B128="","",TEXT('Getting Started'!C10+(B128/D128),"MMM D, YYYY")),"")</f>
        <v/>
      </c>
      <c r="F128" s="39" t="n"/>
      <c r="G128" s="49">
        <f>'Course Content'!H18</f>
        <v/>
      </c>
      <c r="H128" s="50">
        <f>IFERROR(IF(G128="","",ROUND(G128/'Getting Started'!C23,1)),"")</f>
        <v/>
      </c>
      <c r="I128" s="50">
        <f>IFERROR(IF(H128="","",ROUND(H128/'Getting Started'!C7,1)),"")</f>
        <v/>
      </c>
      <c r="J128" s="51">
        <f>IFERROR(IF(G128="","",TEXT('Getting Started'!C18+(G128/I128),"MMM D, YYYY")),"")</f>
        <v/>
      </c>
    </row>
    <row r="129" ht="16" customHeight="1">
      <c r="A129" s="52" t="inlineStr">
        <is>
          <t xml:space="preserve">  Component Breakdown  (optional — use for multi-volume curricula)</t>
        </is>
      </c>
    </row>
    <row r="130" ht="22" customHeight="1">
      <c r="A130" s="28" t="inlineStr">
        <is>
          <t>#</t>
        </is>
      </c>
      <c r="B130" s="28" t="inlineStr">
        <is>
          <t>Book / Component Title</t>
        </is>
      </c>
      <c r="F130" s="28" t="inlineStr">
        <is>
          <t>Units</t>
        </is>
      </c>
      <c r="G130" s="28" t="inlineStr">
        <is>
          <t>Cumul.</t>
        </is>
      </c>
      <c r="H130" s="28" t="inlineStr">
        <is>
          <t>Start
Week</t>
        </is>
      </c>
      <c r="I130" s="28" t="inlineStr">
        <is>
          <t>End
Week</t>
        </is>
      </c>
      <c r="J130" s="28" t="inlineStr">
        <is>
          <t>Est. Dates</t>
        </is>
      </c>
    </row>
    <row r="131" ht="18" customHeight="1">
      <c r="A131" s="53" t="n">
        <v>1</v>
      </c>
      <c r="B131" s="5" t="n"/>
      <c r="F131" s="32" t="n"/>
      <c r="G131" s="17">
        <f>IFERROR(SUM(F131:F131),"")</f>
        <v/>
      </c>
      <c r="H131" s="17">
        <f>IF(F131="","",1)</f>
        <v/>
      </c>
      <c r="I131" s="17">
        <f>IFERROR(IF(F131="","",CEILING(G131/((IFERROR(B128,0)+IFERROR(G128,0))/(IFERROR('Getting Started'!C15,0)+IFERROR('Getting Started'!C23,0))),1)),"")</f>
        <v/>
      </c>
      <c r="J131" s="54">
        <f>IFERROR(IF(F131="","",TEXT('Getting Started'!C10+(H131-1)*7,"MMM D")&amp;" – "&amp;TEXT('Getting Started'!C10+I131*7,"MMM D")),"")</f>
        <v/>
      </c>
    </row>
    <row r="132" ht="18" customHeight="1">
      <c r="A132" s="53" t="n">
        <v>2</v>
      </c>
      <c r="B132" s="18" t="n"/>
      <c r="F132" s="55" t="n"/>
      <c r="G132" s="17">
        <f>IFERROR(SUM(F131:F132),"")</f>
        <v/>
      </c>
      <c r="H132" s="17">
        <f>IFERROR(IF(F132="","",FLOOR(G131/((IFERROR(B128,0)+IFERROR(G128,0))/(IFERROR('Getting Started'!C15,0)+IFERROR('Getting Started'!C23,0))),1)+1),"")</f>
        <v/>
      </c>
      <c r="I132" s="17">
        <f>IFERROR(IF(F132="","",CEILING(G132/((IFERROR(B128,0)+IFERROR(G128,0))/(IFERROR('Getting Started'!C15,0)+IFERROR('Getting Started'!C23,0))),1)),"")</f>
        <v/>
      </c>
      <c r="J132" s="54">
        <f>IFERROR(IF(F132="","",TEXT('Getting Started'!C10+(H132-1)*7,"MMM D")&amp;" – "&amp;TEXT('Getting Started'!C10+I132*7,"MMM D")),"")</f>
        <v/>
      </c>
    </row>
    <row r="133" ht="18" customHeight="1">
      <c r="A133" s="53" t="n">
        <v>3</v>
      </c>
      <c r="B133" s="5" t="n"/>
      <c r="F133" s="32" t="n"/>
      <c r="G133" s="17">
        <f>IFERROR(SUM(F131:F133),"")</f>
        <v/>
      </c>
      <c r="H133" s="17">
        <f>IFERROR(IF(F133="","",FLOOR(G132/((IFERROR(B128,0)+IFERROR(G128,0))/(IFERROR('Getting Started'!C15,0)+IFERROR('Getting Started'!C23,0))),1)+1),"")</f>
        <v/>
      </c>
      <c r="I133" s="17">
        <f>IFERROR(IF(F133="","",CEILING(G133/((IFERROR(B128,0)+IFERROR(G128,0))/(IFERROR('Getting Started'!C15,0)+IFERROR('Getting Started'!C23,0))),1)),"")</f>
        <v/>
      </c>
      <c r="J133" s="54">
        <f>IFERROR(IF(F133="","",TEXT('Getting Started'!C10+(H133-1)*7,"MMM D")&amp;" – "&amp;TEXT('Getting Started'!C10+I133*7,"MMM D")),"")</f>
        <v/>
      </c>
    </row>
    <row r="134" ht="18" customHeight="1">
      <c r="A134" s="53" t="n">
        <v>4</v>
      </c>
      <c r="B134" s="18" t="n"/>
      <c r="F134" s="55" t="n"/>
      <c r="G134" s="17">
        <f>IFERROR(SUM(F131:F134),"")</f>
        <v/>
      </c>
      <c r="H134" s="17">
        <f>IFERROR(IF(F134="","",FLOOR(G133/((IFERROR(B128,0)+IFERROR(G128,0))/(IFERROR('Getting Started'!C15,0)+IFERROR('Getting Started'!C23,0))),1)+1),"")</f>
        <v/>
      </c>
      <c r="I134" s="17">
        <f>IFERROR(IF(F134="","",CEILING(G134/((IFERROR(B128,0)+IFERROR(G128,0))/(IFERROR('Getting Started'!C15,0)+IFERROR('Getting Started'!C23,0))),1)),"")</f>
        <v/>
      </c>
      <c r="J134" s="54">
        <f>IFERROR(IF(F134="","",TEXT('Getting Started'!C10+(H134-1)*7,"MMM D")&amp;" – "&amp;TEXT('Getting Started'!C10+I134*7,"MMM D")),"")</f>
        <v/>
      </c>
    </row>
    <row r="135" ht="18" customHeight="1">
      <c r="A135" s="53" t="n">
        <v>5</v>
      </c>
      <c r="B135" s="5" t="n"/>
      <c r="F135" s="32" t="n"/>
      <c r="G135" s="17">
        <f>IFERROR(SUM(F131:F135),"")</f>
        <v/>
      </c>
      <c r="H135" s="17">
        <f>IFERROR(IF(F135="","",FLOOR(G134/((IFERROR(B128,0)+IFERROR(G128,0))/(IFERROR('Getting Started'!C15,0)+IFERROR('Getting Started'!C23,0))),1)+1),"")</f>
        <v/>
      </c>
      <c r="I135" s="17">
        <f>IFERROR(IF(F135="","",CEILING(G135/((IFERROR(B128,0)+IFERROR(G128,0))/(IFERROR('Getting Started'!C15,0)+IFERROR('Getting Started'!C23,0))),1)),"")</f>
        <v/>
      </c>
      <c r="J135" s="54">
        <f>IFERROR(IF(F135="","",TEXT('Getting Started'!C10+(H135-1)*7,"MMM D")&amp;" – "&amp;TEXT('Getting Started'!C10+I135*7,"MMM D")),"")</f>
        <v/>
      </c>
    </row>
    <row r="136" ht="18" customHeight="1">
      <c r="A136" s="53" t="n">
        <v>6</v>
      </c>
      <c r="B136" s="18" t="n"/>
      <c r="F136" s="55" t="n"/>
      <c r="G136" s="17">
        <f>IFERROR(SUM(F131:F136),"")</f>
        <v/>
      </c>
      <c r="H136" s="17">
        <f>IFERROR(IF(F136="","",FLOOR(G135/((IFERROR(B128,0)+IFERROR(G128,0))/(IFERROR('Getting Started'!C15,0)+IFERROR('Getting Started'!C23,0))),1)+1),"")</f>
        <v/>
      </c>
      <c r="I136" s="17">
        <f>IFERROR(IF(F136="","",CEILING(G136/((IFERROR(B128,0)+IFERROR(G128,0))/(IFERROR('Getting Started'!C15,0)+IFERROR('Getting Started'!C23,0))),1)),"")</f>
        <v/>
      </c>
      <c r="J136" s="54">
        <f>IFERROR(IF(F136="","",TEXT('Getting Started'!C10+(H136-1)*7,"MMM D")&amp;" – "&amp;TEXT('Getting Started'!C10+I136*7,"MMM D")),"")</f>
        <v/>
      </c>
    </row>
    <row r="137" ht="20" customHeight="1">
      <c r="A137" s="56">
        <f>IFERROR(IF('Course Content'!I18="","",'Course Content'!I18),"")</f>
        <v/>
      </c>
    </row>
    <row r="138" ht="8" customHeight="1"/>
    <row r="139" ht="24" customHeight="1">
      <c r="A139" s="44">
        <f>IF('Course Content'!D19="","  ELECTIVE / OTHER 2","  "&amp;UPPER('Course Content'!D19))</f>
        <v/>
      </c>
      <c r="E139" s="45">
        <f>IFERROR(IF('Course Content'!E19="","← enter on Course Content tab",'Course Content'!E19),"")</f>
        <v/>
      </c>
    </row>
    <row r="140" ht="22" customHeight="1">
      <c r="B140" s="46">
        <f>'Course Content'!G19</f>
        <v/>
      </c>
      <c r="C140" s="47">
        <f>IFERROR(IF(B140="","",ROUND(B140/'Getting Started'!C15,1)),"")</f>
        <v/>
      </c>
      <c r="D140" s="47">
        <f>IFERROR(IF(C140="","",ROUND(C140/'Getting Started'!C7,1)),"")</f>
        <v/>
      </c>
      <c r="E140" s="48">
        <f>IFERROR(IF(B140="","",TEXT('Getting Started'!C10+(B140/D140),"MMM D, YYYY")),"")</f>
        <v/>
      </c>
      <c r="F140" s="39" t="n"/>
      <c r="G140" s="49">
        <f>'Course Content'!H19</f>
        <v/>
      </c>
      <c r="H140" s="50">
        <f>IFERROR(IF(G140="","",ROUND(G140/'Getting Started'!C23,1)),"")</f>
        <v/>
      </c>
      <c r="I140" s="50">
        <f>IFERROR(IF(H140="","",ROUND(H140/'Getting Started'!C7,1)),"")</f>
        <v/>
      </c>
      <c r="J140" s="51">
        <f>IFERROR(IF(G140="","",TEXT('Getting Started'!C18+(G140/I140),"MMM D, YYYY")),"")</f>
        <v/>
      </c>
    </row>
    <row r="141" ht="16" customHeight="1">
      <c r="A141" s="52" t="inlineStr">
        <is>
          <t xml:space="preserve">  Component Breakdown  (optional — use for multi-volume curricula)</t>
        </is>
      </c>
    </row>
    <row r="142" ht="22" customHeight="1">
      <c r="A142" s="28" t="inlineStr">
        <is>
          <t>#</t>
        </is>
      </c>
      <c r="B142" s="28" t="inlineStr">
        <is>
          <t>Book / Component Title</t>
        </is>
      </c>
      <c r="F142" s="28" t="inlineStr">
        <is>
          <t>Units</t>
        </is>
      </c>
      <c r="G142" s="28" t="inlineStr">
        <is>
          <t>Cumul.</t>
        </is>
      </c>
      <c r="H142" s="28" t="inlineStr">
        <is>
          <t>Start
Week</t>
        </is>
      </c>
      <c r="I142" s="28" t="inlineStr">
        <is>
          <t>End
Week</t>
        </is>
      </c>
      <c r="J142" s="28" t="inlineStr">
        <is>
          <t>Est. Dates</t>
        </is>
      </c>
    </row>
    <row r="143" ht="18" customHeight="1">
      <c r="A143" s="53" t="n">
        <v>1</v>
      </c>
      <c r="B143" s="5" t="n"/>
      <c r="F143" s="32" t="n"/>
      <c r="G143" s="17">
        <f>IFERROR(SUM(F143:F143),"")</f>
        <v/>
      </c>
      <c r="H143" s="17">
        <f>IF(F143="","",1)</f>
        <v/>
      </c>
      <c r="I143" s="17">
        <f>IFERROR(IF(F143="","",CEILING(G143/((IFERROR(B140,0)+IFERROR(G140,0))/(IFERROR('Getting Started'!C15,0)+IFERROR('Getting Started'!C23,0))),1)),"")</f>
        <v/>
      </c>
      <c r="J143" s="54">
        <f>IFERROR(IF(F143="","",TEXT('Getting Started'!C10+(H143-1)*7,"MMM D")&amp;" – "&amp;TEXT('Getting Started'!C10+I143*7,"MMM D")),"")</f>
        <v/>
      </c>
    </row>
    <row r="144" ht="18" customHeight="1">
      <c r="A144" s="53" t="n">
        <v>2</v>
      </c>
      <c r="B144" s="18" t="n"/>
      <c r="F144" s="55" t="n"/>
      <c r="G144" s="17">
        <f>IFERROR(SUM(F143:F144),"")</f>
        <v/>
      </c>
      <c r="H144" s="17">
        <f>IFERROR(IF(F144="","",FLOOR(G143/((IFERROR(B140,0)+IFERROR(G140,0))/(IFERROR('Getting Started'!C15,0)+IFERROR('Getting Started'!C23,0))),1)+1),"")</f>
        <v/>
      </c>
      <c r="I144" s="17">
        <f>IFERROR(IF(F144="","",CEILING(G144/((IFERROR(B140,0)+IFERROR(G140,0))/(IFERROR('Getting Started'!C15,0)+IFERROR('Getting Started'!C23,0))),1)),"")</f>
        <v/>
      </c>
      <c r="J144" s="54">
        <f>IFERROR(IF(F144="","",TEXT('Getting Started'!C10+(H144-1)*7,"MMM D")&amp;" – "&amp;TEXT('Getting Started'!C10+I144*7,"MMM D")),"")</f>
        <v/>
      </c>
    </row>
    <row r="145" ht="18" customHeight="1">
      <c r="A145" s="53" t="n">
        <v>3</v>
      </c>
      <c r="B145" s="5" t="n"/>
      <c r="F145" s="32" t="n"/>
      <c r="G145" s="17">
        <f>IFERROR(SUM(F143:F145),"")</f>
        <v/>
      </c>
      <c r="H145" s="17">
        <f>IFERROR(IF(F145="","",FLOOR(G144/((IFERROR(B140,0)+IFERROR(G140,0))/(IFERROR('Getting Started'!C15,0)+IFERROR('Getting Started'!C23,0))),1)+1),"")</f>
        <v/>
      </c>
      <c r="I145" s="17">
        <f>IFERROR(IF(F145="","",CEILING(G145/((IFERROR(B140,0)+IFERROR(G140,0))/(IFERROR('Getting Started'!C15,0)+IFERROR('Getting Started'!C23,0))),1)),"")</f>
        <v/>
      </c>
      <c r="J145" s="54">
        <f>IFERROR(IF(F145="","",TEXT('Getting Started'!C10+(H145-1)*7,"MMM D")&amp;" – "&amp;TEXT('Getting Started'!C10+I145*7,"MMM D")),"")</f>
        <v/>
      </c>
    </row>
    <row r="146" ht="18" customHeight="1">
      <c r="A146" s="53" t="n">
        <v>4</v>
      </c>
      <c r="B146" s="18" t="n"/>
      <c r="F146" s="55" t="n"/>
      <c r="G146" s="17">
        <f>IFERROR(SUM(F143:F146),"")</f>
        <v/>
      </c>
      <c r="H146" s="17">
        <f>IFERROR(IF(F146="","",FLOOR(G145/((IFERROR(B140,0)+IFERROR(G140,0))/(IFERROR('Getting Started'!C15,0)+IFERROR('Getting Started'!C23,0))),1)+1),"")</f>
        <v/>
      </c>
      <c r="I146" s="17">
        <f>IFERROR(IF(F146="","",CEILING(G146/((IFERROR(B140,0)+IFERROR(G140,0))/(IFERROR('Getting Started'!C15,0)+IFERROR('Getting Started'!C23,0))),1)),"")</f>
        <v/>
      </c>
      <c r="J146" s="54">
        <f>IFERROR(IF(F146="","",TEXT('Getting Started'!C10+(H146-1)*7,"MMM D")&amp;" – "&amp;TEXT('Getting Started'!C10+I146*7,"MMM D")),"")</f>
        <v/>
      </c>
    </row>
    <row r="147" ht="18" customHeight="1">
      <c r="A147" s="53" t="n">
        <v>5</v>
      </c>
      <c r="B147" s="5" t="n"/>
      <c r="F147" s="32" t="n"/>
      <c r="G147" s="17">
        <f>IFERROR(SUM(F143:F147),"")</f>
        <v/>
      </c>
      <c r="H147" s="17">
        <f>IFERROR(IF(F147="","",FLOOR(G146/((IFERROR(B140,0)+IFERROR(G140,0))/(IFERROR('Getting Started'!C15,0)+IFERROR('Getting Started'!C23,0))),1)+1),"")</f>
        <v/>
      </c>
      <c r="I147" s="17">
        <f>IFERROR(IF(F147="","",CEILING(G147/((IFERROR(B140,0)+IFERROR(G140,0))/(IFERROR('Getting Started'!C15,0)+IFERROR('Getting Started'!C23,0))),1)),"")</f>
        <v/>
      </c>
      <c r="J147" s="54">
        <f>IFERROR(IF(F147="","",TEXT('Getting Started'!C10+(H147-1)*7,"MMM D")&amp;" – "&amp;TEXT('Getting Started'!C10+I147*7,"MMM D")),"")</f>
        <v/>
      </c>
    </row>
    <row r="148" ht="18" customHeight="1">
      <c r="A148" s="53" t="n">
        <v>6</v>
      </c>
      <c r="B148" s="18" t="n"/>
      <c r="F148" s="55" t="n"/>
      <c r="G148" s="17">
        <f>IFERROR(SUM(F143:F148),"")</f>
        <v/>
      </c>
      <c r="H148" s="17">
        <f>IFERROR(IF(F148="","",FLOOR(G147/((IFERROR(B140,0)+IFERROR(G140,0))/(IFERROR('Getting Started'!C15,0)+IFERROR('Getting Started'!C23,0))),1)+1),"")</f>
        <v/>
      </c>
      <c r="I148" s="17">
        <f>IFERROR(IF(F148="","",CEILING(G148/((IFERROR(B140,0)+IFERROR(G140,0))/(IFERROR('Getting Started'!C15,0)+IFERROR('Getting Started'!C23,0))),1)),"")</f>
        <v/>
      </c>
      <c r="J148" s="54">
        <f>IFERROR(IF(F148="","",TEXT('Getting Started'!C10+(H148-1)*7,"MMM D")&amp;" – "&amp;TEXT('Getting Started'!C10+I148*7,"MMM D")),"")</f>
        <v/>
      </c>
    </row>
    <row r="149" ht="20" customHeight="1">
      <c r="A149" s="56">
        <f>IFERROR(IF('Course Content'!I19="","",'Course Content'!I19),"")</f>
        <v/>
      </c>
    </row>
    <row r="150" ht="8" customHeight="1"/>
    <row r="151" ht="24" customHeight="1">
      <c r="A151" s="44">
        <f>IF('Course Content'!D20="","  ELECTIVE / OTHER 3","  "&amp;UPPER('Course Content'!D20))</f>
        <v/>
      </c>
      <c r="E151" s="45">
        <f>IFERROR(IF('Course Content'!E20="","← enter on Course Content tab",'Course Content'!E20),"")</f>
        <v/>
      </c>
    </row>
    <row r="152" ht="22" customHeight="1">
      <c r="B152" s="46">
        <f>'Course Content'!G20</f>
        <v/>
      </c>
      <c r="C152" s="47">
        <f>IFERROR(IF(B152="","",ROUND(B152/'Getting Started'!C15,1)),"")</f>
        <v/>
      </c>
      <c r="D152" s="47">
        <f>IFERROR(IF(C152="","",ROUND(C152/'Getting Started'!C7,1)),"")</f>
        <v/>
      </c>
      <c r="E152" s="48">
        <f>IFERROR(IF(B152="","",TEXT('Getting Started'!C10+(B152/D152),"MMM D, YYYY")),"")</f>
        <v/>
      </c>
      <c r="F152" s="39" t="n"/>
      <c r="G152" s="49">
        <f>'Course Content'!H20</f>
        <v/>
      </c>
      <c r="H152" s="50">
        <f>IFERROR(IF(G152="","",ROUND(G152/'Getting Started'!C23,1)),"")</f>
        <v/>
      </c>
      <c r="I152" s="50">
        <f>IFERROR(IF(H152="","",ROUND(H152/'Getting Started'!C7,1)),"")</f>
        <v/>
      </c>
      <c r="J152" s="51">
        <f>IFERROR(IF(G152="","",TEXT('Getting Started'!C18+(G152/I152),"MMM D, YYYY")),"")</f>
        <v/>
      </c>
    </row>
    <row r="153" ht="16" customHeight="1">
      <c r="A153" s="52" t="inlineStr">
        <is>
          <t xml:space="preserve">  Component Breakdown  (optional — use for multi-volume curricula)</t>
        </is>
      </c>
    </row>
    <row r="154" ht="22" customHeight="1">
      <c r="A154" s="28" t="inlineStr">
        <is>
          <t>#</t>
        </is>
      </c>
      <c r="B154" s="28" t="inlineStr">
        <is>
          <t>Book / Component Title</t>
        </is>
      </c>
      <c r="F154" s="28" t="inlineStr">
        <is>
          <t>Units</t>
        </is>
      </c>
      <c r="G154" s="28" t="inlineStr">
        <is>
          <t>Cumul.</t>
        </is>
      </c>
      <c r="H154" s="28" t="inlineStr">
        <is>
          <t>Start
Week</t>
        </is>
      </c>
      <c r="I154" s="28" t="inlineStr">
        <is>
          <t>End
Week</t>
        </is>
      </c>
      <c r="J154" s="28" t="inlineStr">
        <is>
          <t>Est. Dates</t>
        </is>
      </c>
    </row>
    <row r="155" ht="18" customHeight="1">
      <c r="A155" s="53" t="n">
        <v>1</v>
      </c>
      <c r="B155" s="5" t="n"/>
      <c r="F155" s="32" t="n"/>
      <c r="G155" s="17">
        <f>IFERROR(SUM(F155:F155),"")</f>
        <v/>
      </c>
      <c r="H155" s="17">
        <f>IF(F155="","",1)</f>
        <v/>
      </c>
      <c r="I155" s="17">
        <f>IFERROR(IF(F155="","",CEILING(G155/((IFERROR(B152,0)+IFERROR(G152,0))/(IFERROR('Getting Started'!C15,0)+IFERROR('Getting Started'!C23,0))),1)),"")</f>
        <v/>
      </c>
      <c r="J155" s="54">
        <f>IFERROR(IF(F155="","",TEXT('Getting Started'!C10+(H155-1)*7,"MMM D")&amp;" – "&amp;TEXT('Getting Started'!C10+I155*7,"MMM D")),"")</f>
        <v/>
      </c>
    </row>
    <row r="156" ht="18" customHeight="1">
      <c r="A156" s="53" t="n">
        <v>2</v>
      </c>
      <c r="B156" s="18" t="n"/>
      <c r="F156" s="55" t="n"/>
      <c r="G156" s="17">
        <f>IFERROR(SUM(F155:F156),"")</f>
        <v/>
      </c>
      <c r="H156" s="17">
        <f>IFERROR(IF(F156="","",FLOOR(G155/((IFERROR(B152,0)+IFERROR(G152,0))/(IFERROR('Getting Started'!C15,0)+IFERROR('Getting Started'!C23,0))),1)+1),"")</f>
        <v/>
      </c>
      <c r="I156" s="17">
        <f>IFERROR(IF(F156="","",CEILING(G156/((IFERROR(B152,0)+IFERROR(G152,0))/(IFERROR('Getting Started'!C15,0)+IFERROR('Getting Started'!C23,0))),1)),"")</f>
        <v/>
      </c>
      <c r="J156" s="54">
        <f>IFERROR(IF(F156="","",TEXT('Getting Started'!C10+(H156-1)*7,"MMM D")&amp;" – "&amp;TEXT('Getting Started'!C10+I156*7,"MMM D")),"")</f>
        <v/>
      </c>
    </row>
    <row r="157" ht="18" customHeight="1">
      <c r="A157" s="53" t="n">
        <v>3</v>
      </c>
      <c r="B157" s="5" t="n"/>
      <c r="F157" s="32" t="n"/>
      <c r="G157" s="17">
        <f>IFERROR(SUM(F155:F157),"")</f>
        <v/>
      </c>
      <c r="H157" s="17">
        <f>IFERROR(IF(F157="","",FLOOR(G156/((IFERROR(B152,0)+IFERROR(G152,0))/(IFERROR('Getting Started'!C15,0)+IFERROR('Getting Started'!C23,0))),1)+1),"")</f>
        <v/>
      </c>
      <c r="I157" s="17">
        <f>IFERROR(IF(F157="","",CEILING(G157/((IFERROR(B152,0)+IFERROR(G152,0))/(IFERROR('Getting Started'!C15,0)+IFERROR('Getting Started'!C23,0))),1)),"")</f>
        <v/>
      </c>
      <c r="J157" s="54">
        <f>IFERROR(IF(F157="","",TEXT('Getting Started'!C10+(H157-1)*7,"MMM D")&amp;" – "&amp;TEXT('Getting Started'!C10+I157*7,"MMM D")),"")</f>
        <v/>
      </c>
    </row>
    <row r="158" ht="18" customHeight="1">
      <c r="A158" s="53" t="n">
        <v>4</v>
      </c>
      <c r="B158" s="18" t="n"/>
      <c r="F158" s="55" t="n"/>
      <c r="G158" s="17">
        <f>IFERROR(SUM(F155:F158),"")</f>
        <v/>
      </c>
      <c r="H158" s="17">
        <f>IFERROR(IF(F158="","",FLOOR(G157/((IFERROR(B152,0)+IFERROR(G152,0))/(IFERROR('Getting Started'!C15,0)+IFERROR('Getting Started'!C23,0))),1)+1),"")</f>
        <v/>
      </c>
      <c r="I158" s="17">
        <f>IFERROR(IF(F158="","",CEILING(G158/((IFERROR(B152,0)+IFERROR(G152,0))/(IFERROR('Getting Started'!C15,0)+IFERROR('Getting Started'!C23,0))),1)),"")</f>
        <v/>
      </c>
      <c r="J158" s="54">
        <f>IFERROR(IF(F158="","",TEXT('Getting Started'!C10+(H158-1)*7,"MMM D")&amp;" – "&amp;TEXT('Getting Started'!C10+I158*7,"MMM D")),"")</f>
        <v/>
      </c>
    </row>
    <row r="159" ht="18" customHeight="1">
      <c r="A159" s="53" t="n">
        <v>5</v>
      </c>
      <c r="B159" s="5" t="n"/>
      <c r="F159" s="32" t="n"/>
      <c r="G159" s="17">
        <f>IFERROR(SUM(F155:F159),"")</f>
        <v/>
      </c>
      <c r="H159" s="17">
        <f>IFERROR(IF(F159="","",FLOOR(G158/((IFERROR(B152,0)+IFERROR(G152,0))/(IFERROR('Getting Started'!C15,0)+IFERROR('Getting Started'!C23,0))),1)+1),"")</f>
        <v/>
      </c>
      <c r="I159" s="17">
        <f>IFERROR(IF(F159="","",CEILING(G159/((IFERROR(B152,0)+IFERROR(G152,0))/(IFERROR('Getting Started'!C15,0)+IFERROR('Getting Started'!C23,0))),1)),"")</f>
        <v/>
      </c>
      <c r="J159" s="54">
        <f>IFERROR(IF(F159="","",TEXT('Getting Started'!C10+(H159-1)*7,"MMM D")&amp;" – "&amp;TEXT('Getting Started'!C10+I159*7,"MMM D")),"")</f>
        <v/>
      </c>
    </row>
    <row r="160" ht="18" customHeight="1">
      <c r="A160" s="53" t="n">
        <v>6</v>
      </c>
      <c r="B160" s="18" t="n"/>
      <c r="F160" s="55" t="n"/>
      <c r="G160" s="17">
        <f>IFERROR(SUM(F155:F160),"")</f>
        <v/>
      </c>
      <c r="H160" s="17">
        <f>IFERROR(IF(F160="","",FLOOR(G159/((IFERROR(B152,0)+IFERROR(G152,0))/(IFERROR('Getting Started'!C15,0)+IFERROR('Getting Started'!C23,0))),1)+1),"")</f>
        <v/>
      </c>
      <c r="I160" s="17">
        <f>IFERROR(IF(F160="","",CEILING(G160/((IFERROR(B152,0)+IFERROR(G152,0))/(IFERROR('Getting Started'!C15,0)+IFERROR('Getting Started'!C23,0))),1)),"")</f>
        <v/>
      </c>
      <c r="J160" s="54">
        <f>IFERROR(IF(F160="","",TEXT('Getting Started'!C10+(H160-1)*7,"MMM D")&amp;" – "&amp;TEXT('Getting Started'!C10+I160*7,"MMM D")),"")</f>
        <v/>
      </c>
    </row>
    <row r="161" ht="20" customHeight="1">
      <c r="A161" s="56">
        <f>IFERROR(IF('Course Content'!I20="","",'Course Content'!I20),"")</f>
        <v/>
      </c>
    </row>
    <row r="162" ht="8" customHeight="1"/>
    <row r="163" ht="24" customHeight="1">
      <c r="A163" s="44">
        <f>IF('Course Content'!D21="","  ELECTIVE / OTHER 4","  "&amp;UPPER('Course Content'!D21))</f>
        <v/>
      </c>
      <c r="E163" s="45">
        <f>IFERROR(IF('Course Content'!E21="","← enter on Course Content tab",'Course Content'!E21),"")</f>
        <v/>
      </c>
    </row>
    <row r="164" ht="22" customHeight="1">
      <c r="B164" s="46">
        <f>'Course Content'!G21</f>
        <v/>
      </c>
      <c r="C164" s="47">
        <f>IFERROR(IF(B164="","",ROUND(B164/'Getting Started'!C15,1)),"")</f>
        <v/>
      </c>
      <c r="D164" s="47">
        <f>IFERROR(IF(C164="","",ROUND(C164/'Getting Started'!C7,1)),"")</f>
        <v/>
      </c>
      <c r="E164" s="48">
        <f>IFERROR(IF(B164="","",TEXT('Getting Started'!C10+(B164/D164),"MMM D, YYYY")),"")</f>
        <v/>
      </c>
      <c r="F164" s="39" t="n"/>
      <c r="G164" s="49">
        <f>'Course Content'!H21</f>
        <v/>
      </c>
      <c r="H164" s="50">
        <f>IFERROR(IF(G164="","",ROUND(G164/'Getting Started'!C23,1)),"")</f>
        <v/>
      </c>
      <c r="I164" s="50">
        <f>IFERROR(IF(H164="","",ROUND(H164/'Getting Started'!C7,1)),"")</f>
        <v/>
      </c>
      <c r="J164" s="51">
        <f>IFERROR(IF(G164="","",TEXT('Getting Started'!C18+(G164/I164),"MMM D, YYYY")),"")</f>
        <v/>
      </c>
    </row>
    <row r="165" ht="16" customHeight="1">
      <c r="A165" s="52" t="inlineStr">
        <is>
          <t xml:space="preserve">  Component Breakdown  (optional — use for multi-volume curricula)</t>
        </is>
      </c>
    </row>
    <row r="166" ht="22" customHeight="1">
      <c r="A166" s="28" t="inlineStr">
        <is>
          <t>#</t>
        </is>
      </c>
      <c r="B166" s="28" t="inlineStr">
        <is>
          <t>Book / Component Title</t>
        </is>
      </c>
      <c r="F166" s="28" t="inlineStr">
        <is>
          <t>Units</t>
        </is>
      </c>
      <c r="G166" s="28" t="inlineStr">
        <is>
          <t>Cumul.</t>
        </is>
      </c>
      <c r="H166" s="28" t="inlineStr">
        <is>
          <t>Start
Week</t>
        </is>
      </c>
      <c r="I166" s="28" t="inlineStr">
        <is>
          <t>End
Week</t>
        </is>
      </c>
      <c r="J166" s="28" t="inlineStr">
        <is>
          <t>Est. Dates</t>
        </is>
      </c>
    </row>
    <row r="167" ht="18" customHeight="1">
      <c r="A167" s="53" t="n">
        <v>1</v>
      </c>
      <c r="B167" s="5" t="n"/>
      <c r="F167" s="32" t="n"/>
      <c r="G167" s="17">
        <f>IFERROR(SUM(F167:F167),"")</f>
        <v/>
      </c>
      <c r="H167" s="17">
        <f>IF(F167="","",1)</f>
        <v/>
      </c>
      <c r="I167" s="17">
        <f>IFERROR(IF(F167="","",CEILING(G167/((IFERROR(B164,0)+IFERROR(G164,0))/(IFERROR('Getting Started'!C15,0)+IFERROR('Getting Started'!C23,0))),1)),"")</f>
        <v/>
      </c>
      <c r="J167" s="54">
        <f>IFERROR(IF(F167="","",TEXT('Getting Started'!C10+(H167-1)*7,"MMM D")&amp;" – "&amp;TEXT('Getting Started'!C10+I167*7,"MMM D")),"")</f>
        <v/>
      </c>
    </row>
    <row r="168" ht="18" customHeight="1">
      <c r="A168" s="53" t="n">
        <v>2</v>
      </c>
      <c r="B168" s="18" t="n"/>
      <c r="F168" s="55" t="n"/>
      <c r="G168" s="17">
        <f>IFERROR(SUM(F167:F168),"")</f>
        <v/>
      </c>
      <c r="H168" s="17">
        <f>IFERROR(IF(F168="","",FLOOR(G167/((IFERROR(B164,0)+IFERROR(G164,0))/(IFERROR('Getting Started'!C15,0)+IFERROR('Getting Started'!C23,0))),1)+1),"")</f>
        <v/>
      </c>
      <c r="I168" s="17">
        <f>IFERROR(IF(F168="","",CEILING(G168/((IFERROR(B164,0)+IFERROR(G164,0))/(IFERROR('Getting Started'!C15,0)+IFERROR('Getting Started'!C23,0))),1)),"")</f>
        <v/>
      </c>
      <c r="J168" s="54">
        <f>IFERROR(IF(F168="","",TEXT('Getting Started'!C10+(H168-1)*7,"MMM D")&amp;" – "&amp;TEXT('Getting Started'!C10+I168*7,"MMM D")),"")</f>
        <v/>
      </c>
    </row>
    <row r="169" ht="18" customHeight="1">
      <c r="A169" s="53" t="n">
        <v>3</v>
      </c>
      <c r="B169" s="5" t="n"/>
      <c r="F169" s="32" t="n"/>
      <c r="G169" s="17">
        <f>IFERROR(SUM(F167:F169),"")</f>
        <v/>
      </c>
      <c r="H169" s="17">
        <f>IFERROR(IF(F169="","",FLOOR(G168/((IFERROR(B164,0)+IFERROR(G164,0))/(IFERROR('Getting Started'!C15,0)+IFERROR('Getting Started'!C23,0))),1)+1),"")</f>
        <v/>
      </c>
      <c r="I169" s="17">
        <f>IFERROR(IF(F169="","",CEILING(G169/((IFERROR(B164,0)+IFERROR(G164,0))/(IFERROR('Getting Started'!C15,0)+IFERROR('Getting Started'!C23,0))),1)),"")</f>
        <v/>
      </c>
      <c r="J169" s="54">
        <f>IFERROR(IF(F169="","",TEXT('Getting Started'!C10+(H169-1)*7,"MMM D")&amp;" – "&amp;TEXT('Getting Started'!C10+I169*7,"MMM D")),"")</f>
        <v/>
      </c>
    </row>
    <row r="170" ht="18" customHeight="1">
      <c r="A170" s="53" t="n">
        <v>4</v>
      </c>
      <c r="B170" s="18" t="n"/>
      <c r="F170" s="55" t="n"/>
      <c r="G170" s="17">
        <f>IFERROR(SUM(F167:F170),"")</f>
        <v/>
      </c>
      <c r="H170" s="17">
        <f>IFERROR(IF(F170="","",FLOOR(G169/((IFERROR(B164,0)+IFERROR(G164,0))/(IFERROR('Getting Started'!C15,0)+IFERROR('Getting Started'!C23,0))),1)+1),"")</f>
        <v/>
      </c>
      <c r="I170" s="17">
        <f>IFERROR(IF(F170="","",CEILING(G170/((IFERROR(B164,0)+IFERROR(G164,0))/(IFERROR('Getting Started'!C15,0)+IFERROR('Getting Started'!C23,0))),1)),"")</f>
        <v/>
      </c>
      <c r="J170" s="54">
        <f>IFERROR(IF(F170="","",TEXT('Getting Started'!C10+(H170-1)*7,"MMM D")&amp;" – "&amp;TEXT('Getting Started'!C10+I170*7,"MMM D")),"")</f>
        <v/>
      </c>
    </row>
    <row r="171" ht="18" customHeight="1">
      <c r="A171" s="53" t="n">
        <v>5</v>
      </c>
      <c r="B171" s="5" t="n"/>
      <c r="F171" s="32" t="n"/>
      <c r="G171" s="17">
        <f>IFERROR(SUM(F167:F171),"")</f>
        <v/>
      </c>
      <c r="H171" s="17">
        <f>IFERROR(IF(F171="","",FLOOR(G170/((IFERROR(B164,0)+IFERROR(G164,0))/(IFERROR('Getting Started'!C15,0)+IFERROR('Getting Started'!C23,0))),1)+1),"")</f>
        <v/>
      </c>
      <c r="I171" s="17">
        <f>IFERROR(IF(F171="","",CEILING(G171/((IFERROR(B164,0)+IFERROR(G164,0))/(IFERROR('Getting Started'!C15,0)+IFERROR('Getting Started'!C23,0))),1)),"")</f>
        <v/>
      </c>
      <c r="J171" s="54">
        <f>IFERROR(IF(F171="","",TEXT('Getting Started'!C10+(H171-1)*7,"MMM D")&amp;" – "&amp;TEXT('Getting Started'!C10+I171*7,"MMM D")),"")</f>
        <v/>
      </c>
    </row>
    <row r="172" ht="18" customHeight="1">
      <c r="A172" s="53" t="n">
        <v>6</v>
      </c>
      <c r="B172" s="18" t="n"/>
      <c r="F172" s="55" t="n"/>
      <c r="G172" s="17">
        <f>IFERROR(SUM(F167:F172),"")</f>
        <v/>
      </c>
      <c r="H172" s="17">
        <f>IFERROR(IF(F172="","",FLOOR(G171/((IFERROR(B164,0)+IFERROR(G164,0))/(IFERROR('Getting Started'!C15,0)+IFERROR('Getting Started'!C23,0))),1)+1),"")</f>
        <v/>
      </c>
      <c r="I172" s="17">
        <f>IFERROR(IF(F172="","",CEILING(G172/((IFERROR(B164,0)+IFERROR(G164,0))/(IFERROR('Getting Started'!C15,0)+IFERROR('Getting Started'!C23,0))),1)),"")</f>
        <v/>
      </c>
      <c r="J172" s="54">
        <f>IFERROR(IF(F172="","",TEXT('Getting Started'!C10+(H172-1)*7,"MMM D")&amp;" – "&amp;TEXT('Getting Started'!C10+I172*7,"MMM D")),"")</f>
        <v/>
      </c>
    </row>
    <row r="173" ht="20" customHeight="1">
      <c r="A173" s="56">
        <f>IFERROR(IF('Course Content'!I21="","",'Course Content'!I21),"")</f>
        <v/>
      </c>
    </row>
    <row r="174" ht="8" customHeight="1"/>
  </sheetData>
  <mergeCells count="158">
    <mergeCell ref="B146:E146"/>
    <mergeCell ref="E19:J19"/>
    <mergeCell ref="B74:E74"/>
    <mergeCell ref="G4:J4"/>
    <mergeCell ref="A165:J165"/>
    <mergeCell ref="B123:E123"/>
    <mergeCell ref="B36:E36"/>
    <mergeCell ref="B76:E76"/>
    <mergeCell ref="B110:E110"/>
    <mergeCell ref="A93:J93"/>
    <mergeCell ref="A31:D31"/>
    <mergeCell ref="A173:J173"/>
    <mergeCell ref="B100:E100"/>
    <mergeCell ref="A77:J77"/>
    <mergeCell ref="B109:E109"/>
    <mergeCell ref="B47:E47"/>
    <mergeCell ref="B22:E22"/>
    <mergeCell ref="B155:E155"/>
    <mergeCell ref="B12:E12"/>
    <mergeCell ref="B86:E86"/>
    <mergeCell ref="A69:J69"/>
    <mergeCell ref="A7:D7"/>
    <mergeCell ref="B39:E39"/>
    <mergeCell ref="E139:J139"/>
    <mergeCell ref="B14:E14"/>
    <mergeCell ref="B136:E136"/>
    <mergeCell ref="B23:E23"/>
    <mergeCell ref="B13:E13"/>
    <mergeCell ref="A163:D163"/>
    <mergeCell ref="B38:E38"/>
    <mergeCell ref="B112:E112"/>
    <mergeCell ref="E79:J79"/>
    <mergeCell ref="B87:E87"/>
    <mergeCell ref="B40:E40"/>
    <mergeCell ref="B49:E49"/>
    <mergeCell ref="B64:E64"/>
    <mergeCell ref="A29:J29"/>
    <mergeCell ref="A81:J81"/>
    <mergeCell ref="A19:D19"/>
    <mergeCell ref="B51:E51"/>
    <mergeCell ref="A161:J161"/>
    <mergeCell ref="B63:E63"/>
    <mergeCell ref="B26:E26"/>
    <mergeCell ref="B154:E154"/>
    <mergeCell ref="B35:E35"/>
    <mergeCell ref="B50:E50"/>
    <mergeCell ref="B106:E106"/>
    <mergeCell ref="A127:D127"/>
    <mergeCell ref="E163:J163"/>
    <mergeCell ref="B16:E16"/>
    <mergeCell ref="B25:E25"/>
    <mergeCell ref="B156:E156"/>
    <mergeCell ref="E91:J91"/>
    <mergeCell ref="B131:E131"/>
    <mergeCell ref="B27:E27"/>
    <mergeCell ref="A79:D79"/>
    <mergeCell ref="E115:J115"/>
    <mergeCell ref="B130:E130"/>
    <mergeCell ref="B11:E11"/>
    <mergeCell ref="B61:E61"/>
    <mergeCell ref="A4:E4"/>
    <mergeCell ref="B132:E132"/>
    <mergeCell ref="B166:E166"/>
    <mergeCell ref="A149:J149"/>
    <mergeCell ref="B119:E119"/>
    <mergeCell ref="E127:J127"/>
    <mergeCell ref="A139:D139"/>
    <mergeCell ref="B37:E37"/>
    <mergeCell ref="A2:J2"/>
    <mergeCell ref="B168:E168"/>
    <mergeCell ref="B84:E84"/>
    <mergeCell ref="B118:E118"/>
    <mergeCell ref="A141:J141"/>
    <mergeCell ref="A91:D91"/>
    <mergeCell ref="B158:E158"/>
    <mergeCell ref="B15:E15"/>
    <mergeCell ref="B142:E142"/>
    <mergeCell ref="B24:E24"/>
    <mergeCell ref="A125:J125"/>
    <mergeCell ref="B95:E95"/>
    <mergeCell ref="A115:D115"/>
    <mergeCell ref="B160:E160"/>
    <mergeCell ref="B169:E169"/>
    <mergeCell ref="B144:E144"/>
    <mergeCell ref="B97:E97"/>
    <mergeCell ref="B72:E72"/>
    <mergeCell ref="B134:E134"/>
    <mergeCell ref="B121:E121"/>
    <mergeCell ref="A103:D103"/>
    <mergeCell ref="B122:E122"/>
    <mergeCell ref="B71:E71"/>
    <mergeCell ref="B58:E58"/>
    <mergeCell ref="B52:E52"/>
    <mergeCell ref="A153:J153"/>
    <mergeCell ref="B120:E120"/>
    <mergeCell ref="A137:J137"/>
    <mergeCell ref="B107:E107"/>
    <mergeCell ref="A41:J41"/>
    <mergeCell ref="B60:E60"/>
    <mergeCell ref="E151:J151"/>
    <mergeCell ref="B170:E170"/>
    <mergeCell ref="E55:J55"/>
    <mergeCell ref="B148:E148"/>
    <mergeCell ref="B157:E157"/>
    <mergeCell ref="E67:J67"/>
    <mergeCell ref="B171:E171"/>
    <mergeCell ref="A101:J101"/>
    <mergeCell ref="B34:E34"/>
    <mergeCell ref="B172:E172"/>
    <mergeCell ref="B28:E28"/>
    <mergeCell ref="B99:E99"/>
    <mergeCell ref="A33:J33"/>
    <mergeCell ref="B108:E108"/>
    <mergeCell ref="E103:J103"/>
    <mergeCell ref="B83:E83"/>
    <mergeCell ref="A17:J17"/>
    <mergeCell ref="B143:E143"/>
    <mergeCell ref="A53:J53"/>
    <mergeCell ref="E31:J31"/>
    <mergeCell ref="B124:E124"/>
    <mergeCell ref="A43:D43"/>
    <mergeCell ref="B133:E133"/>
    <mergeCell ref="B85:E85"/>
    <mergeCell ref="B94:E94"/>
    <mergeCell ref="A117:J117"/>
    <mergeCell ref="A67:D67"/>
    <mergeCell ref="B75:E75"/>
    <mergeCell ref="A9:J9"/>
    <mergeCell ref="B135:E135"/>
    <mergeCell ref="B62:E62"/>
    <mergeCell ref="B59:E59"/>
    <mergeCell ref="B46:E46"/>
    <mergeCell ref="B159:E159"/>
    <mergeCell ref="E7:J7"/>
    <mergeCell ref="A1:J1"/>
    <mergeCell ref="A45:J45"/>
    <mergeCell ref="B96:E96"/>
    <mergeCell ref="B167:E167"/>
    <mergeCell ref="B70:E70"/>
    <mergeCell ref="B48:E48"/>
    <mergeCell ref="A65:J65"/>
    <mergeCell ref="E43:J43"/>
    <mergeCell ref="B111:E111"/>
    <mergeCell ref="B145:E145"/>
    <mergeCell ref="B98:E98"/>
    <mergeCell ref="A89:J89"/>
    <mergeCell ref="B73:E73"/>
    <mergeCell ref="B88:E88"/>
    <mergeCell ref="B82:E82"/>
    <mergeCell ref="A21:J21"/>
    <mergeCell ref="A55:D55"/>
    <mergeCell ref="A105:J105"/>
    <mergeCell ref="B147:E147"/>
    <mergeCell ref="A57:J57"/>
    <mergeCell ref="A113:J113"/>
    <mergeCell ref="A151:D151"/>
    <mergeCell ref="B10:E10"/>
    <mergeCell ref="A129:J129"/>
  </mergeCells>
  <pageMargins left="0.75" right="0.75" top="1" bottom="1" header="0.5" footer="0.5"/>
</worksheet>
</file>

<file path=xl/worksheets/sheet4.xml><?xml version="1.0" encoding="utf-8"?>
<worksheet xmlns="http://schemas.openxmlformats.org/spreadsheetml/2006/main">
  <sheetPr>
    <tabColor rgb="00A87C6B"/>
    <outlinePr summaryBelow="1" summaryRight="1"/>
    <pageSetUpPr/>
  </sheetPr>
  <dimension ref="A1:J173"/>
  <sheetViews>
    <sheetView workbookViewId="0">
      <pane ySplit="6" topLeftCell="A7"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8" customWidth="1" min="5" max="5"/>
    <col width="4" customWidth="1" min="6" max="6"/>
    <col width="14" customWidth="1" min="7" max="7"/>
    <col width="14" customWidth="1" min="8" max="8"/>
    <col width="14" customWidth="1" min="9" max="9"/>
    <col width="18" customWidth="1" min="10" max="10"/>
  </cols>
  <sheetData>
    <row r="1" ht="40" customHeight="1">
      <c r="A1" s="1">
        <f>IF('Getting Started'!B30="","Student 2",'Getting Started'!B30)</f>
        <v/>
      </c>
    </row>
    <row r="2" ht="22" customHeight="1">
      <c r="A2" s="37">
        <f>IFERROR("Grade: "&amp;'Getting Started'!F30&amp;"   ·   School Year: "&amp;'Getting Started'!C6,"")</f>
        <v/>
      </c>
    </row>
    <row r="3" ht="8" customHeight="1"/>
    <row r="4" ht="22" customHeight="1">
      <c r="A4" s="38">
        <f>IFERROR("SEMESTER 1   "&amp;TEXT('Getting Started'!C10,"MMM D")&amp;" – "&amp;TEXT('Getting Started'!C11,"MMM D, YYYY")&amp;"   ("&amp;'Getting Started'!C15&amp;" wks)","SEMESTER 1")</f>
        <v/>
      </c>
      <c r="F4" s="39" t="n"/>
      <c r="G4" s="40">
        <f>IFERROR("SEMESTER 2   "&amp;TEXT('Getting Started'!C18,"MMM D")&amp;" – "&amp;TEXT('Getting Started'!C19,"MMM D, YYYY")&amp;"   ("&amp;'Getting Started'!C23&amp;" wks)","SEMESTER 2")</f>
        <v/>
      </c>
    </row>
    <row r="5" ht="24" customHeight="1">
      <c r="A5" s="28" t="inlineStr">
        <is>
          <t>Subject  /  Curriculum</t>
        </is>
      </c>
      <c r="B5" s="41" t="inlineStr">
        <is>
          <t>Sem 1
Units</t>
        </is>
      </c>
      <c r="C5" s="41" t="inlineStr">
        <is>
          <t>/ Week</t>
        </is>
      </c>
      <c r="D5" s="41" t="inlineStr">
        <is>
          <t>/ Day</t>
        </is>
      </c>
      <c r="E5" s="41" t="inlineStr">
        <is>
          <t>Est. End</t>
        </is>
      </c>
      <c r="F5" s="42" t="inlineStr"/>
      <c r="G5" s="43" t="inlineStr">
        <is>
          <t>Sem 2
Units</t>
        </is>
      </c>
      <c r="H5" s="43" t="inlineStr">
        <is>
          <t>/ Week</t>
        </is>
      </c>
      <c r="I5" s="43" t="inlineStr">
        <is>
          <t>/ Day</t>
        </is>
      </c>
      <c r="J5" s="43" t="inlineStr">
        <is>
          <t>Est. End</t>
        </is>
      </c>
    </row>
    <row r="6" ht="8" customHeight="1"/>
    <row r="7" ht="24" customHeight="1">
      <c r="A7" s="44" t="inlineStr">
        <is>
          <t xml:space="preserve">  BIBLE</t>
        </is>
      </c>
      <c r="E7" s="45">
        <f>IFERROR(IF('Course Content'!E22="","← enter on Course Content tab",'Course Content'!E22),"")</f>
        <v/>
      </c>
    </row>
    <row r="8" ht="22" customHeight="1">
      <c r="B8" s="46">
        <f>'Course Content'!G22</f>
        <v/>
      </c>
      <c r="C8" s="47">
        <f>IFERROR(IF(B8="","",ROUND(B8/'Getting Started'!C15,1)),"")</f>
        <v/>
      </c>
      <c r="D8" s="47">
        <f>IFERROR(IF(C8="","",ROUND(C8/'Getting Started'!C7,1)),"")</f>
        <v/>
      </c>
      <c r="E8" s="48">
        <f>IFERROR(IF(B8="","",TEXT('Getting Started'!C10+(B8/D8),"MMM D, YYYY")),"")</f>
        <v/>
      </c>
      <c r="F8" s="39" t="n"/>
      <c r="G8" s="49">
        <f>'Course Content'!H22</f>
        <v/>
      </c>
      <c r="H8" s="50">
        <f>IFERROR(IF(G8="","",ROUND(G8/'Getting Started'!C23,1)),"")</f>
        <v/>
      </c>
      <c r="I8" s="50">
        <f>IFERROR(IF(H8="","",ROUND(H8/'Getting Started'!C7,1)),"")</f>
        <v/>
      </c>
      <c r="J8" s="51">
        <f>IFERROR(IF(G8="","",TEXT('Getting Started'!C18+(G8/I8),"MMM D, YYYY")),"")</f>
        <v/>
      </c>
    </row>
    <row r="9" ht="16" customHeight="1">
      <c r="A9" s="52" t="inlineStr">
        <is>
          <t xml:space="preserve">  Component Breakdown  (optional — use for multi-volume curricula)</t>
        </is>
      </c>
    </row>
    <row r="10" ht="22" customHeight="1">
      <c r="A10" s="28" t="inlineStr">
        <is>
          <t>#</t>
        </is>
      </c>
      <c r="B10" s="28" t="inlineStr">
        <is>
          <t>Book / Component Title</t>
        </is>
      </c>
      <c r="F10" s="28" t="inlineStr">
        <is>
          <t>Units</t>
        </is>
      </c>
      <c r="G10" s="28" t="inlineStr">
        <is>
          <t>Cumul.</t>
        </is>
      </c>
      <c r="H10" s="28" t="inlineStr">
        <is>
          <t>Start
Week</t>
        </is>
      </c>
      <c r="I10" s="28" t="inlineStr">
        <is>
          <t>End
Week</t>
        </is>
      </c>
      <c r="J10" s="28" t="inlineStr">
        <is>
          <t>Est. Dates</t>
        </is>
      </c>
    </row>
    <row r="11" ht="18" customHeight="1">
      <c r="A11" s="53" t="n">
        <v>1</v>
      </c>
      <c r="B11" s="5" t="n"/>
      <c r="F11" s="32" t="n"/>
      <c r="G11" s="17">
        <f>IFERROR(SUM(F11:F11),"")</f>
        <v/>
      </c>
      <c r="H11" s="17">
        <f>IF(F11="","",1)</f>
        <v/>
      </c>
      <c r="I11" s="17">
        <f>IFERROR(IF(F11="","",CEILING(G11/((IFERROR(B8,0)+IFERROR(G8,0))/(IFERROR('Getting Started'!C15,0)+IFERROR('Getting Started'!C23,0))),1)),"")</f>
        <v/>
      </c>
      <c r="J11" s="54">
        <f>IFERROR(IF(F11="","",TEXT('Getting Started'!C10+(H11-1)*7,"MMM D")&amp;" – "&amp;TEXT('Getting Started'!C10+I11*7,"MMM D")),"")</f>
        <v/>
      </c>
    </row>
    <row r="12" ht="18" customHeight="1">
      <c r="A12" s="53" t="n">
        <v>2</v>
      </c>
      <c r="B12" s="18" t="n"/>
      <c r="F12" s="55" t="n"/>
      <c r="G12" s="17">
        <f>IFERROR(SUM(F11:F12),"")</f>
        <v/>
      </c>
      <c r="H12" s="17">
        <f>IFERROR(IF(F12="","",FLOOR(G11/((IFERROR(B8,0)+IFERROR(G8,0))/(IFERROR('Getting Started'!C15,0)+IFERROR('Getting Started'!C23,0))),1)+1),"")</f>
        <v/>
      </c>
      <c r="I12" s="17">
        <f>IFERROR(IF(F12="","",CEILING(G12/((IFERROR(B8,0)+IFERROR(G8,0))/(IFERROR('Getting Started'!C15,0)+IFERROR('Getting Started'!C23,0))),1)),"")</f>
        <v/>
      </c>
      <c r="J12" s="54">
        <f>IFERROR(IF(F12="","",TEXT('Getting Started'!C10+(H12-1)*7,"MMM D")&amp;" – "&amp;TEXT('Getting Started'!C10+I12*7,"MMM D")),"")</f>
        <v/>
      </c>
    </row>
    <row r="13" ht="18" customHeight="1">
      <c r="A13" s="53" t="n">
        <v>3</v>
      </c>
      <c r="B13" s="5" t="n"/>
      <c r="F13" s="32" t="n"/>
      <c r="G13" s="17">
        <f>IFERROR(SUM(F11:F13),"")</f>
        <v/>
      </c>
      <c r="H13" s="17">
        <f>IFERROR(IF(F13="","",FLOOR(G12/((IFERROR(B8,0)+IFERROR(G8,0))/(IFERROR('Getting Started'!C15,0)+IFERROR('Getting Started'!C23,0))),1)+1),"")</f>
        <v/>
      </c>
      <c r="I13" s="17">
        <f>IFERROR(IF(F13="","",CEILING(G13/((IFERROR(B8,0)+IFERROR(G8,0))/(IFERROR('Getting Started'!C15,0)+IFERROR('Getting Started'!C23,0))),1)),"")</f>
        <v/>
      </c>
      <c r="J13" s="54">
        <f>IFERROR(IF(F13="","",TEXT('Getting Started'!C10+(H13-1)*7,"MMM D")&amp;" – "&amp;TEXT('Getting Started'!C10+I13*7,"MMM D")),"")</f>
        <v/>
      </c>
    </row>
    <row r="14" ht="18" customHeight="1">
      <c r="A14" s="53" t="n">
        <v>4</v>
      </c>
      <c r="B14" s="18" t="n"/>
      <c r="F14" s="55" t="n"/>
      <c r="G14" s="17">
        <f>IFERROR(SUM(F11:F14),"")</f>
        <v/>
      </c>
      <c r="H14" s="17">
        <f>IFERROR(IF(F14="","",FLOOR(G13/((IFERROR(B8,0)+IFERROR(G8,0))/(IFERROR('Getting Started'!C15,0)+IFERROR('Getting Started'!C23,0))),1)+1),"")</f>
        <v/>
      </c>
      <c r="I14" s="17">
        <f>IFERROR(IF(F14="","",CEILING(G14/((IFERROR(B8,0)+IFERROR(G8,0))/(IFERROR('Getting Started'!C15,0)+IFERROR('Getting Started'!C23,0))),1)),"")</f>
        <v/>
      </c>
      <c r="J14" s="54">
        <f>IFERROR(IF(F14="","",TEXT('Getting Started'!C10+(H14-1)*7,"MMM D")&amp;" – "&amp;TEXT('Getting Started'!C10+I14*7,"MMM D")),"")</f>
        <v/>
      </c>
    </row>
    <row r="15" ht="18" customHeight="1">
      <c r="A15" s="53" t="n">
        <v>5</v>
      </c>
      <c r="B15" s="5" t="n"/>
      <c r="F15" s="32" t="n"/>
      <c r="G15" s="17">
        <f>IFERROR(SUM(F11:F15),"")</f>
        <v/>
      </c>
      <c r="H15" s="17">
        <f>IFERROR(IF(F15="","",FLOOR(G14/((IFERROR(B8,0)+IFERROR(G8,0))/(IFERROR('Getting Started'!C15,0)+IFERROR('Getting Started'!C23,0))),1)+1),"")</f>
        <v/>
      </c>
      <c r="I15" s="17">
        <f>IFERROR(IF(F15="","",CEILING(G15/((IFERROR(B8,0)+IFERROR(G8,0))/(IFERROR('Getting Started'!C15,0)+IFERROR('Getting Started'!C23,0))),1)),"")</f>
        <v/>
      </c>
      <c r="J15" s="54">
        <f>IFERROR(IF(F15="","",TEXT('Getting Started'!C10+(H15-1)*7,"MMM D")&amp;" – "&amp;TEXT('Getting Started'!C10+I15*7,"MMM D")),"")</f>
        <v/>
      </c>
    </row>
    <row r="16" ht="18" customHeight="1">
      <c r="A16" s="53" t="n">
        <v>6</v>
      </c>
      <c r="B16" s="18" t="n"/>
      <c r="F16" s="55" t="n"/>
      <c r="G16" s="17">
        <f>IFERROR(SUM(F11:F16),"")</f>
        <v/>
      </c>
      <c r="H16" s="17">
        <f>IFERROR(IF(F16="","",FLOOR(G15/((IFERROR(B8,0)+IFERROR(G8,0))/(IFERROR('Getting Started'!C15,0)+IFERROR('Getting Started'!C23,0))),1)+1),"")</f>
        <v/>
      </c>
      <c r="I16" s="17">
        <f>IFERROR(IF(F16="","",CEILING(G16/((IFERROR(B8,0)+IFERROR(G8,0))/(IFERROR('Getting Started'!C15,0)+IFERROR('Getting Started'!C23,0))),1)),"")</f>
        <v/>
      </c>
      <c r="J16" s="54">
        <f>IFERROR(IF(F16="","",TEXT('Getting Started'!C10+(H16-1)*7,"MMM D")&amp;" – "&amp;TEXT('Getting Started'!C10+I16*7,"MMM D")),"")</f>
        <v/>
      </c>
    </row>
    <row r="17" ht="20" customHeight="1">
      <c r="A17" s="56">
        <f>IFERROR(IF('Course Content'!I22="","",'Course Content'!I22),"")</f>
        <v/>
      </c>
    </row>
    <row r="18" ht="8" customHeight="1"/>
    <row r="19" ht="24" customHeight="1">
      <c r="A19" s="44" t="inlineStr">
        <is>
          <t xml:space="preserve">  MATH</t>
        </is>
      </c>
      <c r="E19" s="45">
        <f>IFERROR(IF('Course Content'!E23="","← enter on Course Content tab",'Course Content'!E23),"")</f>
        <v/>
      </c>
    </row>
    <row r="20" ht="22" customHeight="1">
      <c r="B20" s="46">
        <f>'Course Content'!G23</f>
        <v/>
      </c>
      <c r="C20" s="47">
        <f>IFERROR(IF(B20="","",ROUND(B20/'Getting Started'!C15,1)),"")</f>
        <v/>
      </c>
      <c r="D20" s="47">
        <f>IFERROR(IF(C20="","",ROUND(C20/'Getting Started'!C7,1)),"")</f>
        <v/>
      </c>
      <c r="E20" s="48">
        <f>IFERROR(IF(B20="","",TEXT('Getting Started'!C10+(B20/D20),"MMM D, YYYY")),"")</f>
        <v/>
      </c>
      <c r="F20" s="39" t="n"/>
      <c r="G20" s="49">
        <f>'Course Content'!H23</f>
        <v/>
      </c>
      <c r="H20" s="50">
        <f>IFERROR(IF(G20="","",ROUND(G20/'Getting Started'!C23,1)),"")</f>
        <v/>
      </c>
      <c r="I20" s="50">
        <f>IFERROR(IF(H20="","",ROUND(H20/'Getting Started'!C7,1)),"")</f>
        <v/>
      </c>
      <c r="J20" s="51">
        <f>IFERROR(IF(G20="","",TEXT('Getting Started'!C18+(G20/I20),"MMM D, YYYY")),"")</f>
        <v/>
      </c>
    </row>
    <row r="21" ht="16" customHeight="1">
      <c r="A21" s="52" t="inlineStr">
        <is>
          <t xml:space="preserve">  Component Breakdown  (optional — use for multi-volume curricula)</t>
        </is>
      </c>
    </row>
    <row r="22" ht="22" customHeight="1">
      <c r="A22" s="28" t="inlineStr">
        <is>
          <t>#</t>
        </is>
      </c>
      <c r="B22" s="28" t="inlineStr">
        <is>
          <t>Book / Component Title</t>
        </is>
      </c>
      <c r="F22" s="28" t="inlineStr">
        <is>
          <t>Units</t>
        </is>
      </c>
      <c r="G22" s="28" t="inlineStr">
        <is>
          <t>Cumul.</t>
        </is>
      </c>
      <c r="H22" s="28" t="inlineStr">
        <is>
          <t>Start
Week</t>
        </is>
      </c>
      <c r="I22" s="28" t="inlineStr">
        <is>
          <t>End
Week</t>
        </is>
      </c>
      <c r="J22" s="28" t="inlineStr">
        <is>
          <t>Est. Dates</t>
        </is>
      </c>
    </row>
    <row r="23" ht="18" customHeight="1">
      <c r="A23" s="53" t="n">
        <v>1</v>
      </c>
      <c r="B23" s="5" t="n"/>
      <c r="F23" s="32" t="n"/>
      <c r="G23" s="17">
        <f>IFERROR(SUM(F23:F23),"")</f>
        <v/>
      </c>
      <c r="H23" s="17">
        <f>IF(F23="","",1)</f>
        <v/>
      </c>
      <c r="I23" s="17">
        <f>IFERROR(IF(F23="","",CEILING(G23/((IFERROR(B20,0)+IFERROR(G20,0))/(IFERROR('Getting Started'!C15,0)+IFERROR('Getting Started'!C23,0))),1)),"")</f>
        <v/>
      </c>
      <c r="J23" s="54">
        <f>IFERROR(IF(F23="","",TEXT('Getting Started'!C10+(H23-1)*7,"MMM D")&amp;" – "&amp;TEXT('Getting Started'!C10+I23*7,"MMM D")),"")</f>
        <v/>
      </c>
    </row>
    <row r="24" ht="18" customHeight="1">
      <c r="A24" s="53" t="n">
        <v>2</v>
      </c>
      <c r="B24" s="18" t="n"/>
      <c r="F24" s="55" t="n"/>
      <c r="G24" s="17">
        <f>IFERROR(SUM(F23:F24),"")</f>
        <v/>
      </c>
      <c r="H24" s="17">
        <f>IFERROR(IF(F24="","",FLOOR(G23/((IFERROR(B20,0)+IFERROR(G20,0))/(IFERROR('Getting Started'!C15,0)+IFERROR('Getting Started'!C23,0))),1)+1),"")</f>
        <v/>
      </c>
      <c r="I24" s="17">
        <f>IFERROR(IF(F24="","",CEILING(G24/((IFERROR(B20,0)+IFERROR(G20,0))/(IFERROR('Getting Started'!C15,0)+IFERROR('Getting Started'!C23,0))),1)),"")</f>
        <v/>
      </c>
      <c r="J24" s="54">
        <f>IFERROR(IF(F24="","",TEXT('Getting Started'!C10+(H24-1)*7,"MMM D")&amp;" – "&amp;TEXT('Getting Started'!C10+I24*7,"MMM D")),"")</f>
        <v/>
      </c>
    </row>
    <row r="25" ht="18" customHeight="1">
      <c r="A25" s="53" t="n">
        <v>3</v>
      </c>
      <c r="B25" s="5" t="n"/>
      <c r="F25" s="32" t="n"/>
      <c r="G25" s="17">
        <f>IFERROR(SUM(F23:F25),"")</f>
        <v/>
      </c>
      <c r="H25" s="17">
        <f>IFERROR(IF(F25="","",FLOOR(G24/((IFERROR(B20,0)+IFERROR(G20,0))/(IFERROR('Getting Started'!C15,0)+IFERROR('Getting Started'!C23,0))),1)+1),"")</f>
        <v/>
      </c>
      <c r="I25" s="17">
        <f>IFERROR(IF(F25="","",CEILING(G25/((IFERROR(B20,0)+IFERROR(G20,0))/(IFERROR('Getting Started'!C15,0)+IFERROR('Getting Started'!C23,0))),1)),"")</f>
        <v/>
      </c>
      <c r="J25" s="54">
        <f>IFERROR(IF(F25="","",TEXT('Getting Started'!C10+(H25-1)*7,"MMM D")&amp;" – "&amp;TEXT('Getting Started'!C10+I25*7,"MMM D")),"")</f>
        <v/>
      </c>
    </row>
    <row r="26" ht="18" customHeight="1">
      <c r="A26" s="53" t="n">
        <v>4</v>
      </c>
      <c r="B26" s="18" t="n"/>
      <c r="F26" s="55" t="n"/>
      <c r="G26" s="17">
        <f>IFERROR(SUM(F23:F26),"")</f>
        <v/>
      </c>
      <c r="H26" s="17">
        <f>IFERROR(IF(F26="","",FLOOR(G25/((IFERROR(B20,0)+IFERROR(G20,0))/(IFERROR('Getting Started'!C15,0)+IFERROR('Getting Started'!C23,0))),1)+1),"")</f>
        <v/>
      </c>
      <c r="I26" s="17">
        <f>IFERROR(IF(F26="","",CEILING(G26/((IFERROR(B20,0)+IFERROR(G20,0))/(IFERROR('Getting Started'!C15,0)+IFERROR('Getting Started'!C23,0))),1)),"")</f>
        <v/>
      </c>
      <c r="J26" s="54">
        <f>IFERROR(IF(F26="","",TEXT('Getting Started'!C10+(H26-1)*7,"MMM D")&amp;" – "&amp;TEXT('Getting Started'!C10+I26*7,"MMM D")),"")</f>
        <v/>
      </c>
    </row>
    <row r="27" ht="18" customHeight="1">
      <c r="A27" s="53" t="n">
        <v>5</v>
      </c>
      <c r="B27" s="5" t="n"/>
      <c r="F27" s="32" t="n"/>
      <c r="G27" s="17">
        <f>IFERROR(SUM(F23:F27),"")</f>
        <v/>
      </c>
      <c r="H27" s="17">
        <f>IFERROR(IF(F27="","",FLOOR(G26/((IFERROR(B20,0)+IFERROR(G20,0))/(IFERROR('Getting Started'!C15,0)+IFERROR('Getting Started'!C23,0))),1)+1),"")</f>
        <v/>
      </c>
      <c r="I27" s="17">
        <f>IFERROR(IF(F27="","",CEILING(G27/((IFERROR(B20,0)+IFERROR(G20,0))/(IFERROR('Getting Started'!C15,0)+IFERROR('Getting Started'!C23,0))),1)),"")</f>
        <v/>
      </c>
      <c r="J27" s="54">
        <f>IFERROR(IF(F27="","",TEXT('Getting Started'!C10+(H27-1)*7,"MMM D")&amp;" – "&amp;TEXT('Getting Started'!C10+I27*7,"MMM D")),"")</f>
        <v/>
      </c>
    </row>
    <row r="28" ht="18" customHeight="1">
      <c r="A28" s="53" t="n">
        <v>6</v>
      </c>
      <c r="B28" s="18" t="n"/>
      <c r="F28" s="55" t="n"/>
      <c r="G28" s="17">
        <f>IFERROR(SUM(F23:F28),"")</f>
        <v/>
      </c>
      <c r="H28" s="17">
        <f>IFERROR(IF(F28="","",FLOOR(G27/((IFERROR(B20,0)+IFERROR(G20,0))/(IFERROR('Getting Started'!C15,0)+IFERROR('Getting Started'!C23,0))),1)+1),"")</f>
        <v/>
      </c>
      <c r="I28" s="17">
        <f>IFERROR(IF(F28="","",CEILING(G28/((IFERROR(B20,0)+IFERROR(G20,0))/(IFERROR('Getting Started'!C15,0)+IFERROR('Getting Started'!C23,0))),1)),"")</f>
        <v/>
      </c>
      <c r="J28" s="54">
        <f>IFERROR(IF(F28="","",TEXT('Getting Started'!C10+(H28-1)*7,"MMM D")&amp;" – "&amp;TEXT('Getting Started'!C10+I28*7,"MMM D")),"")</f>
        <v/>
      </c>
    </row>
    <row r="29" ht="20" customHeight="1">
      <c r="A29" s="56">
        <f>IFERROR(IF('Course Content'!I23="","",'Course Content'!I23),"")</f>
        <v/>
      </c>
    </row>
    <row r="30" ht="8" customHeight="1"/>
    <row r="31" ht="24" customHeight="1">
      <c r="A31" s="44" t="inlineStr">
        <is>
          <t xml:space="preserve">  ENGLISH / LANGUAGE ARTS</t>
        </is>
      </c>
      <c r="E31" s="45">
        <f>IFERROR(IF('Course Content'!E24="","← enter on Course Content tab",'Course Content'!E24),"")</f>
        <v/>
      </c>
    </row>
    <row r="32" ht="22" customHeight="1">
      <c r="B32" s="46">
        <f>'Course Content'!G24</f>
        <v/>
      </c>
      <c r="C32" s="47">
        <f>IFERROR(IF(B32="","",ROUND(B32/'Getting Started'!C15,1)),"")</f>
        <v/>
      </c>
      <c r="D32" s="47">
        <f>IFERROR(IF(C32="","",ROUND(C32/'Getting Started'!C7,1)),"")</f>
        <v/>
      </c>
      <c r="E32" s="48">
        <f>IFERROR(IF(B32="","",TEXT('Getting Started'!C10+(B32/D32),"MMM D, YYYY")),"")</f>
        <v/>
      </c>
      <c r="F32" s="39" t="n"/>
      <c r="G32" s="49">
        <f>'Course Content'!H24</f>
        <v/>
      </c>
      <c r="H32" s="50">
        <f>IFERROR(IF(G32="","",ROUND(G32/'Getting Started'!C23,1)),"")</f>
        <v/>
      </c>
      <c r="I32" s="50">
        <f>IFERROR(IF(H32="","",ROUND(H32/'Getting Started'!C7,1)),"")</f>
        <v/>
      </c>
      <c r="J32" s="51">
        <f>IFERROR(IF(G32="","",TEXT('Getting Started'!C18+(G32/I32),"MMM D, YYYY")),"")</f>
        <v/>
      </c>
    </row>
    <row r="33" ht="16" customHeight="1">
      <c r="A33" s="52" t="inlineStr">
        <is>
          <t xml:space="preserve">  Component Breakdown  (optional — use for multi-volume curricula)</t>
        </is>
      </c>
    </row>
    <row r="34" ht="22" customHeight="1">
      <c r="A34" s="28" t="inlineStr">
        <is>
          <t>#</t>
        </is>
      </c>
      <c r="B34" s="28" t="inlineStr">
        <is>
          <t>Book / Component Title</t>
        </is>
      </c>
      <c r="F34" s="28" t="inlineStr">
        <is>
          <t>Units</t>
        </is>
      </c>
      <c r="G34" s="28" t="inlineStr">
        <is>
          <t>Cumul.</t>
        </is>
      </c>
      <c r="H34" s="28" t="inlineStr">
        <is>
          <t>Start
Week</t>
        </is>
      </c>
      <c r="I34" s="28" t="inlineStr">
        <is>
          <t>End
Week</t>
        </is>
      </c>
      <c r="J34" s="28" t="inlineStr">
        <is>
          <t>Est. Dates</t>
        </is>
      </c>
    </row>
    <row r="35" ht="18" customHeight="1">
      <c r="A35" s="53" t="n">
        <v>1</v>
      </c>
      <c r="B35" s="5" t="n"/>
      <c r="F35" s="32" t="n"/>
      <c r="G35" s="17">
        <f>IFERROR(SUM(F35:F35),"")</f>
        <v/>
      </c>
      <c r="H35" s="17">
        <f>IF(F35="","",1)</f>
        <v/>
      </c>
      <c r="I35" s="17">
        <f>IFERROR(IF(F35="","",CEILING(G35/((IFERROR(B32,0)+IFERROR(G32,0))/(IFERROR('Getting Started'!C15,0)+IFERROR('Getting Started'!C23,0))),1)),"")</f>
        <v/>
      </c>
      <c r="J35" s="54">
        <f>IFERROR(IF(F35="","",TEXT('Getting Started'!C10+(H35-1)*7,"MMM D")&amp;" – "&amp;TEXT('Getting Started'!C10+I35*7,"MMM D")),"")</f>
        <v/>
      </c>
    </row>
    <row r="36" ht="18" customHeight="1">
      <c r="A36" s="53" t="n">
        <v>2</v>
      </c>
      <c r="B36" s="18" t="n"/>
      <c r="F36" s="55" t="n"/>
      <c r="G36" s="17">
        <f>IFERROR(SUM(F35:F36),"")</f>
        <v/>
      </c>
      <c r="H36" s="17">
        <f>IFERROR(IF(F36="","",FLOOR(G35/((IFERROR(B32,0)+IFERROR(G32,0))/(IFERROR('Getting Started'!C15,0)+IFERROR('Getting Started'!C23,0))),1)+1),"")</f>
        <v/>
      </c>
      <c r="I36" s="17">
        <f>IFERROR(IF(F36="","",CEILING(G36/((IFERROR(B32,0)+IFERROR(G32,0))/(IFERROR('Getting Started'!C15,0)+IFERROR('Getting Started'!C23,0))),1)),"")</f>
        <v/>
      </c>
      <c r="J36" s="54">
        <f>IFERROR(IF(F36="","",TEXT('Getting Started'!C10+(H36-1)*7,"MMM D")&amp;" – "&amp;TEXT('Getting Started'!C10+I36*7,"MMM D")),"")</f>
        <v/>
      </c>
    </row>
    <row r="37" ht="18" customHeight="1">
      <c r="A37" s="53" t="n">
        <v>3</v>
      </c>
      <c r="B37" s="5" t="n"/>
      <c r="F37" s="32" t="n"/>
      <c r="G37" s="17">
        <f>IFERROR(SUM(F35:F37),"")</f>
        <v/>
      </c>
      <c r="H37" s="17">
        <f>IFERROR(IF(F37="","",FLOOR(G36/((IFERROR(B32,0)+IFERROR(G32,0))/(IFERROR('Getting Started'!C15,0)+IFERROR('Getting Started'!C23,0))),1)+1),"")</f>
        <v/>
      </c>
      <c r="I37" s="17">
        <f>IFERROR(IF(F37="","",CEILING(G37/((IFERROR(B32,0)+IFERROR(G32,0))/(IFERROR('Getting Started'!C15,0)+IFERROR('Getting Started'!C23,0))),1)),"")</f>
        <v/>
      </c>
      <c r="J37" s="54">
        <f>IFERROR(IF(F37="","",TEXT('Getting Started'!C10+(H37-1)*7,"MMM D")&amp;" – "&amp;TEXT('Getting Started'!C10+I37*7,"MMM D")),"")</f>
        <v/>
      </c>
    </row>
    <row r="38" ht="18" customHeight="1">
      <c r="A38" s="53" t="n">
        <v>4</v>
      </c>
      <c r="B38" s="18" t="n"/>
      <c r="F38" s="55" t="n"/>
      <c r="G38" s="17">
        <f>IFERROR(SUM(F35:F38),"")</f>
        <v/>
      </c>
      <c r="H38" s="17">
        <f>IFERROR(IF(F38="","",FLOOR(G37/((IFERROR(B32,0)+IFERROR(G32,0))/(IFERROR('Getting Started'!C15,0)+IFERROR('Getting Started'!C23,0))),1)+1),"")</f>
        <v/>
      </c>
      <c r="I38" s="17">
        <f>IFERROR(IF(F38="","",CEILING(G38/((IFERROR(B32,0)+IFERROR(G32,0))/(IFERROR('Getting Started'!C15,0)+IFERROR('Getting Started'!C23,0))),1)),"")</f>
        <v/>
      </c>
      <c r="J38" s="54">
        <f>IFERROR(IF(F38="","",TEXT('Getting Started'!C10+(H38-1)*7,"MMM D")&amp;" – "&amp;TEXT('Getting Started'!C10+I38*7,"MMM D")),"")</f>
        <v/>
      </c>
    </row>
    <row r="39" ht="18" customHeight="1">
      <c r="A39" s="53" t="n">
        <v>5</v>
      </c>
      <c r="B39" s="5" t="n"/>
      <c r="F39" s="32" t="n"/>
      <c r="G39" s="17">
        <f>IFERROR(SUM(F35:F39),"")</f>
        <v/>
      </c>
      <c r="H39" s="17">
        <f>IFERROR(IF(F39="","",FLOOR(G38/((IFERROR(B32,0)+IFERROR(G32,0))/(IFERROR('Getting Started'!C15,0)+IFERROR('Getting Started'!C23,0))),1)+1),"")</f>
        <v/>
      </c>
      <c r="I39" s="17">
        <f>IFERROR(IF(F39="","",CEILING(G39/((IFERROR(B32,0)+IFERROR(G32,0))/(IFERROR('Getting Started'!C15,0)+IFERROR('Getting Started'!C23,0))),1)),"")</f>
        <v/>
      </c>
      <c r="J39" s="54">
        <f>IFERROR(IF(F39="","",TEXT('Getting Started'!C10+(H39-1)*7,"MMM D")&amp;" – "&amp;TEXT('Getting Started'!C10+I39*7,"MMM D")),"")</f>
        <v/>
      </c>
    </row>
    <row r="40" ht="18" customHeight="1">
      <c r="A40" s="53" t="n">
        <v>6</v>
      </c>
      <c r="B40" s="18" t="n"/>
      <c r="F40" s="55" t="n"/>
      <c r="G40" s="17">
        <f>IFERROR(SUM(F35:F40),"")</f>
        <v/>
      </c>
      <c r="H40" s="17">
        <f>IFERROR(IF(F40="","",FLOOR(G39/((IFERROR(B32,0)+IFERROR(G32,0))/(IFERROR('Getting Started'!C15,0)+IFERROR('Getting Started'!C23,0))),1)+1),"")</f>
        <v/>
      </c>
      <c r="I40" s="17">
        <f>IFERROR(IF(F40="","",CEILING(G40/((IFERROR(B32,0)+IFERROR(G32,0))/(IFERROR('Getting Started'!C15,0)+IFERROR('Getting Started'!C23,0))),1)),"")</f>
        <v/>
      </c>
      <c r="J40" s="54">
        <f>IFERROR(IF(F40="","",TEXT('Getting Started'!C10+(H40-1)*7,"MMM D")&amp;" – "&amp;TEXT('Getting Started'!C10+I40*7,"MMM D")),"")</f>
        <v/>
      </c>
    </row>
    <row r="41" ht="20" customHeight="1">
      <c r="A41" s="56">
        <f>IFERROR(IF('Course Content'!I24="","",'Course Content'!I24),"")</f>
        <v/>
      </c>
    </row>
    <row r="42" ht="8" customHeight="1"/>
    <row r="43" ht="24" customHeight="1">
      <c r="A43" s="44" t="inlineStr">
        <is>
          <t xml:space="preserve">  READING</t>
        </is>
      </c>
      <c r="E43" s="45">
        <f>IFERROR(IF('Course Content'!E25="","← enter on Course Content tab",'Course Content'!E25),"")</f>
        <v/>
      </c>
    </row>
    <row r="44" ht="22" customHeight="1">
      <c r="B44" s="46">
        <f>'Course Content'!G25</f>
        <v/>
      </c>
      <c r="C44" s="47">
        <f>IFERROR(IF(B44="","",ROUND(B44/'Getting Started'!C15,1)),"")</f>
        <v/>
      </c>
      <c r="D44" s="47">
        <f>IFERROR(IF(C44="","",ROUND(C44/'Getting Started'!C7,1)),"")</f>
        <v/>
      </c>
      <c r="E44" s="48">
        <f>IFERROR(IF(B44="","",TEXT('Getting Started'!C10+(B44/D44),"MMM D, YYYY")),"")</f>
        <v/>
      </c>
      <c r="F44" s="39" t="n"/>
      <c r="G44" s="49">
        <f>'Course Content'!H25</f>
        <v/>
      </c>
      <c r="H44" s="50">
        <f>IFERROR(IF(G44="","",ROUND(G44/'Getting Started'!C23,1)),"")</f>
        <v/>
      </c>
      <c r="I44" s="50">
        <f>IFERROR(IF(H44="","",ROUND(H44/'Getting Started'!C7,1)),"")</f>
        <v/>
      </c>
      <c r="J44" s="51">
        <f>IFERROR(IF(G44="","",TEXT('Getting Started'!C18+(G44/I44),"MMM D, YYYY")),"")</f>
        <v/>
      </c>
    </row>
    <row r="45" ht="16" customHeight="1">
      <c r="A45" s="52" t="inlineStr">
        <is>
          <t xml:space="preserve">  Component Breakdown  (optional — use for multi-volume curricula)</t>
        </is>
      </c>
    </row>
    <row r="46" ht="22" customHeight="1">
      <c r="A46" s="28" t="inlineStr">
        <is>
          <t>#</t>
        </is>
      </c>
      <c r="B46" s="28" t="inlineStr">
        <is>
          <t>Book / Component Title</t>
        </is>
      </c>
      <c r="F46" s="28" t="inlineStr">
        <is>
          <t>Units</t>
        </is>
      </c>
      <c r="G46" s="28" t="inlineStr">
        <is>
          <t>Cumul.</t>
        </is>
      </c>
      <c r="H46" s="28" t="inlineStr">
        <is>
          <t>Start
Week</t>
        </is>
      </c>
      <c r="I46" s="28" t="inlineStr">
        <is>
          <t>End
Week</t>
        </is>
      </c>
      <c r="J46" s="28" t="inlineStr">
        <is>
          <t>Est. Dates</t>
        </is>
      </c>
    </row>
    <row r="47" ht="18" customHeight="1">
      <c r="A47" s="53" t="n">
        <v>1</v>
      </c>
      <c r="B47" s="5" t="n"/>
      <c r="F47" s="32" t="n"/>
      <c r="G47" s="17">
        <f>IFERROR(SUM(F47:F47),"")</f>
        <v/>
      </c>
      <c r="H47" s="17">
        <f>IF(F47="","",1)</f>
        <v/>
      </c>
      <c r="I47" s="17">
        <f>IFERROR(IF(F47="","",CEILING(G47/((IFERROR(B44,0)+IFERROR(G44,0))/(IFERROR('Getting Started'!C15,0)+IFERROR('Getting Started'!C23,0))),1)),"")</f>
        <v/>
      </c>
      <c r="J47" s="54">
        <f>IFERROR(IF(F47="","",TEXT('Getting Started'!C10+(H47-1)*7,"MMM D")&amp;" – "&amp;TEXT('Getting Started'!C10+I47*7,"MMM D")),"")</f>
        <v/>
      </c>
    </row>
    <row r="48" ht="18" customHeight="1">
      <c r="A48" s="53" t="n">
        <v>2</v>
      </c>
      <c r="B48" s="18" t="n"/>
      <c r="F48" s="55" t="n"/>
      <c r="G48" s="17">
        <f>IFERROR(SUM(F47:F48),"")</f>
        <v/>
      </c>
      <c r="H48" s="17">
        <f>IFERROR(IF(F48="","",FLOOR(G47/((IFERROR(B44,0)+IFERROR(G44,0))/(IFERROR('Getting Started'!C15,0)+IFERROR('Getting Started'!C23,0))),1)+1),"")</f>
        <v/>
      </c>
      <c r="I48" s="17">
        <f>IFERROR(IF(F48="","",CEILING(G48/((IFERROR(B44,0)+IFERROR(G44,0))/(IFERROR('Getting Started'!C15,0)+IFERROR('Getting Started'!C23,0))),1)),"")</f>
        <v/>
      </c>
      <c r="J48" s="54">
        <f>IFERROR(IF(F48="","",TEXT('Getting Started'!C10+(H48-1)*7,"MMM D")&amp;" – "&amp;TEXT('Getting Started'!C10+I48*7,"MMM D")),"")</f>
        <v/>
      </c>
    </row>
    <row r="49" ht="18" customHeight="1">
      <c r="A49" s="53" t="n">
        <v>3</v>
      </c>
      <c r="B49" s="5" t="n"/>
      <c r="F49" s="32" t="n"/>
      <c r="G49" s="17">
        <f>IFERROR(SUM(F47:F49),"")</f>
        <v/>
      </c>
      <c r="H49" s="17">
        <f>IFERROR(IF(F49="","",FLOOR(G48/((IFERROR(B44,0)+IFERROR(G44,0))/(IFERROR('Getting Started'!C15,0)+IFERROR('Getting Started'!C23,0))),1)+1),"")</f>
        <v/>
      </c>
      <c r="I49" s="17">
        <f>IFERROR(IF(F49="","",CEILING(G49/((IFERROR(B44,0)+IFERROR(G44,0))/(IFERROR('Getting Started'!C15,0)+IFERROR('Getting Started'!C23,0))),1)),"")</f>
        <v/>
      </c>
      <c r="J49" s="54">
        <f>IFERROR(IF(F49="","",TEXT('Getting Started'!C10+(H49-1)*7,"MMM D")&amp;" – "&amp;TEXT('Getting Started'!C10+I49*7,"MMM D")),"")</f>
        <v/>
      </c>
    </row>
    <row r="50" ht="18" customHeight="1">
      <c r="A50" s="53" t="n">
        <v>4</v>
      </c>
      <c r="B50" s="18" t="n"/>
      <c r="F50" s="55" t="n"/>
      <c r="G50" s="17">
        <f>IFERROR(SUM(F47:F50),"")</f>
        <v/>
      </c>
      <c r="H50" s="17">
        <f>IFERROR(IF(F50="","",FLOOR(G49/((IFERROR(B44,0)+IFERROR(G44,0))/(IFERROR('Getting Started'!C15,0)+IFERROR('Getting Started'!C23,0))),1)+1),"")</f>
        <v/>
      </c>
      <c r="I50" s="17">
        <f>IFERROR(IF(F50="","",CEILING(G50/((IFERROR(B44,0)+IFERROR(G44,0))/(IFERROR('Getting Started'!C15,0)+IFERROR('Getting Started'!C23,0))),1)),"")</f>
        <v/>
      </c>
      <c r="J50" s="54">
        <f>IFERROR(IF(F50="","",TEXT('Getting Started'!C10+(H50-1)*7,"MMM D")&amp;" – "&amp;TEXT('Getting Started'!C10+I50*7,"MMM D")),"")</f>
        <v/>
      </c>
    </row>
    <row r="51" ht="18" customHeight="1">
      <c r="A51" s="53" t="n">
        <v>5</v>
      </c>
      <c r="B51" s="5" t="n"/>
      <c r="F51" s="32" t="n"/>
      <c r="G51" s="17">
        <f>IFERROR(SUM(F47:F51),"")</f>
        <v/>
      </c>
      <c r="H51" s="17">
        <f>IFERROR(IF(F51="","",FLOOR(G50/((IFERROR(B44,0)+IFERROR(G44,0))/(IFERROR('Getting Started'!C15,0)+IFERROR('Getting Started'!C23,0))),1)+1),"")</f>
        <v/>
      </c>
      <c r="I51" s="17">
        <f>IFERROR(IF(F51="","",CEILING(G51/((IFERROR(B44,0)+IFERROR(G44,0))/(IFERROR('Getting Started'!C15,0)+IFERROR('Getting Started'!C23,0))),1)),"")</f>
        <v/>
      </c>
      <c r="J51" s="54">
        <f>IFERROR(IF(F51="","",TEXT('Getting Started'!C10+(H51-1)*7,"MMM D")&amp;" – "&amp;TEXT('Getting Started'!C10+I51*7,"MMM D")),"")</f>
        <v/>
      </c>
    </row>
    <row r="52" ht="18" customHeight="1">
      <c r="A52" s="53" t="n">
        <v>6</v>
      </c>
      <c r="B52" s="18" t="n"/>
      <c r="F52" s="55" t="n"/>
      <c r="G52" s="17">
        <f>IFERROR(SUM(F47:F52),"")</f>
        <v/>
      </c>
      <c r="H52" s="17">
        <f>IFERROR(IF(F52="","",FLOOR(G51/((IFERROR(B44,0)+IFERROR(G44,0))/(IFERROR('Getting Started'!C15,0)+IFERROR('Getting Started'!C23,0))),1)+1),"")</f>
        <v/>
      </c>
      <c r="I52" s="17">
        <f>IFERROR(IF(F52="","",CEILING(G52/((IFERROR(B44,0)+IFERROR(G44,0))/(IFERROR('Getting Started'!C15,0)+IFERROR('Getting Started'!C23,0))),1)),"")</f>
        <v/>
      </c>
      <c r="J52" s="54">
        <f>IFERROR(IF(F52="","",TEXT('Getting Started'!C10+(H52-1)*7,"MMM D")&amp;" – "&amp;TEXT('Getting Started'!C10+I52*7,"MMM D")),"")</f>
        <v/>
      </c>
    </row>
    <row r="53" ht="20" customHeight="1">
      <c r="A53" s="56">
        <f>IFERROR(IF('Course Content'!I25="","",'Course Content'!I25),"")</f>
        <v/>
      </c>
    </row>
    <row r="54" ht="8" customHeight="1"/>
    <row r="55" ht="24" customHeight="1">
      <c r="A55" s="44" t="inlineStr">
        <is>
          <t xml:space="preserve">  WRITING / COMPOSITION</t>
        </is>
      </c>
      <c r="E55" s="45">
        <f>IFERROR(IF('Course Content'!E26="","← enter on Course Content tab",'Course Content'!E26),"")</f>
        <v/>
      </c>
    </row>
    <row r="56" ht="22" customHeight="1">
      <c r="B56" s="46">
        <f>'Course Content'!G26</f>
        <v/>
      </c>
      <c r="C56" s="47">
        <f>IFERROR(IF(B56="","",ROUND(B56/'Getting Started'!C15,1)),"")</f>
        <v/>
      </c>
      <c r="D56" s="47">
        <f>IFERROR(IF(C56="","",ROUND(C56/'Getting Started'!C7,1)),"")</f>
        <v/>
      </c>
      <c r="E56" s="48">
        <f>IFERROR(IF(B56="","",TEXT('Getting Started'!C10+(B56/D56),"MMM D, YYYY")),"")</f>
        <v/>
      </c>
      <c r="F56" s="39" t="n"/>
      <c r="G56" s="49">
        <f>'Course Content'!H26</f>
        <v/>
      </c>
      <c r="H56" s="50">
        <f>IFERROR(IF(G56="","",ROUND(G56/'Getting Started'!C23,1)),"")</f>
        <v/>
      </c>
      <c r="I56" s="50">
        <f>IFERROR(IF(H56="","",ROUND(H56/'Getting Started'!C7,1)),"")</f>
        <v/>
      </c>
      <c r="J56" s="51">
        <f>IFERROR(IF(G56="","",TEXT('Getting Started'!C18+(G56/I56),"MMM D, YYYY")),"")</f>
        <v/>
      </c>
    </row>
    <row r="57" ht="16" customHeight="1">
      <c r="A57" s="52" t="inlineStr">
        <is>
          <t xml:space="preserve">  Component Breakdown  (optional — use for multi-volume curricula)</t>
        </is>
      </c>
    </row>
    <row r="58" ht="22" customHeight="1">
      <c r="A58" s="28" t="inlineStr">
        <is>
          <t>#</t>
        </is>
      </c>
      <c r="B58" s="28" t="inlineStr">
        <is>
          <t>Book / Component Title</t>
        </is>
      </c>
      <c r="F58" s="28" t="inlineStr">
        <is>
          <t>Units</t>
        </is>
      </c>
      <c r="G58" s="28" t="inlineStr">
        <is>
          <t>Cumul.</t>
        </is>
      </c>
      <c r="H58" s="28" t="inlineStr">
        <is>
          <t>Start
Week</t>
        </is>
      </c>
      <c r="I58" s="28" t="inlineStr">
        <is>
          <t>End
Week</t>
        </is>
      </c>
      <c r="J58" s="28" t="inlineStr">
        <is>
          <t>Est. Dates</t>
        </is>
      </c>
    </row>
    <row r="59" ht="18" customHeight="1">
      <c r="A59" s="53" t="n">
        <v>1</v>
      </c>
      <c r="B59" s="5" t="n"/>
      <c r="F59" s="32" t="n"/>
      <c r="G59" s="17">
        <f>IFERROR(SUM(F59:F59),"")</f>
        <v/>
      </c>
      <c r="H59" s="17">
        <f>IF(F59="","",1)</f>
        <v/>
      </c>
      <c r="I59" s="17">
        <f>IFERROR(IF(F59="","",CEILING(G59/((IFERROR(B56,0)+IFERROR(G56,0))/(IFERROR('Getting Started'!C15,0)+IFERROR('Getting Started'!C23,0))),1)),"")</f>
        <v/>
      </c>
      <c r="J59" s="54">
        <f>IFERROR(IF(F59="","",TEXT('Getting Started'!C10+(H59-1)*7,"MMM D")&amp;" – "&amp;TEXT('Getting Started'!C10+I59*7,"MMM D")),"")</f>
        <v/>
      </c>
    </row>
    <row r="60" ht="18" customHeight="1">
      <c r="A60" s="53" t="n">
        <v>2</v>
      </c>
      <c r="B60" s="18" t="n"/>
      <c r="F60" s="55" t="n"/>
      <c r="G60" s="17">
        <f>IFERROR(SUM(F59:F60),"")</f>
        <v/>
      </c>
      <c r="H60" s="17">
        <f>IFERROR(IF(F60="","",FLOOR(G59/((IFERROR(B56,0)+IFERROR(G56,0))/(IFERROR('Getting Started'!C15,0)+IFERROR('Getting Started'!C23,0))),1)+1),"")</f>
        <v/>
      </c>
      <c r="I60" s="17">
        <f>IFERROR(IF(F60="","",CEILING(G60/((IFERROR(B56,0)+IFERROR(G56,0))/(IFERROR('Getting Started'!C15,0)+IFERROR('Getting Started'!C23,0))),1)),"")</f>
        <v/>
      </c>
      <c r="J60" s="54">
        <f>IFERROR(IF(F60="","",TEXT('Getting Started'!C10+(H60-1)*7,"MMM D")&amp;" – "&amp;TEXT('Getting Started'!C10+I60*7,"MMM D")),"")</f>
        <v/>
      </c>
    </row>
    <row r="61" ht="18" customHeight="1">
      <c r="A61" s="53" t="n">
        <v>3</v>
      </c>
      <c r="B61" s="5" t="n"/>
      <c r="F61" s="32" t="n"/>
      <c r="G61" s="17">
        <f>IFERROR(SUM(F59:F61),"")</f>
        <v/>
      </c>
      <c r="H61" s="17">
        <f>IFERROR(IF(F61="","",FLOOR(G60/((IFERROR(B56,0)+IFERROR(G56,0))/(IFERROR('Getting Started'!C15,0)+IFERROR('Getting Started'!C23,0))),1)+1),"")</f>
        <v/>
      </c>
      <c r="I61" s="17">
        <f>IFERROR(IF(F61="","",CEILING(G61/((IFERROR(B56,0)+IFERROR(G56,0))/(IFERROR('Getting Started'!C15,0)+IFERROR('Getting Started'!C23,0))),1)),"")</f>
        <v/>
      </c>
      <c r="J61" s="54">
        <f>IFERROR(IF(F61="","",TEXT('Getting Started'!C10+(H61-1)*7,"MMM D")&amp;" – "&amp;TEXT('Getting Started'!C10+I61*7,"MMM D")),"")</f>
        <v/>
      </c>
    </row>
    <row r="62" ht="18" customHeight="1">
      <c r="A62" s="53" t="n">
        <v>4</v>
      </c>
      <c r="B62" s="18" t="n"/>
      <c r="F62" s="55" t="n"/>
      <c r="G62" s="17">
        <f>IFERROR(SUM(F59:F62),"")</f>
        <v/>
      </c>
      <c r="H62" s="17">
        <f>IFERROR(IF(F62="","",FLOOR(G61/((IFERROR(B56,0)+IFERROR(G56,0))/(IFERROR('Getting Started'!C15,0)+IFERROR('Getting Started'!C23,0))),1)+1),"")</f>
        <v/>
      </c>
      <c r="I62" s="17">
        <f>IFERROR(IF(F62="","",CEILING(G62/((IFERROR(B56,0)+IFERROR(G56,0))/(IFERROR('Getting Started'!C15,0)+IFERROR('Getting Started'!C23,0))),1)),"")</f>
        <v/>
      </c>
      <c r="J62" s="54">
        <f>IFERROR(IF(F62="","",TEXT('Getting Started'!C10+(H62-1)*7,"MMM D")&amp;" – "&amp;TEXT('Getting Started'!C10+I62*7,"MMM D")),"")</f>
        <v/>
      </c>
    </row>
    <row r="63" ht="18" customHeight="1">
      <c r="A63" s="53" t="n">
        <v>5</v>
      </c>
      <c r="B63" s="5" t="n"/>
      <c r="F63" s="32" t="n"/>
      <c r="G63" s="17">
        <f>IFERROR(SUM(F59:F63),"")</f>
        <v/>
      </c>
      <c r="H63" s="17">
        <f>IFERROR(IF(F63="","",FLOOR(G62/((IFERROR(B56,0)+IFERROR(G56,0))/(IFERROR('Getting Started'!C15,0)+IFERROR('Getting Started'!C23,0))),1)+1),"")</f>
        <v/>
      </c>
      <c r="I63" s="17">
        <f>IFERROR(IF(F63="","",CEILING(G63/((IFERROR(B56,0)+IFERROR(G56,0))/(IFERROR('Getting Started'!C15,0)+IFERROR('Getting Started'!C23,0))),1)),"")</f>
        <v/>
      </c>
      <c r="J63" s="54">
        <f>IFERROR(IF(F63="","",TEXT('Getting Started'!C10+(H63-1)*7,"MMM D")&amp;" – "&amp;TEXT('Getting Started'!C10+I63*7,"MMM D")),"")</f>
        <v/>
      </c>
    </row>
    <row r="64" ht="18" customHeight="1">
      <c r="A64" s="53" t="n">
        <v>6</v>
      </c>
      <c r="B64" s="18" t="n"/>
      <c r="F64" s="55" t="n"/>
      <c r="G64" s="17">
        <f>IFERROR(SUM(F59:F64),"")</f>
        <v/>
      </c>
      <c r="H64" s="17">
        <f>IFERROR(IF(F64="","",FLOOR(G63/((IFERROR(B56,0)+IFERROR(G56,0))/(IFERROR('Getting Started'!C15,0)+IFERROR('Getting Started'!C23,0))),1)+1),"")</f>
        <v/>
      </c>
      <c r="I64" s="17">
        <f>IFERROR(IF(F64="","",CEILING(G64/((IFERROR(B56,0)+IFERROR(G56,0))/(IFERROR('Getting Started'!C15,0)+IFERROR('Getting Started'!C23,0))),1)),"")</f>
        <v/>
      </c>
      <c r="J64" s="54">
        <f>IFERROR(IF(F64="","",TEXT('Getting Started'!C10+(H64-1)*7,"MMM D")&amp;" – "&amp;TEXT('Getting Started'!C10+I64*7,"MMM D")),"")</f>
        <v/>
      </c>
    </row>
    <row r="65" ht="20" customHeight="1">
      <c r="A65" s="56">
        <f>IFERROR(IF('Course Content'!I26="","",'Course Content'!I26),"")</f>
        <v/>
      </c>
    </row>
    <row r="66" ht="8" customHeight="1"/>
    <row r="67" ht="24" customHeight="1">
      <c r="A67" s="44" t="inlineStr">
        <is>
          <t xml:space="preserve">  SCIENCE</t>
        </is>
      </c>
      <c r="E67" s="45">
        <f>IFERROR(IF('Course Content'!E27="","← enter on Course Content tab",'Course Content'!E27),"")</f>
        <v/>
      </c>
    </row>
    <row r="68" ht="22" customHeight="1">
      <c r="B68" s="46">
        <f>'Course Content'!G27</f>
        <v/>
      </c>
      <c r="C68" s="47">
        <f>IFERROR(IF(B68="","",ROUND(B68/'Getting Started'!C15,1)),"")</f>
        <v/>
      </c>
      <c r="D68" s="47">
        <f>IFERROR(IF(C68="","",ROUND(C68/'Getting Started'!C7,1)),"")</f>
        <v/>
      </c>
      <c r="E68" s="48">
        <f>IFERROR(IF(B68="","",TEXT('Getting Started'!C10+(B68/D68),"MMM D, YYYY")),"")</f>
        <v/>
      </c>
      <c r="F68" s="39" t="n"/>
      <c r="G68" s="49">
        <f>'Course Content'!H27</f>
        <v/>
      </c>
      <c r="H68" s="50">
        <f>IFERROR(IF(G68="","",ROUND(G68/'Getting Started'!C23,1)),"")</f>
        <v/>
      </c>
      <c r="I68" s="50">
        <f>IFERROR(IF(H68="","",ROUND(H68/'Getting Started'!C7,1)),"")</f>
        <v/>
      </c>
      <c r="J68" s="51">
        <f>IFERROR(IF(G68="","",TEXT('Getting Started'!C18+(G68/I68),"MMM D, YYYY")),"")</f>
        <v/>
      </c>
    </row>
    <row r="69" ht="16" customHeight="1">
      <c r="A69" s="52" t="inlineStr">
        <is>
          <t xml:space="preserve">  Component Breakdown  (optional — use for multi-volume curricula)</t>
        </is>
      </c>
    </row>
    <row r="70" ht="22" customHeight="1">
      <c r="A70" s="28" t="inlineStr">
        <is>
          <t>#</t>
        </is>
      </c>
      <c r="B70" s="28" t="inlineStr">
        <is>
          <t>Book / Component Title</t>
        </is>
      </c>
      <c r="F70" s="28" t="inlineStr">
        <is>
          <t>Units</t>
        </is>
      </c>
      <c r="G70" s="28" t="inlineStr">
        <is>
          <t>Cumul.</t>
        </is>
      </c>
      <c r="H70" s="28" t="inlineStr">
        <is>
          <t>Start
Week</t>
        </is>
      </c>
      <c r="I70" s="28" t="inlineStr">
        <is>
          <t>End
Week</t>
        </is>
      </c>
      <c r="J70" s="28" t="inlineStr">
        <is>
          <t>Est. Dates</t>
        </is>
      </c>
    </row>
    <row r="71" ht="18" customHeight="1">
      <c r="A71" s="53" t="n">
        <v>1</v>
      </c>
      <c r="B71" s="5" t="n"/>
      <c r="F71" s="32" t="n"/>
      <c r="G71" s="17">
        <f>IFERROR(SUM(F71:F71),"")</f>
        <v/>
      </c>
      <c r="H71" s="17">
        <f>IF(F71="","",1)</f>
        <v/>
      </c>
      <c r="I71" s="17">
        <f>IFERROR(IF(F71="","",CEILING(G71/((IFERROR(B68,0)+IFERROR(G68,0))/(IFERROR('Getting Started'!C15,0)+IFERROR('Getting Started'!C23,0))),1)),"")</f>
        <v/>
      </c>
      <c r="J71" s="54">
        <f>IFERROR(IF(F71="","",TEXT('Getting Started'!C10+(H71-1)*7,"MMM D")&amp;" – "&amp;TEXT('Getting Started'!C10+I71*7,"MMM D")),"")</f>
        <v/>
      </c>
    </row>
    <row r="72" ht="18" customHeight="1">
      <c r="A72" s="53" t="n">
        <v>2</v>
      </c>
      <c r="B72" s="18" t="n"/>
      <c r="F72" s="55" t="n"/>
      <c r="G72" s="17">
        <f>IFERROR(SUM(F71:F72),"")</f>
        <v/>
      </c>
      <c r="H72" s="17">
        <f>IFERROR(IF(F72="","",FLOOR(G71/((IFERROR(B68,0)+IFERROR(G68,0))/(IFERROR('Getting Started'!C15,0)+IFERROR('Getting Started'!C23,0))),1)+1),"")</f>
        <v/>
      </c>
      <c r="I72" s="17">
        <f>IFERROR(IF(F72="","",CEILING(G72/((IFERROR(B68,0)+IFERROR(G68,0))/(IFERROR('Getting Started'!C15,0)+IFERROR('Getting Started'!C23,0))),1)),"")</f>
        <v/>
      </c>
      <c r="J72" s="54">
        <f>IFERROR(IF(F72="","",TEXT('Getting Started'!C10+(H72-1)*7,"MMM D")&amp;" – "&amp;TEXT('Getting Started'!C10+I72*7,"MMM D")),"")</f>
        <v/>
      </c>
    </row>
    <row r="73" ht="18" customHeight="1">
      <c r="A73" s="53" t="n">
        <v>3</v>
      </c>
      <c r="B73" s="5" t="n"/>
      <c r="F73" s="32" t="n"/>
      <c r="G73" s="17">
        <f>IFERROR(SUM(F71:F73),"")</f>
        <v/>
      </c>
      <c r="H73" s="17">
        <f>IFERROR(IF(F73="","",FLOOR(G72/((IFERROR(B68,0)+IFERROR(G68,0))/(IFERROR('Getting Started'!C15,0)+IFERROR('Getting Started'!C23,0))),1)+1),"")</f>
        <v/>
      </c>
      <c r="I73" s="17">
        <f>IFERROR(IF(F73="","",CEILING(G73/((IFERROR(B68,0)+IFERROR(G68,0))/(IFERROR('Getting Started'!C15,0)+IFERROR('Getting Started'!C23,0))),1)),"")</f>
        <v/>
      </c>
      <c r="J73" s="54">
        <f>IFERROR(IF(F73="","",TEXT('Getting Started'!C10+(H73-1)*7,"MMM D")&amp;" – "&amp;TEXT('Getting Started'!C10+I73*7,"MMM D")),"")</f>
        <v/>
      </c>
    </row>
    <row r="74" ht="18" customHeight="1">
      <c r="A74" s="53" t="n">
        <v>4</v>
      </c>
      <c r="B74" s="18" t="n"/>
      <c r="F74" s="55" t="n"/>
      <c r="G74" s="17">
        <f>IFERROR(SUM(F71:F74),"")</f>
        <v/>
      </c>
      <c r="H74" s="17">
        <f>IFERROR(IF(F74="","",FLOOR(G73/((IFERROR(B68,0)+IFERROR(G68,0))/(IFERROR('Getting Started'!C15,0)+IFERROR('Getting Started'!C23,0))),1)+1),"")</f>
        <v/>
      </c>
      <c r="I74" s="17">
        <f>IFERROR(IF(F74="","",CEILING(G74/((IFERROR(B68,0)+IFERROR(G68,0))/(IFERROR('Getting Started'!C15,0)+IFERROR('Getting Started'!C23,0))),1)),"")</f>
        <v/>
      </c>
      <c r="J74" s="54">
        <f>IFERROR(IF(F74="","",TEXT('Getting Started'!C10+(H74-1)*7,"MMM D")&amp;" – "&amp;TEXT('Getting Started'!C10+I74*7,"MMM D")),"")</f>
        <v/>
      </c>
    </row>
    <row r="75" ht="18" customHeight="1">
      <c r="A75" s="53" t="n">
        <v>5</v>
      </c>
      <c r="B75" s="5" t="n"/>
      <c r="F75" s="32" t="n"/>
      <c r="G75" s="17">
        <f>IFERROR(SUM(F71:F75),"")</f>
        <v/>
      </c>
      <c r="H75" s="17">
        <f>IFERROR(IF(F75="","",FLOOR(G74/((IFERROR(B68,0)+IFERROR(G68,0))/(IFERROR('Getting Started'!C15,0)+IFERROR('Getting Started'!C23,0))),1)+1),"")</f>
        <v/>
      </c>
      <c r="I75" s="17">
        <f>IFERROR(IF(F75="","",CEILING(G75/((IFERROR(B68,0)+IFERROR(G68,0))/(IFERROR('Getting Started'!C15,0)+IFERROR('Getting Started'!C23,0))),1)),"")</f>
        <v/>
      </c>
      <c r="J75" s="54">
        <f>IFERROR(IF(F75="","",TEXT('Getting Started'!C10+(H75-1)*7,"MMM D")&amp;" – "&amp;TEXT('Getting Started'!C10+I75*7,"MMM D")),"")</f>
        <v/>
      </c>
    </row>
    <row r="76" ht="18" customHeight="1">
      <c r="A76" s="53" t="n">
        <v>6</v>
      </c>
      <c r="B76" s="18" t="n"/>
      <c r="F76" s="55" t="n"/>
      <c r="G76" s="17">
        <f>IFERROR(SUM(F71:F76),"")</f>
        <v/>
      </c>
      <c r="H76" s="17">
        <f>IFERROR(IF(F76="","",FLOOR(G75/((IFERROR(B68,0)+IFERROR(G68,0))/(IFERROR('Getting Started'!C15,0)+IFERROR('Getting Started'!C23,0))),1)+1),"")</f>
        <v/>
      </c>
      <c r="I76" s="17">
        <f>IFERROR(IF(F76="","",CEILING(G76/((IFERROR(B68,0)+IFERROR(G68,0))/(IFERROR('Getting Started'!C15,0)+IFERROR('Getting Started'!C23,0))),1)),"")</f>
        <v/>
      </c>
      <c r="J76" s="54">
        <f>IFERROR(IF(F76="","",TEXT('Getting Started'!C10+(H76-1)*7,"MMM D")&amp;" – "&amp;TEXT('Getting Started'!C10+I76*7,"MMM D")),"")</f>
        <v/>
      </c>
    </row>
    <row r="77" ht="20" customHeight="1">
      <c r="A77" s="56">
        <f>IFERROR(IF('Course Content'!I27="","",'Course Content'!I27),"")</f>
        <v/>
      </c>
    </row>
    <row r="78" ht="8" customHeight="1"/>
    <row r="79" ht="24" customHeight="1">
      <c r="A79" s="44" t="inlineStr">
        <is>
          <t xml:space="preserve">  SOCIAL STUDIES / HISTORY</t>
        </is>
      </c>
      <c r="E79" s="45">
        <f>IFERROR(IF('Course Content'!E28="","← enter on Course Content tab",'Course Content'!E28),"")</f>
        <v/>
      </c>
    </row>
    <row r="80" ht="22" customHeight="1">
      <c r="B80" s="46">
        <f>'Course Content'!G28</f>
        <v/>
      </c>
      <c r="C80" s="47">
        <f>IFERROR(IF(B80="","",ROUND(B80/'Getting Started'!C15,1)),"")</f>
        <v/>
      </c>
      <c r="D80" s="47">
        <f>IFERROR(IF(C80="","",ROUND(C80/'Getting Started'!C7,1)),"")</f>
        <v/>
      </c>
      <c r="E80" s="48">
        <f>IFERROR(IF(B80="","",TEXT('Getting Started'!C10+(B80/D80),"MMM D, YYYY")),"")</f>
        <v/>
      </c>
      <c r="F80" s="39" t="n"/>
      <c r="G80" s="49">
        <f>'Course Content'!H28</f>
        <v/>
      </c>
      <c r="H80" s="50">
        <f>IFERROR(IF(G80="","",ROUND(G80/'Getting Started'!C23,1)),"")</f>
        <v/>
      </c>
      <c r="I80" s="50">
        <f>IFERROR(IF(H80="","",ROUND(H80/'Getting Started'!C7,1)),"")</f>
        <v/>
      </c>
      <c r="J80" s="51">
        <f>IFERROR(IF(G80="","",TEXT('Getting Started'!C18+(G80/I80),"MMM D, YYYY")),"")</f>
        <v/>
      </c>
    </row>
    <row r="81" ht="16" customHeight="1">
      <c r="A81" s="52" t="inlineStr">
        <is>
          <t xml:space="preserve">  Component Breakdown  (optional — use for multi-volume curricula)</t>
        </is>
      </c>
    </row>
    <row r="82" ht="22" customHeight="1">
      <c r="A82" s="28" t="inlineStr">
        <is>
          <t>#</t>
        </is>
      </c>
      <c r="B82" s="28" t="inlineStr">
        <is>
          <t>Book / Component Title</t>
        </is>
      </c>
      <c r="F82" s="28" t="inlineStr">
        <is>
          <t>Units</t>
        </is>
      </c>
      <c r="G82" s="28" t="inlineStr">
        <is>
          <t>Cumul.</t>
        </is>
      </c>
      <c r="H82" s="28" t="inlineStr">
        <is>
          <t>Start
Week</t>
        </is>
      </c>
      <c r="I82" s="28" t="inlineStr">
        <is>
          <t>End
Week</t>
        </is>
      </c>
      <c r="J82" s="28" t="inlineStr">
        <is>
          <t>Est. Dates</t>
        </is>
      </c>
    </row>
    <row r="83" ht="18" customHeight="1">
      <c r="A83" s="53" t="n">
        <v>1</v>
      </c>
      <c r="B83" s="5" t="n"/>
      <c r="F83" s="32" t="n"/>
      <c r="G83" s="17">
        <f>IFERROR(SUM(F83:F83),"")</f>
        <v/>
      </c>
      <c r="H83" s="17">
        <f>IF(F83="","",1)</f>
        <v/>
      </c>
      <c r="I83" s="17">
        <f>IFERROR(IF(F83="","",CEILING(G83/((IFERROR(B80,0)+IFERROR(G80,0))/(IFERROR('Getting Started'!C15,0)+IFERROR('Getting Started'!C23,0))),1)),"")</f>
        <v/>
      </c>
      <c r="J83" s="54">
        <f>IFERROR(IF(F83="","",TEXT('Getting Started'!C10+(H83-1)*7,"MMM D")&amp;" – "&amp;TEXT('Getting Started'!C10+I83*7,"MMM D")),"")</f>
        <v/>
      </c>
    </row>
    <row r="84" ht="18" customHeight="1">
      <c r="A84" s="53" t="n">
        <v>2</v>
      </c>
      <c r="B84" s="18" t="n"/>
      <c r="F84" s="55" t="n"/>
      <c r="G84" s="17">
        <f>IFERROR(SUM(F83:F84),"")</f>
        <v/>
      </c>
      <c r="H84" s="17">
        <f>IFERROR(IF(F84="","",FLOOR(G83/((IFERROR(B80,0)+IFERROR(G80,0))/(IFERROR('Getting Started'!C15,0)+IFERROR('Getting Started'!C23,0))),1)+1),"")</f>
        <v/>
      </c>
      <c r="I84" s="17">
        <f>IFERROR(IF(F84="","",CEILING(G84/((IFERROR(B80,0)+IFERROR(G80,0))/(IFERROR('Getting Started'!C15,0)+IFERROR('Getting Started'!C23,0))),1)),"")</f>
        <v/>
      </c>
      <c r="J84" s="54">
        <f>IFERROR(IF(F84="","",TEXT('Getting Started'!C10+(H84-1)*7,"MMM D")&amp;" – "&amp;TEXT('Getting Started'!C10+I84*7,"MMM D")),"")</f>
        <v/>
      </c>
    </row>
    <row r="85" ht="18" customHeight="1">
      <c r="A85" s="53" t="n">
        <v>3</v>
      </c>
      <c r="B85" s="5" t="n"/>
      <c r="F85" s="32" t="n"/>
      <c r="G85" s="17">
        <f>IFERROR(SUM(F83:F85),"")</f>
        <v/>
      </c>
      <c r="H85" s="17">
        <f>IFERROR(IF(F85="","",FLOOR(G84/((IFERROR(B80,0)+IFERROR(G80,0))/(IFERROR('Getting Started'!C15,0)+IFERROR('Getting Started'!C23,0))),1)+1),"")</f>
        <v/>
      </c>
      <c r="I85" s="17">
        <f>IFERROR(IF(F85="","",CEILING(G85/((IFERROR(B80,0)+IFERROR(G80,0))/(IFERROR('Getting Started'!C15,0)+IFERROR('Getting Started'!C23,0))),1)),"")</f>
        <v/>
      </c>
      <c r="J85" s="54">
        <f>IFERROR(IF(F85="","",TEXT('Getting Started'!C10+(H85-1)*7,"MMM D")&amp;" – "&amp;TEXT('Getting Started'!C10+I85*7,"MMM D")),"")</f>
        <v/>
      </c>
    </row>
    <row r="86" ht="18" customHeight="1">
      <c r="A86" s="53" t="n">
        <v>4</v>
      </c>
      <c r="B86" s="18" t="n"/>
      <c r="F86" s="55" t="n"/>
      <c r="G86" s="17">
        <f>IFERROR(SUM(F83:F86),"")</f>
        <v/>
      </c>
      <c r="H86" s="17">
        <f>IFERROR(IF(F86="","",FLOOR(G85/((IFERROR(B80,0)+IFERROR(G80,0))/(IFERROR('Getting Started'!C15,0)+IFERROR('Getting Started'!C23,0))),1)+1),"")</f>
        <v/>
      </c>
      <c r="I86" s="17">
        <f>IFERROR(IF(F86="","",CEILING(G86/((IFERROR(B80,0)+IFERROR(G80,0))/(IFERROR('Getting Started'!C15,0)+IFERROR('Getting Started'!C23,0))),1)),"")</f>
        <v/>
      </c>
      <c r="J86" s="54">
        <f>IFERROR(IF(F86="","",TEXT('Getting Started'!C10+(H86-1)*7,"MMM D")&amp;" – "&amp;TEXT('Getting Started'!C10+I86*7,"MMM D")),"")</f>
        <v/>
      </c>
    </row>
    <row r="87" ht="18" customHeight="1">
      <c r="A87" s="53" t="n">
        <v>5</v>
      </c>
      <c r="B87" s="5" t="n"/>
      <c r="F87" s="32" t="n"/>
      <c r="G87" s="17">
        <f>IFERROR(SUM(F83:F87),"")</f>
        <v/>
      </c>
      <c r="H87" s="17">
        <f>IFERROR(IF(F87="","",FLOOR(G86/((IFERROR(B80,0)+IFERROR(G80,0))/(IFERROR('Getting Started'!C15,0)+IFERROR('Getting Started'!C23,0))),1)+1),"")</f>
        <v/>
      </c>
      <c r="I87" s="17">
        <f>IFERROR(IF(F87="","",CEILING(G87/((IFERROR(B80,0)+IFERROR(G80,0))/(IFERROR('Getting Started'!C15,0)+IFERROR('Getting Started'!C23,0))),1)),"")</f>
        <v/>
      </c>
      <c r="J87" s="54">
        <f>IFERROR(IF(F87="","",TEXT('Getting Started'!C10+(H87-1)*7,"MMM D")&amp;" – "&amp;TEXT('Getting Started'!C10+I87*7,"MMM D")),"")</f>
        <v/>
      </c>
    </row>
    <row r="88" ht="18" customHeight="1">
      <c r="A88" s="53" t="n">
        <v>6</v>
      </c>
      <c r="B88" s="18" t="n"/>
      <c r="F88" s="55" t="n"/>
      <c r="G88" s="17">
        <f>IFERROR(SUM(F83:F88),"")</f>
        <v/>
      </c>
      <c r="H88" s="17">
        <f>IFERROR(IF(F88="","",FLOOR(G87/((IFERROR(B80,0)+IFERROR(G80,0))/(IFERROR('Getting Started'!C15,0)+IFERROR('Getting Started'!C23,0))),1)+1),"")</f>
        <v/>
      </c>
      <c r="I88" s="17">
        <f>IFERROR(IF(F88="","",CEILING(G88/((IFERROR(B80,0)+IFERROR(G80,0))/(IFERROR('Getting Started'!C15,0)+IFERROR('Getting Started'!C23,0))),1)),"")</f>
        <v/>
      </c>
      <c r="J88" s="54">
        <f>IFERROR(IF(F88="","",TEXT('Getting Started'!C10+(H88-1)*7,"MMM D")&amp;" – "&amp;TEXT('Getting Started'!C10+I88*7,"MMM D")),"")</f>
        <v/>
      </c>
    </row>
    <row r="89" ht="20" customHeight="1">
      <c r="A89" s="56">
        <f>IFERROR(IF('Course Content'!I28="","",'Course Content'!I28),"")</f>
        <v/>
      </c>
    </row>
    <row r="90" ht="8" customHeight="1"/>
    <row r="91" ht="24" customHeight="1">
      <c r="A91" s="44" t="inlineStr">
        <is>
          <t xml:space="preserve">  HEALTH</t>
        </is>
      </c>
      <c r="E91" s="45">
        <f>IFERROR(IF('Course Content'!E29="","← enter on Course Content tab",'Course Content'!E29),"")</f>
        <v/>
      </c>
    </row>
    <row r="92" ht="22" customHeight="1">
      <c r="B92" s="46">
        <f>'Course Content'!G29</f>
        <v/>
      </c>
      <c r="C92" s="47">
        <f>IFERROR(IF(B92="","",ROUND(B92/'Getting Started'!C15,1)),"")</f>
        <v/>
      </c>
      <c r="D92" s="47">
        <f>IFERROR(IF(C92="","",ROUND(C92/'Getting Started'!C7,1)),"")</f>
        <v/>
      </c>
      <c r="E92" s="48">
        <f>IFERROR(IF(B92="","",TEXT('Getting Started'!C10+(B92/D92),"MMM D, YYYY")),"")</f>
        <v/>
      </c>
      <c r="F92" s="39" t="n"/>
      <c r="G92" s="49">
        <f>'Course Content'!H29</f>
        <v/>
      </c>
      <c r="H92" s="50">
        <f>IFERROR(IF(G92="","",ROUND(G92/'Getting Started'!C23,1)),"")</f>
        <v/>
      </c>
      <c r="I92" s="50">
        <f>IFERROR(IF(H92="","",ROUND(H92/'Getting Started'!C7,1)),"")</f>
        <v/>
      </c>
      <c r="J92" s="51">
        <f>IFERROR(IF(G92="","",TEXT('Getting Started'!C18+(G92/I92),"MMM D, YYYY")),"")</f>
        <v/>
      </c>
    </row>
    <row r="93" ht="16" customHeight="1">
      <c r="A93" s="52" t="inlineStr">
        <is>
          <t xml:space="preserve">  Component Breakdown  (optional — use for multi-volume curricula)</t>
        </is>
      </c>
    </row>
    <row r="94" ht="22" customHeight="1">
      <c r="A94" s="28" t="inlineStr">
        <is>
          <t>#</t>
        </is>
      </c>
      <c r="B94" s="28" t="inlineStr">
        <is>
          <t>Book / Component Title</t>
        </is>
      </c>
      <c r="F94" s="28" t="inlineStr">
        <is>
          <t>Units</t>
        </is>
      </c>
      <c r="G94" s="28" t="inlineStr">
        <is>
          <t>Cumul.</t>
        </is>
      </c>
      <c r="H94" s="28" t="inlineStr">
        <is>
          <t>Start
Week</t>
        </is>
      </c>
      <c r="I94" s="28" t="inlineStr">
        <is>
          <t>End
Week</t>
        </is>
      </c>
      <c r="J94" s="28" t="inlineStr">
        <is>
          <t>Est. Dates</t>
        </is>
      </c>
    </row>
    <row r="95" ht="18" customHeight="1">
      <c r="A95" s="53" t="n">
        <v>1</v>
      </c>
      <c r="B95" s="5" t="n"/>
      <c r="F95" s="32" t="n"/>
      <c r="G95" s="17">
        <f>IFERROR(SUM(F95:F95),"")</f>
        <v/>
      </c>
      <c r="H95" s="17">
        <f>IF(F95="","",1)</f>
        <v/>
      </c>
      <c r="I95" s="17">
        <f>IFERROR(IF(F95="","",CEILING(G95/((IFERROR(B92,0)+IFERROR(G92,0))/(IFERROR('Getting Started'!C15,0)+IFERROR('Getting Started'!C23,0))),1)),"")</f>
        <v/>
      </c>
      <c r="J95" s="54">
        <f>IFERROR(IF(F95="","",TEXT('Getting Started'!C10+(H95-1)*7,"MMM D")&amp;" – "&amp;TEXT('Getting Started'!C10+I95*7,"MMM D")),"")</f>
        <v/>
      </c>
    </row>
    <row r="96" ht="18" customHeight="1">
      <c r="A96" s="53" t="n">
        <v>2</v>
      </c>
      <c r="B96" s="18" t="n"/>
      <c r="F96" s="55" t="n"/>
      <c r="G96" s="17">
        <f>IFERROR(SUM(F95:F96),"")</f>
        <v/>
      </c>
      <c r="H96" s="17">
        <f>IFERROR(IF(F96="","",FLOOR(G95/((IFERROR(B92,0)+IFERROR(G92,0))/(IFERROR('Getting Started'!C15,0)+IFERROR('Getting Started'!C23,0))),1)+1),"")</f>
        <v/>
      </c>
      <c r="I96" s="17">
        <f>IFERROR(IF(F96="","",CEILING(G96/((IFERROR(B92,0)+IFERROR(G92,0))/(IFERROR('Getting Started'!C15,0)+IFERROR('Getting Started'!C23,0))),1)),"")</f>
        <v/>
      </c>
      <c r="J96" s="54">
        <f>IFERROR(IF(F96="","",TEXT('Getting Started'!C10+(H96-1)*7,"MMM D")&amp;" – "&amp;TEXT('Getting Started'!C10+I96*7,"MMM D")),"")</f>
        <v/>
      </c>
    </row>
    <row r="97" ht="18" customHeight="1">
      <c r="A97" s="53" t="n">
        <v>3</v>
      </c>
      <c r="B97" s="5" t="n"/>
      <c r="F97" s="32" t="n"/>
      <c r="G97" s="17">
        <f>IFERROR(SUM(F95:F97),"")</f>
        <v/>
      </c>
      <c r="H97" s="17">
        <f>IFERROR(IF(F97="","",FLOOR(G96/((IFERROR(B92,0)+IFERROR(G92,0))/(IFERROR('Getting Started'!C15,0)+IFERROR('Getting Started'!C23,0))),1)+1),"")</f>
        <v/>
      </c>
      <c r="I97" s="17">
        <f>IFERROR(IF(F97="","",CEILING(G97/((IFERROR(B92,0)+IFERROR(G92,0))/(IFERROR('Getting Started'!C15,0)+IFERROR('Getting Started'!C23,0))),1)),"")</f>
        <v/>
      </c>
      <c r="J97" s="54">
        <f>IFERROR(IF(F97="","",TEXT('Getting Started'!C10+(H97-1)*7,"MMM D")&amp;" – "&amp;TEXT('Getting Started'!C10+I97*7,"MMM D")),"")</f>
        <v/>
      </c>
    </row>
    <row r="98" ht="18" customHeight="1">
      <c r="A98" s="53" t="n">
        <v>4</v>
      </c>
      <c r="B98" s="18" t="n"/>
      <c r="F98" s="55" t="n"/>
      <c r="G98" s="17">
        <f>IFERROR(SUM(F95:F98),"")</f>
        <v/>
      </c>
      <c r="H98" s="17">
        <f>IFERROR(IF(F98="","",FLOOR(G97/((IFERROR(B92,0)+IFERROR(G92,0))/(IFERROR('Getting Started'!C15,0)+IFERROR('Getting Started'!C23,0))),1)+1),"")</f>
        <v/>
      </c>
      <c r="I98" s="17">
        <f>IFERROR(IF(F98="","",CEILING(G98/((IFERROR(B92,0)+IFERROR(G92,0))/(IFERROR('Getting Started'!C15,0)+IFERROR('Getting Started'!C23,0))),1)),"")</f>
        <v/>
      </c>
      <c r="J98" s="54">
        <f>IFERROR(IF(F98="","",TEXT('Getting Started'!C10+(H98-1)*7,"MMM D")&amp;" – "&amp;TEXT('Getting Started'!C10+I98*7,"MMM D")),"")</f>
        <v/>
      </c>
    </row>
    <row r="99" ht="18" customHeight="1">
      <c r="A99" s="53" t="n">
        <v>5</v>
      </c>
      <c r="B99" s="5" t="n"/>
      <c r="F99" s="32" t="n"/>
      <c r="G99" s="17">
        <f>IFERROR(SUM(F95:F99),"")</f>
        <v/>
      </c>
      <c r="H99" s="17">
        <f>IFERROR(IF(F99="","",FLOOR(G98/((IFERROR(B92,0)+IFERROR(G92,0))/(IFERROR('Getting Started'!C15,0)+IFERROR('Getting Started'!C23,0))),1)+1),"")</f>
        <v/>
      </c>
      <c r="I99" s="17">
        <f>IFERROR(IF(F99="","",CEILING(G99/((IFERROR(B92,0)+IFERROR(G92,0))/(IFERROR('Getting Started'!C15,0)+IFERROR('Getting Started'!C23,0))),1)),"")</f>
        <v/>
      </c>
      <c r="J99" s="54">
        <f>IFERROR(IF(F99="","",TEXT('Getting Started'!C10+(H99-1)*7,"MMM D")&amp;" – "&amp;TEXT('Getting Started'!C10+I99*7,"MMM D")),"")</f>
        <v/>
      </c>
    </row>
    <row r="100" ht="18" customHeight="1">
      <c r="A100" s="53" t="n">
        <v>6</v>
      </c>
      <c r="B100" s="18" t="n"/>
      <c r="F100" s="55" t="n"/>
      <c r="G100" s="17">
        <f>IFERROR(SUM(F95:F100),"")</f>
        <v/>
      </c>
      <c r="H100" s="17">
        <f>IFERROR(IF(F100="","",FLOOR(G99/((IFERROR(B92,0)+IFERROR(G92,0))/(IFERROR('Getting Started'!C15,0)+IFERROR('Getting Started'!C23,0))),1)+1),"")</f>
        <v/>
      </c>
      <c r="I100" s="17">
        <f>IFERROR(IF(F100="","",CEILING(G100/((IFERROR(B92,0)+IFERROR(G92,0))/(IFERROR('Getting Started'!C15,0)+IFERROR('Getting Started'!C23,0))),1)),"")</f>
        <v/>
      </c>
      <c r="J100" s="54">
        <f>IFERROR(IF(F100="","",TEXT('Getting Started'!C10+(H100-1)*7,"MMM D")&amp;" – "&amp;TEXT('Getting Started'!C10+I100*7,"MMM D")),"")</f>
        <v/>
      </c>
    </row>
    <row r="101" ht="20" customHeight="1">
      <c r="A101" s="56">
        <f>IFERROR(IF('Course Content'!I29="","",'Course Content'!I29),"")</f>
        <v/>
      </c>
    </row>
    <row r="102" ht="8" customHeight="1"/>
    <row r="103" ht="24" customHeight="1">
      <c r="A103" s="44" t="inlineStr">
        <is>
          <t xml:space="preserve">  PHYSICAL EDUCATION</t>
        </is>
      </c>
      <c r="E103" s="45">
        <f>IFERROR(IF('Course Content'!E30="","← enter on Course Content tab",'Course Content'!E30),"")</f>
        <v/>
      </c>
    </row>
    <row r="104" ht="22" customHeight="1">
      <c r="B104" s="46">
        <f>'Course Content'!G30</f>
        <v/>
      </c>
      <c r="C104" s="47">
        <f>IFERROR(IF(B104="","",ROUND(B104/'Getting Started'!C15,1)),"")</f>
        <v/>
      </c>
      <c r="D104" s="47">
        <f>IFERROR(IF(C104="","",ROUND(C104/'Getting Started'!C7,1)),"")</f>
        <v/>
      </c>
      <c r="E104" s="48">
        <f>IFERROR(IF(B104="","",TEXT('Getting Started'!C10+(B104/D104),"MMM D, YYYY")),"")</f>
        <v/>
      </c>
      <c r="F104" s="39" t="n"/>
      <c r="G104" s="49">
        <f>'Course Content'!H30</f>
        <v/>
      </c>
      <c r="H104" s="50">
        <f>IFERROR(IF(G104="","",ROUND(G104/'Getting Started'!C23,1)),"")</f>
        <v/>
      </c>
      <c r="I104" s="50">
        <f>IFERROR(IF(H104="","",ROUND(H104/'Getting Started'!C7,1)),"")</f>
        <v/>
      </c>
      <c r="J104" s="51">
        <f>IFERROR(IF(G104="","",TEXT('Getting Started'!C18+(G104/I104),"MMM D, YYYY")),"")</f>
        <v/>
      </c>
    </row>
    <row r="105" ht="16" customHeight="1">
      <c r="A105" s="52" t="inlineStr">
        <is>
          <t xml:space="preserve">  Component Breakdown  (optional — use for multi-volume curricula)</t>
        </is>
      </c>
    </row>
    <row r="106" ht="22" customHeight="1">
      <c r="A106" s="28" t="inlineStr">
        <is>
          <t>#</t>
        </is>
      </c>
      <c r="B106" s="28" t="inlineStr">
        <is>
          <t>Book / Component Title</t>
        </is>
      </c>
      <c r="F106" s="28" t="inlineStr">
        <is>
          <t>Units</t>
        </is>
      </c>
      <c r="G106" s="28" t="inlineStr">
        <is>
          <t>Cumul.</t>
        </is>
      </c>
      <c r="H106" s="28" t="inlineStr">
        <is>
          <t>Start
Week</t>
        </is>
      </c>
      <c r="I106" s="28" t="inlineStr">
        <is>
          <t>End
Week</t>
        </is>
      </c>
      <c r="J106" s="28" t="inlineStr">
        <is>
          <t>Est. Dates</t>
        </is>
      </c>
    </row>
    <row r="107" ht="18" customHeight="1">
      <c r="A107" s="53" t="n">
        <v>1</v>
      </c>
      <c r="B107" s="5" t="n"/>
      <c r="F107" s="32" t="n"/>
      <c r="G107" s="17">
        <f>IFERROR(SUM(F107:F107),"")</f>
        <v/>
      </c>
      <c r="H107" s="17">
        <f>IF(F107="","",1)</f>
        <v/>
      </c>
      <c r="I107" s="17">
        <f>IFERROR(IF(F107="","",CEILING(G107/((IFERROR(B104,0)+IFERROR(G104,0))/(IFERROR('Getting Started'!C15,0)+IFERROR('Getting Started'!C23,0))),1)),"")</f>
        <v/>
      </c>
      <c r="J107" s="54">
        <f>IFERROR(IF(F107="","",TEXT('Getting Started'!C10+(H107-1)*7,"MMM D")&amp;" – "&amp;TEXT('Getting Started'!C10+I107*7,"MMM D")),"")</f>
        <v/>
      </c>
    </row>
    <row r="108" ht="18" customHeight="1">
      <c r="A108" s="53" t="n">
        <v>2</v>
      </c>
      <c r="B108" s="18" t="n"/>
      <c r="F108" s="55" t="n"/>
      <c r="G108" s="17">
        <f>IFERROR(SUM(F107:F108),"")</f>
        <v/>
      </c>
      <c r="H108" s="17">
        <f>IFERROR(IF(F108="","",FLOOR(G107/((IFERROR(B104,0)+IFERROR(G104,0))/(IFERROR('Getting Started'!C15,0)+IFERROR('Getting Started'!C23,0))),1)+1),"")</f>
        <v/>
      </c>
      <c r="I108" s="17">
        <f>IFERROR(IF(F108="","",CEILING(G108/((IFERROR(B104,0)+IFERROR(G104,0))/(IFERROR('Getting Started'!C15,0)+IFERROR('Getting Started'!C23,0))),1)),"")</f>
        <v/>
      </c>
      <c r="J108" s="54">
        <f>IFERROR(IF(F108="","",TEXT('Getting Started'!C10+(H108-1)*7,"MMM D")&amp;" – "&amp;TEXT('Getting Started'!C10+I108*7,"MMM D")),"")</f>
        <v/>
      </c>
    </row>
    <row r="109" ht="18" customHeight="1">
      <c r="A109" s="53" t="n">
        <v>3</v>
      </c>
      <c r="B109" s="5" t="n"/>
      <c r="F109" s="32" t="n"/>
      <c r="G109" s="17">
        <f>IFERROR(SUM(F107:F109),"")</f>
        <v/>
      </c>
      <c r="H109" s="17">
        <f>IFERROR(IF(F109="","",FLOOR(G108/((IFERROR(B104,0)+IFERROR(G104,0))/(IFERROR('Getting Started'!C15,0)+IFERROR('Getting Started'!C23,0))),1)+1),"")</f>
        <v/>
      </c>
      <c r="I109" s="17">
        <f>IFERROR(IF(F109="","",CEILING(G109/((IFERROR(B104,0)+IFERROR(G104,0))/(IFERROR('Getting Started'!C15,0)+IFERROR('Getting Started'!C23,0))),1)),"")</f>
        <v/>
      </c>
      <c r="J109" s="54">
        <f>IFERROR(IF(F109="","",TEXT('Getting Started'!C10+(H109-1)*7,"MMM D")&amp;" – "&amp;TEXT('Getting Started'!C10+I109*7,"MMM D")),"")</f>
        <v/>
      </c>
    </row>
    <row r="110" ht="18" customHeight="1">
      <c r="A110" s="53" t="n">
        <v>4</v>
      </c>
      <c r="B110" s="18" t="n"/>
      <c r="F110" s="55" t="n"/>
      <c r="G110" s="17">
        <f>IFERROR(SUM(F107:F110),"")</f>
        <v/>
      </c>
      <c r="H110" s="17">
        <f>IFERROR(IF(F110="","",FLOOR(G109/((IFERROR(B104,0)+IFERROR(G104,0))/(IFERROR('Getting Started'!C15,0)+IFERROR('Getting Started'!C23,0))),1)+1),"")</f>
        <v/>
      </c>
      <c r="I110" s="17">
        <f>IFERROR(IF(F110="","",CEILING(G110/((IFERROR(B104,0)+IFERROR(G104,0))/(IFERROR('Getting Started'!C15,0)+IFERROR('Getting Started'!C23,0))),1)),"")</f>
        <v/>
      </c>
      <c r="J110" s="54">
        <f>IFERROR(IF(F110="","",TEXT('Getting Started'!C10+(H110-1)*7,"MMM D")&amp;" – "&amp;TEXT('Getting Started'!C10+I110*7,"MMM D")),"")</f>
        <v/>
      </c>
    </row>
    <row r="111" ht="18" customHeight="1">
      <c r="A111" s="53" t="n">
        <v>5</v>
      </c>
      <c r="B111" s="5" t="n"/>
      <c r="F111" s="32" t="n"/>
      <c r="G111" s="17">
        <f>IFERROR(SUM(F107:F111),"")</f>
        <v/>
      </c>
      <c r="H111" s="17">
        <f>IFERROR(IF(F111="","",FLOOR(G110/((IFERROR(B104,0)+IFERROR(G104,0))/(IFERROR('Getting Started'!C15,0)+IFERROR('Getting Started'!C23,0))),1)+1),"")</f>
        <v/>
      </c>
      <c r="I111" s="17">
        <f>IFERROR(IF(F111="","",CEILING(G111/((IFERROR(B104,0)+IFERROR(G104,0))/(IFERROR('Getting Started'!C15,0)+IFERROR('Getting Started'!C23,0))),1)),"")</f>
        <v/>
      </c>
      <c r="J111" s="54">
        <f>IFERROR(IF(F111="","",TEXT('Getting Started'!C10+(H111-1)*7,"MMM D")&amp;" – "&amp;TEXT('Getting Started'!C10+I111*7,"MMM D")),"")</f>
        <v/>
      </c>
    </row>
    <row r="112" ht="18" customHeight="1">
      <c r="A112" s="53" t="n">
        <v>6</v>
      </c>
      <c r="B112" s="18" t="n"/>
      <c r="F112" s="55" t="n"/>
      <c r="G112" s="17">
        <f>IFERROR(SUM(F107:F112),"")</f>
        <v/>
      </c>
      <c r="H112" s="17">
        <f>IFERROR(IF(F112="","",FLOOR(G111/((IFERROR(B104,0)+IFERROR(G104,0))/(IFERROR('Getting Started'!C15,0)+IFERROR('Getting Started'!C23,0))),1)+1),"")</f>
        <v/>
      </c>
      <c r="I112" s="17">
        <f>IFERROR(IF(F112="","",CEILING(G112/((IFERROR(B104,0)+IFERROR(G104,0))/(IFERROR('Getting Started'!C15,0)+IFERROR('Getting Started'!C23,0))),1)),"")</f>
        <v/>
      </c>
      <c r="J112" s="54">
        <f>IFERROR(IF(F112="","",TEXT('Getting Started'!C10+(H112-1)*7,"MMM D")&amp;" – "&amp;TEXT('Getting Started'!C10+I112*7,"MMM D")),"")</f>
        <v/>
      </c>
    </row>
    <row r="113" ht="20" customHeight="1">
      <c r="A113" s="56">
        <f>IFERROR(IF('Course Content'!I30="","",'Course Content'!I30),"")</f>
        <v/>
      </c>
    </row>
    <row r="114" ht="8" customHeight="1"/>
    <row r="115" ht="24" customHeight="1">
      <c r="A115" s="44" t="inlineStr">
        <is>
          <t xml:space="preserve">  ART / MUSIC</t>
        </is>
      </c>
      <c r="E115" s="45">
        <f>IFERROR(IF('Course Content'!E31="","← enter on Course Content tab",'Course Content'!E31),"")</f>
        <v/>
      </c>
    </row>
    <row r="116" ht="22" customHeight="1">
      <c r="B116" s="46">
        <f>'Course Content'!G31</f>
        <v/>
      </c>
      <c r="C116" s="47">
        <f>IFERROR(IF(B116="","",ROUND(B116/'Getting Started'!C15,1)),"")</f>
        <v/>
      </c>
      <c r="D116" s="47">
        <f>IFERROR(IF(C116="","",ROUND(C116/'Getting Started'!C7,1)),"")</f>
        <v/>
      </c>
      <c r="E116" s="48">
        <f>IFERROR(IF(B116="","",TEXT('Getting Started'!C10+(B116/D116),"MMM D, YYYY")),"")</f>
        <v/>
      </c>
      <c r="F116" s="39" t="n"/>
      <c r="G116" s="49">
        <f>'Course Content'!H31</f>
        <v/>
      </c>
      <c r="H116" s="50">
        <f>IFERROR(IF(G116="","",ROUND(G116/'Getting Started'!C23,1)),"")</f>
        <v/>
      </c>
      <c r="I116" s="50">
        <f>IFERROR(IF(H116="","",ROUND(H116/'Getting Started'!C7,1)),"")</f>
        <v/>
      </c>
      <c r="J116" s="51">
        <f>IFERROR(IF(G116="","",TEXT('Getting Started'!C18+(G116/I116),"MMM D, YYYY")),"")</f>
        <v/>
      </c>
    </row>
    <row r="117" ht="16" customHeight="1">
      <c r="A117" s="52" t="inlineStr">
        <is>
          <t xml:space="preserve">  Component Breakdown  (optional — use for multi-volume curricula)</t>
        </is>
      </c>
    </row>
    <row r="118" ht="22" customHeight="1">
      <c r="A118" s="28" t="inlineStr">
        <is>
          <t>#</t>
        </is>
      </c>
      <c r="B118" s="28" t="inlineStr">
        <is>
          <t>Book / Component Title</t>
        </is>
      </c>
      <c r="F118" s="28" t="inlineStr">
        <is>
          <t>Units</t>
        </is>
      </c>
      <c r="G118" s="28" t="inlineStr">
        <is>
          <t>Cumul.</t>
        </is>
      </c>
      <c r="H118" s="28" t="inlineStr">
        <is>
          <t>Start
Week</t>
        </is>
      </c>
      <c r="I118" s="28" t="inlineStr">
        <is>
          <t>End
Week</t>
        </is>
      </c>
      <c r="J118" s="28" t="inlineStr">
        <is>
          <t>Est. Dates</t>
        </is>
      </c>
    </row>
    <row r="119" ht="18" customHeight="1">
      <c r="A119" s="53" t="n">
        <v>1</v>
      </c>
      <c r="B119" s="5" t="n"/>
      <c r="F119" s="32" t="n"/>
      <c r="G119" s="17">
        <f>IFERROR(SUM(F119:F119),"")</f>
        <v/>
      </c>
      <c r="H119" s="17">
        <f>IF(F119="","",1)</f>
        <v/>
      </c>
      <c r="I119" s="17">
        <f>IFERROR(IF(F119="","",CEILING(G119/((IFERROR(B116,0)+IFERROR(G116,0))/(IFERROR('Getting Started'!C15,0)+IFERROR('Getting Started'!C23,0))),1)),"")</f>
        <v/>
      </c>
      <c r="J119" s="54">
        <f>IFERROR(IF(F119="","",TEXT('Getting Started'!C10+(H119-1)*7,"MMM D")&amp;" – "&amp;TEXT('Getting Started'!C10+I119*7,"MMM D")),"")</f>
        <v/>
      </c>
    </row>
    <row r="120" ht="18" customHeight="1">
      <c r="A120" s="53" t="n">
        <v>2</v>
      </c>
      <c r="B120" s="18" t="n"/>
      <c r="F120" s="55" t="n"/>
      <c r="G120" s="17">
        <f>IFERROR(SUM(F119:F120),"")</f>
        <v/>
      </c>
      <c r="H120" s="17">
        <f>IFERROR(IF(F120="","",FLOOR(G119/((IFERROR(B116,0)+IFERROR(G116,0))/(IFERROR('Getting Started'!C15,0)+IFERROR('Getting Started'!C23,0))),1)+1),"")</f>
        <v/>
      </c>
      <c r="I120" s="17">
        <f>IFERROR(IF(F120="","",CEILING(G120/((IFERROR(B116,0)+IFERROR(G116,0))/(IFERROR('Getting Started'!C15,0)+IFERROR('Getting Started'!C23,0))),1)),"")</f>
        <v/>
      </c>
      <c r="J120" s="54">
        <f>IFERROR(IF(F120="","",TEXT('Getting Started'!C10+(H120-1)*7,"MMM D")&amp;" – "&amp;TEXT('Getting Started'!C10+I120*7,"MMM D")),"")</f>
        <v/>
      </c>
    </row>
    <row r="121" ht="18" customHeight="1">
      <c r="A121" s="53" t="n">
        <v>3</v>
      </c>
      <c r="B121" s="5" t="n"/>
      <c r="F121" s="32" t="n"/>
      <c r="G121" s="17">
        <f>IFERROR(SUM(F119:F121),"")</f>
        <v/>
      </c>
      <c r="H121" s="17">
        <f>IFERROR(IF(F121="","",FLOOR(G120/((IFERROR(B116,0)+IFERROR(G116,0))/(IFERROR('Getting Started'!C15,0)+IFERROR('Getting Started'!C23,0))),1)+1),"")</f>
        <v/>
      </c>
      <c r="I121" s="17">
        <f>IFERROR(IF(F121="","",CEILING(G121/((IFERROR(B116,0)+IFERROR(G116,0))/(IFERROR('Getting Started'!C15,0)+IFERROR('Getting Started'!C23,0))),1)),"")</f>
        <v/>
      </c>
      <c r="J121" s="54">
        <f>IFERROR(IF(F121="","",TEXT('Getting Started'!C10+(H121-1)*7,"MMM D")&amp;" – "&amp;TEXT('Getting Started'!C10+I121*7,"MMM D")),"")</f>
        <v/>
      </c>
    </row>
    <row r="122" ht="18" customHeight="1">
      <c r="A122" s="53" t="n">
        <v>4</v>
      </c>
      <c r="B122" s="18" t="n"/>
      <c r="F122" s="55" t="n"/>
      <c r="G122" s="17">
        <f>IFERROR(SUM(F119:F122),"")</f>
        <v/>
      </c>
      <c r="H122" s="17">
        <f>IFERROR(IF(F122="","",FLOOR(G121/((IFERROR(B116,0)+IFERROR(G116,0))/(IFERROR('Getting Started'!C15,0)+IFERROR('Getting Started'!C23,0))),1)+1),"")</f>
        <v/>
      </c>
      <c r="I122" s="17">
        <f>IFERROR(IF(F122="","",CEILING(G122/((IFERROR(B116,0)+IFERROR(G116,0))/(IFERROR('Getting Started'!C15,0)+IFERROR('Getting Started'!C23,0))),1)),"")</f>
        <v/>
      </c>
      <c r="J122" s="54">
        <f>IFERROR(IF(F122="","",TEXT('Getting Started'!C10+(H122-1)*7,"MMM D")&amp;" – "&amp;TEXT('Getting Started'!C10+I122*7,"MMM D")),"")</f>
        <v/>
      </c>
    </row>
    <row r="123" ht="18" customHeight="1">
      <c r="A123" s="53" t="n">
        <v>5</v>
      </c>
      <c r="B123" s="5" t="n"/>
      <c r="F123" s="32" t="n"/>
      <c r="G123" s="17">
        <f>IFERROR(SUM(F119:F123),"")</f>
        <v/>
      </c>
      <c r="H123" s="17">
        <f>IFERROR(IF(F123="","",FLOOR(G122/((IFERROR(B116,0)+IFERROR(G116,0))/(IFERROR('Getting Started'!C15,0)+IFERROR('Getting Started'!C23,0))),1)+1),"")</f>
        <v/>
      </c>
      <c r="I123" s="17">
        <f>IFERROR(IF(F123="","",CEILING(G123/((IFERROR(B116,0)+IFERROR(G116,0))/(IFERROR('Getting Started'!C15,0)+IFERROR('Getting Started'!C23,0))),1)),"")</f>
        <v/>
      </c>
      <c r="J123" s="54">
        <f>IFERROR(IF(F123="","",TEXT('Getting Started'!C10+(H123-1)*7,"MMM D")&amp;" – "&amp;TEXT('Getting Started'!C10+I123*7,"MMM D")),"")</f>
        <v/>
      </c>
    </row>
    <row r="124" ht="18" customHeight="1">
      <c r="A124" s="53" t="n">
        <v>6</v>
      </c>
      <c r="B124" s="18" t="n"/>
      <c r="F124" s="55" t="n"/>
      <c r="G124" s="17">
        <f>IFERROR(SUM(F119:F124),"")</f>
        <v/>
      </c>
      <c r="H124" s="17">
        <f>IFERROR(IF(F124="","",FLOOR(G123/((IFERROR(B116,0)+IFERROR(G116,0))/(IFERROR('Getting Started'!C15,0)+IFERROR('Getting Started'!C23,0))),1)+1),"")</f>
        <v/>
      </c>
      <c r="I124" s="17">
        <f>IFERROR(IF(F124="","",CEILING(G124/((IFERROR(B116,0)+IFERROR(G116,0))/(IFERROR('Getting Started'!C15,0)+IFERROR('Getting Started'!C23,0))),1)),"")</f>
        <v/>
      </c>
      <c r="J124" s="54">
        <f>IFERROR(IF(F124="","",TEXT('Getting Started'!C10+(H124-1)*7,"MMM D")&amp;" – "&amp;TEXT('Getting Started'!C10+I124*7,"MMM D")),"")</f>
        <v/>
      </c>
    </row>
    <row r="125" ht="20" customHeight="1">
      <c r="A125" s="56">
        <f>IFERROR(IF('Course Content'!I31="","",'Course Content'!I31),"")</f>
        <v/>
      </c>
    </row>
    <row r="126" ht="8" customHeight="1"/>
    <row r="127" ht="24" customHeight="1">
      <c r="A127" s="44">
        <f>IF('Course Content'!D32="","  ELECTIVE / OTHER 1","  "&amp;UPPER('Course Content'!D32))</f>
        <v/>
      </c>
      <c r="E127" s="45">
        <f>IFERROR(IF('Course Content'!E32="","← enter on Course Content tab",'Course Content'!E32),"")</f>
        <v/>
      </c>
    </row>
    <row r="128" ht="22" customHeight="1">
      <c r="B128" s="46">
        <f>'Course Content'!G32</f>
        <v/>
      </c>
      <c r="C128" s="47">
        <f>IFERROR(IF(B128="","",ROUND(B128/'Getting Started'!C15,1)),"")</f>
        <v/>
      </c>
      <c r="D128" s="47">
        <f>IFERROR(IF(C128="","",ROUND(C128/'Getting Started'!C7,1)),"")</f>
        <v/>
      </c>
      <c r="E128" s="48">
        <f>IFERROR(IF(B128="","",TEXT('Getting Started'!C10+(B128/D128),"MMM D, YYYY")),"")</f>
        <v/>
      </c>
      <c r="F128" s="39" t="n"/>
      <c r="G128" s="49">
        <f>'Course Content'!H32</f>
        <v/>
      </c>
      <c r="H128" s="50">
        <f>IFERROR(IF(G128="","",ROUND(G128/'Getting Started'!C23,1)),"")</f>
        <v/>
      </c>
      <c r="I128" s="50">
        <f>IFERROR(IF(H128="","",ROUND(H128/'Getting Started'!C7,1)),"")</f>
        <v/>
      </c>
      <c r="J128" s="51">
        <f>IFERROR(IF(G128="","",TEXT('Getting Started'!C18+(G128/I128),"MMM D, YYYY")),"")</f>
        <v/>
      </c>
    </row>
    <row r="129" ht="16" customHeight="1">
      <c r="A129" s="52" t="inlineStr">
        <is>
          <t xml:space="preserve">  Component Breakdown  (optional — use for multi-volume curricula)</t>
        </is>
      </c>
    </row>
    <row r="130" ht="22" customHeight="1">
      <c r="A130" s="28" t="inlineStr">
        <is>
          <t>#</t>
        </is>
      </c>
      <c r="B130" s="28" t="inlineStr">
        <is>
          <t>Book / Component Title</t>
        </is>
      </c>
      <c r="F130" s="28" t="inlineStr">
        <is>
          <t>Units</t>
        </is>
      </c>
      <c r="G130" s="28" t="inlineStr">
        <is>
          <t>Cumul.</t>
        </is>
      </c>
      <c r="H130" s="28" t="inlineStr">
        <is>
          <t>Start
Week</t>
        </is>
      </c>
      <c r="I130" s="28" t="inlineStr">
        <is>
          <t>End
Week</t>
        </is>
      </c>
      <c r="J130" s="28" t="inlineStr">
        <is>
          <t>Est. Dates</t>
        </is>
      </c>
    </row>
    <row r="131" ht="18" customHeight="1">
      <c r="A131" s="53" t="n">
        <v>1</v>
      </c>
      <c r="B131" s="5" t="n"/>
      <c r="F131" s="32" t="n"/>
      <c r="G131" s="17">
        <f>IFERROR(SUM(F131:F131),"")</f>
        <v/>
      </c>
      <c r="H131" s="17">
        <f>IF(F131="","",1)</f>
        <v/>
      </c>
      <c r="I131" s="17">
        <f>IFERROR(IF(F131="","",CEILING(G131/((IFERROR(B128,0)+IFERROR(G128,0))/(IFERROR('Getting Started'!C15,0)+IFERROR('Getting Started'!C23,0))),1)),"")</f>
        <v/>
      </c>
      <c r="J131" s="54">
        <f>IFERROR(IF(F131="","",TEXT('Getting Started'!C10+(H131-1)*7,"MMM D")&amp;" – "&amp;TEXT('Getting Started'!C10+I131*7,"MMM D")),"")</f>
        <v/>
      </c>
    </row>
    <row r="132" ht="18" customHeight="1">
      <c r="A132" s="53" t="n">
        <v>2</v>
      </c>
      <c r="B132" s="18" t="n"/>
      <c r="F132" s="55" t="n"/>
      <c r="G132" s="17">
        <f>IFERROR(SUM(F131:F132),"")</f>
        <v/>
      </c>
      <c r="H132" s="17">
        <f>IFERROR(IF(F132="","",FLOOR(G131/((IFERROR(B128,0)+IFERROR(G128,0))/(IFERROR('Getting Started'!C15,0)+IFERROR('Getting Started'!C23,0))),1)+1),"")</f>
        <v/>
      </c>
      <c r="I132" s="17">
        <f>IFERROR(IF(F132="","",CEILING(G132/((IFERROR(B128,0)+IFERROR(G128,0))/(IFERROR('Getting Started'!C15,0)+IFERROR('Getting Started'!C23,0))),1)),"")</f>
        <v/>
      </c>
      <c r="J132" s="54">
        <f>IFERROR(IF(F132="","",TEXT('Getting Started'!C10+(H132-1)*7,"MMM D")&amp;" – "&amp;TEXT('Getting Started'!C10+I132*7,"MMM D")),"")</f>
        <v/>
      </c>
    </row>
    <row r="133" ht="18" customHeight="1">
      <c r="A133" s="53" t="n">
        <v>3</v>
      </c>
      <c r="B133" s="5" t="n"/>
      <c r="F133" s="32" t="n"/>
      <c r="G133" s="17">
        <f>IFERROR(SUM(F131:F133),"")</f>
        <v/>
      </c>
      <c r="H133" s="17">
        <f>IFERROR(IF(F133="","",FLOOR(G132/((IFERROR(B128,0)+IFERROR(G128,0))/(IFERROR('Getting Started'!C15,0)+IFERROR('Getting Started'!C23,0))),1)+1),"")</f>
        <v/>
      </c>
      <c r="I133" s="17">
        <f>IFERROR(IF(F133="","",CEILING(G133/((IFERROR(B128,0)+IFERROR(G128,0))/(IFERROR('Getting Started'!C15,0)+IFERROR('Getting Started'!C23,0))),1)),"")</f>
        <v/>
      </c>
      <c r="J133" s="54">
        <f>IFERROR(IF(F133="","",TEXT('Getting Started'!C10+(H133-1)*7,"MMM D")&amp;" – "&amp;TEXT('Getting Started'!C10+I133*7,"MMM D")),"")</f>
        <v/>
      </c>
    </row>
    <row r="134" ht="18" customHeight="1">
      <c r="A134" s="53" t="n">
        <v>4</v>
      </c>
      <c r="B134" s="18" t="n"/>
      <c r="F134" s="55" t="n"/>
      <c r="G134" s="17">
        <f>IFERROR(SUM(F131:F134),"")</f>
        <v/>
      </c>
      <c r="H134" s="17">
        <f>IFERROR(IF(F134="","",FLOOR(G133/((IFERROR(B128,0)+IFERROR(G128,0))/(IFERROR('Getting Started'!C15,0)+IFERROR('Getting Started'!C23,0))),1)+1),"")</f>
        <v/>
      </c>
      <c r="I134" s="17">
        <f>IFERROR(IF(F134="","",CEILING(G134/((IFERROR(B128,0)+IFERROR(G128,0))/(IFERROR('Getting Started'!C15,0)+IFERROR('Getting Started'!C23,0))),1)),"")</f>
        <v/>
      </c>
      <c r="J134" s="54">
        <f>IFERROR(IF(F134="","",TEXT('Getting Started'!C10+(H134-1)*7,"MMM D")&amp;" – "&amp;TEXT('Getting Started'!C10+I134*7,"MMM D")),"")</f>
        <v/>
      </c>
    </row>
    <row r="135" ht="18" customHeight="1">
      <c r="A135" s="53" t="n">
        <v>5</v>
      </c>
      <c r="B135" s="5" t="n"/>
      <c r="F135" s="32" t="n"/>
      <c r="G135" s="17">
        <f>IFERROR(SUM(F131:F135),"")</f>
        <v/>
      </c>
      <c r="H135" s="17">
        <f>IFERROR(IF(F135="","",FLOOR(G134/((IFERROR(B128,0)+IFERROR(G128,0))/(IFERROR('Getting Started'!C15,0)+IFERROR('Getting Started'!C23,0))),1)+1),"")</f>
        <v/>
      </c>
      <c r="I135" s="17">
        <f>IFERROR(IF(F135="","",CEILING(G135/((IFERROR(B128,0)+IFERROR(G128,0))/(IFERROR('Getting Started'!C15,0)+IFERROR('Getting Started'!C23,0))),1)),"")</f>
        <v/>
      </c>
      <c r="J135" s="54">
        <f>IFERROR(IF(F135="","",TEXT('Getting Started'!C10+(H135-1)*7,"MMM D")&amp;" – "&amp;TEXT('Getting Started'!C10+I135*7,"MMM D")),"")</f>
        <v/>
      </c>
    </row>
    <row r="136" ht="18" customHeight="1">
      <c r="A136" s="53" t="n">
        <v>6</v>
      </c>
      <c r="B136" s="18" t="n"/>
      <c r="F136" s="55" t="n"/>
      <c r="G136" s="17">
        <f>IFERROR(SUM(F131:F136),"")</f>
        <v/>
      </c>
      <c r="H136" s="17">
        <f>IFERROR(IF(F136="","",FLOOR(G135/((IFERROR(B128,0)+IFERROR(G128,0))/(IFERROR('Getting Started'!C15,0)+IFERROR('Getting Started'!C23,0))),1)+1),"")</f>
        <v/>
      </c>
      <c r="I136" s="17">
        <f>IFERROR(IF(F136="","",CEILING(G136/((IFERROR(B128,0)+IFERROR(G128,0))/(IFERROR('Getting Started'!C15,0)+IFERROR('Getting Started'!C23,0))),1)),"")</f>
        <v/>
      </c>
      <c r="J136" s="54">
        <f>IFERROR(IF(F136="","",TEXT('Getting Started'!C10+(H136-1)*7,"MMM D")&amp;" – "&amp;TEXT('Getting Started'!C10+I136*7,"MMM D")),"")</f>
        <v/>
      </c>
    </row>
    <row r="137" ht="20" customHeight="1">
      <c r="A137" s="56">
        <f>IFERROR(IF('Course Content'!I32="","",'Course Content'!I32),"")</f>
        <v/>
      </c>
    </row>
    <row r="138" ht="8" customHeight="1"/>
    <row r="139" ht="24" customHeight="1">
      <c r="A139" s="44">
        <f>IF('Course Content'!D33="","  ELECTIVE / OTHER 2","  "&amp;UPPER('Course Content'!D33))</f>
        <v/>
      </c>
      <c r="E139" s="45">
        <f>IFERROR(IF('Course Content'!E33="","← enter on Course Content tab",'Course Content'!E33),"")</f>
        <v/>
      </c>
    </row>
    <row r="140" ht="22" customHeight="1">
      <c r="B140" s="46">
        <f>'Course Content'!G33</f>
        <v/>
      </c>
      <c r="C140" s="47">
        <f>IFERROR(IF(B140="","",ROUND(B140/'Getting Started'!C15,1)),"")</f>
        <v/>
      </c>
      <c r="D140" s="47">
        <f>IFERROR(IF(C140="","",ROUND(C140/'Getting Started'!C7,1)),"")</f>
        <v/>
      </c>
      <c r="E140" s="48">
        <f>IFERROR(IF(B140="","",TEXT('Getting Started'!C10+(B140/D140),"MMM D, YYYY")),"")</f>
        <v/>
      </c>
      <c r="F140" s="39" t="n"/>
      <c r="G140" s="49">
        <f>'Course Content'!H33</f>
        <v/>
      </c>
      <c r="H140" s="50">
        <f>IFERROR(IF(G140="","",ROUND(G140/'Getting Started'!C23,1)),"")</f>
        <v/>
      </c>
      <c r="I140" s="50">
        <f>IFERROR(IF(H140="","",ROUND(H140/'Getting Started'!C7,1)),"")</f>
        <v/>
      </c>
      <c r="J140" s="51">
        <f>IFERROR(IF(G140="","",TEXT('Getting Started'!C18+(G140/I140),"MMM D, YYYY")),"")</f>
        <v/>
      </c>
    </row>
    <row r="141" ht="16" customHeight="1">
      <c r="A141" s="52" t="inlineStr">
        <is>
          <t xml:space="preserve">  Component Breakdown  (optional — use for multi-volume curricula)</t>
        </is>
      </c>
    </row>
    <row r="142" ht="22" customHeight="1">
      <c r="A142" s="28" t="inlineStr">
        <is>
          <t>#</t>
        </is>
      </c>
      <c r="B142" s="28" t="inlineStr">
        <is>
          <t>Book / Component Title</t>
        </is>
      </c>
      <c r="F142" s="28" t="inlineStr">
        <is>
          <t>Units</t>
        </is>
      </c>
      <c r="G142" s="28" t="inlineStr">
        <is>
          <t>Cumul.</t>
        </is>
      </c>
      <c r="H142" s="28" t="inlineStr">
        <is>
          <t>Start
Week</t>
        </is>
      </c>
      <c r="I142" s="28" t="inlineStr">
        <is>
          <t>End
Week</t>
        </is>
      </c>
      <c r="J142" s="28" t="inlineStr">
        <is>
          <t>Est. Dates</t>
        </is>
      </c>
    </row>
    <row r="143" ht="18" customHeight="1">
      <c r="A143" s="53" t="n">
        <v>1</v>
      </c>
      <c r="B143" s="5" t="n"/>
      <c r="F143" s="32" t="n"/>
      <c r="G143" s="17">
        <f>IFERROR(SUM(F143:F143),"")</f>
        <v/>
      </c>
      <c r="H143" s="17">
        <f>IF(F143="","",1)</f>
        <v/>
      </c>
      <c r="I143" s="17">
        <f>IFERROR(IF(F143="","",CEILING(G143/((IFERROR(B140,0)+IFERROR(G140,0))/(IFERROR('Getting Started'!C15,0)+IFERROR('Getting Started'!C23,0))),1)),"")</f>
        <v/>
      </c>
      <c r="J143" s="54">
        <f>IFERROR(IF(F143="","",TEXT('Getting Started'!C10+(H143-1)*7,"MMM D")&amp;" – "&amp;TEXT('Getting Started'!C10+I143*7,"MMM D")),"")</f>
        <v/>
      </c>
    </row>
    <row r="144" ht="18" customHeight="1">
      <c r="A144" s="53" t="n">
        <v>2</v>
      </c>
      <c r="B144" s="18" t="n"/>
      <c r="F144" s="55" t="n"/>
      <c r="G144" s="17">
        <f>IFERROR(SUM(F143:F144),"")</f>
        <v/>
      </c>
      <c r="H144" s="17">
        <f>IFERROR(IF(F144="","",FLOOR(G143/((IFERROR(B140,0)+IFERROR(G140,0))/(IFERROR('Getting Started'!C15,0)+IFERROR('Getting Started'!C23,0))),1)+1),"")</f>
        <v/>
      </c>
      <c r="I144" s="17">
        <f>IFERROR(IF(F144="","",CEILING(G144/((IFERROR(B140,0)+IFERROR(G140,0))/(IFERROR('Getting Started'!C15,0)+IFERROR('Getting Started'!C23,0))),1)),"")</f>
        <v/>
      </c>
      <c r="J144" s="54">
        <f>IFERROR(IF(F144="","",TEXT('Getting Started'!C10+(H144-1)*7,"MMM D")&amp;" – "&amp;TEXT('Getting Started'!C10+I144*7,"MMM D")),"")</f>
        <v/>
      </c>
    </row>
    <row r="145" ht="18" customHeight="1">
      <c r="A145" s="53" t="n">
        <v>3</v>
      </c>
      <c r="B145" s="5" t="n"/>
      <c r="F145" s="32" t="n"/>
      <c r="G145" s="17">
        <f>IFERROR(SUM(F143:F145),"")</f>
        <v/>
      </c>
      <c r="H145" s="17">
        <f>IFERROR(IF(F145="","",FLOOR(G144/((IFERROR(B140,0)+IFERROR(G140,0))/(IFERROR('Getting Started'!C15,0)+IFERROR('Getting Started'!C23,0))),1)+1),"")</f>
        <v/>
      </c>
      <c r="I145" s="17">
        <f>IFERROR(IF(F145="","",CEILING(G145/((IFERROR(B140,0)+IFERROR(G140,0))/(IFERROR('Getting Started'!C15,0)+IFERROR('Getting Started'!C23,0))),1)),"")</f>
        <v/>
      </c>
      <c r="J145" s="54">
        <f>IFERROR(IF(F145="","",TEXT('Getting Started'!C10+(H145-1)*7,"MMM D")&amp;" – "&amp;TEXT('Getting Started'!C10+I145*7,"MMM D")),"")</f>
        <v/>
      </c>
    </row>
    <row r="146" ht="18" customHeight="1">
      <c r="A146" s="53" t="n">
        <v>4</v>
      </c>
      <c r="B146" s="18" t="n"/>
      <c r="F146" s="55" t="n"/>
      <c r="G146" s="17">
        <f>IFERROR(SUM(F143:F146),"")</f>
        <v/>
      </c>
      <c r="H146" s="17">
        <f>IFERROR(IF(F146="","",FLOOR(G145/((IFERROR(B140,0)+IFERROR(G140,0))/(IFERROR('Getting Started'!C15,0)+IFERROR('Getting Started'!C23,0))),1)+1),"")</f>
        <v/>
      </c>
      <c r="I146" s="17">
        <f>IFERROR(IF(F146="","",CEILING(G146/((IFERROR(B140,0)+IFERROR(G140,0))/(IFERROR('Getting Started'!C15,0)+IFERROR('Getting Started'!C23,0))),1)),"")</f>
        <v/>
      </c>
      <c r="J146" s="54">
        <f>IFERROR(IF(F146="","",TEXT('Getting Started'!C10+(H146-1)*7,"MMM D")&amp;" – "&amp;TEXT('Getting Started'!C10+I146*7,"MMM D")),"")</f>
        <v/>
      </c>
    </row>
    <row r="147" ht="18" customHeight="1">
      <c r="A147" s="53" t="n">
        <v>5</v>
      </c>
      <c r="B147" s="5" t="n"/>
      <c r="F147" s="32" t="n"/>
      <c r="G147" s="17">
        <f>IFERROR(SUM(F143:F147),"")</f>
        <v/>
      </c>
      <c r="H147" s="17">
        <f>IFERROR(IF(F147="","",FLOOR(G146/((IFERROR(B140,0)+IFERROR(G140,0))/(IFERROR('Getting Started'!C15,0)+IFERROR('Getting Started'!C23,0))),1)+1),"")</f>
        <v/>
      </c>
      <c r="I147" s="17">
        <f>IFERROR(IF(F147="","",CEILING(G147/((IFERROR(B140,0)+IFERROR(G140,0))/(IFERROR('Getting Started'!C15,0)+IFERROR('Getting Started'!C23,0))),1)),"")</f>
        <v/>
      </c>
      <c r="J147" s="54">
        <f>IFERROR(IF(F147="","",TEXT('Getting Started'!C10+(H147-1)*7,"MMM D")&amp;" – "&amp;TEXT('Getting Started'!C10+I147*7,"MMM D")),"")</f>
        <v/>
      </c>
    </row>
    <row r="148" ht="18" customHeight="1">
      <c r="A148" s="53" t="n">
        <v>6</v>
      </c>
      <c r="B148" s="18" t="n"/>
      <c r="F148" s="55" t="n"/>
      <c r="G148" s="17">
        <f>IFERROR(SUM(F143:F148),"")</f>
        <v/>
      </c>
      <c r="H148" s="17">
        <f>IFERROR(IF(F148="","",FLOOR(G147/((IFERROR(B140,0)+IFERROR(G140,0))/(IFERROR('Getting Started'!C15,0)+IFERROR('Getting Started'!C23,0))),1)+1),"")</f>
        <v/>
      </c>
      <c r="I148" s="17">
        <f>IFERROR(IF(F148="","",CEILING(G148/((IFERROR(B140,0)+IFERROR(G140,0))/(IFERROR('Getting Started'!C15,0)+IFERROR('Getting Started'!C23,0))),1)),"")</f>
        <v/>
      </c>
      <c r="J148" s="54">
        <f>IFERROR(IF(F148="","",TEXT('Getting Started'!C10+(H148-1)*7,"MMM D")&amp;" – "&amp;TEXT('Getting Started'!C10+I148*7,"MMM D")),"")</f>
        <v/>
      </c>
    </row>
    <row r="149" ht="20" customHeight="1">
      <c r="A149" s="56">
        <f>IFERROR(IF('Course Content'!I33="","",'Course Content'!I33),"")</f>
        <v/>
      </c>
    </row>
    <row r="150" ht="8" customHeight="1"/>
    <row r="151" ht="24" customHeight="1">
      <c r="A151" s="44">
        <f>IF('Course Content'!D34="","  ELECTIVE / OTHER 3","  "&amp;UPPER('Course Content'!D34))</f>
        <v/>
      </c>
      <c r="E151" s="45">
        <f>IFERROR(IF('Course Content'!E34="","← enter on Course Content tab",'Course Content'!E34),"")</f>
        <v/>
      </c>
    </row>
    <row r="152" ht="22" customHeight="1">
      <c r="B152" s="46">
        <f>'Course Content'!G34</f>
        <v/>
      </c>
      <c r="C152" s="47">
        <f>IFERROR(IF(B152="","",ROUND(B152/'Getting Started'!C15,1)),"")</f>
        <v/>
      </c>
      <c r="D152" s="47">
        <f>IFERROR(IF(C152="","",ROUND(C152/'Getting Started'!C7,1)),"")</f>
        <v/>
      </c>
      <c r="E152" s="48">
        <f>IFERROR(IF(B152="","",TEXT('Getting Started'!C10+(B152/D152),"MMM D, YYYY")),"")</f>
        <v/>
      </c>
      <c r="F152" s="39" t="n"/>
      <c r="G152" s="49">
        <f>'Course Content'!H34</f>
        <v/>
      </c>
      <c r="H152" s="50">
        <f>IFERROR(IF(G152="","",ROUND(G152/'Getting Started'!C23,1)),"")</f>
        <v/>
      </c>
      <c r="I152" s="50">
        <f>IFERROR(IF(H152="","",ROUND(H152/'Getting Started'!C7,1)),"")</f>
        <v/>
      </c>
      <c r="J152" s="51">
        <f>IFERROR(IF(G152="","",TEXT('Getting Started'!C18+(G152/I152),"MMM D, YYYY")),"")</f>
        <v/>
      </c>
    </row>
    <row r="153" ht="16" customHeight="1">
      <c r="A153" s="52" t="inlineStr">
        <is>
          <t xml:space="preserve">  Component Breakdown  (optional — use for multi-volume curricula)</t>
        </is>
      </c>
    </row>
    <row r="154" ht="22" customHeight="1">
      <c r="A154" s="28" t="inlineStr">
        <is>
          <t>#</t>
        </is>
      </c>
      <c r="B154" s="28" t="inlineStr">
        <is>
          <t>Book / Component Title</t>
        </is>
      </c>
      <c r="F154" s="28" t="inlineStr">
        <is>
          <t>Units</t>
        </is>
      </c>
      <c r="G154" s="28" t="inlineStr">
        <is>
          <t>Cumul.</t>
        </is>
      </c>
      <c r="H154" s="28" t="inlineStr">
        <is>
          <t>Start
Week</t>
        </is>
      </c>
      <c r="I154" s="28" t="inlineStr">
        <is>
          <t>End
Week</t>
        </is>
      </c>
      <c r="J154" s="28" t="inlineStr">
        <is>
          <t>Est. Dates</t>
        </is>
      </c>
    </row>
    <row r="155" ht="18" customHeight="1">
      <c r="A155" s="53" t="n">
        <v>1</v>
      </c>
      <c r="B155" s="5" t="n"/>
      <c r="F155" s="32" t="n"/>
      <c r="G155" s="17">
        <f>IFERROR(SUM(F155:F155),"")</f>
        <v/>
      </c>
      <c r="H155" s="17">
        <f>IF(F155="","",1)</f>
        <v/>
      </c>
      <c r="I155" s="17">
        <f>IFERROR(IF(F155="","",CEILING(G155/((IFERROR(B152,0)+IFERROR(G152,0))/(IFERROR('Getting Started'!C15,0)+IFERROR('Getting Started'!C23,0))),1)),"")</f>
        <v/>
      </c>
      <c r="J155" s="54">
        <f>IFERROR(IF(F155="","",TEXT('Getting Started'!C10+(H155-1)*7,"MMM D")&amp;" – "&amp;TEXT('Getting Started'!C10+I155*7,"MMM D")),"")</f>
        <v/>
      </c>
    </row>
    <row r="156" ht="18" customHeight="1">
      <c r="A156" s="53" t="n">
        <v>2</v>
      </c>
      <c r="B156" s="18" t="n"/>
      <c r="F156" s="55" t="n"/>
      <c r="G156" s="17">
        <f>IFERROR(SUM(F155:F156),"")</f>
        <v/>
      </c>
      <c r="H156" s="17">
        <f>IFERROR(IF(F156="","",FLOOR(G155/((IFERROR(B152,0)+IFERROR(G152,0))/(IFERROR('Getting Started'!C15,0)+IFERROR('Getting Started'!C23,0))),1)+1),"")</f>
        <v/>
      </c>
      <c r="I156" s="17">
        <f>IFERROR(IF(F156="","",CEILING(G156/((IFERROR(B152,0)+IFERROR(G152,0))/(IFERROR('Getting Started'!C15,0)+IFERROR('Getting Started'!C23,0))),1)),"")</f>
        <v/>
      </c>
      <c r="J156" s="54">
        <f>IFERROR(IF(F156="","",TEXT('Getting Started'!C10+(H156-1)*7,"MMM D")&amp;" – "&amp;TEXT('Getting Started'!C10+I156*7,"MMM D")),"")</f>
        <v/>
      </c>
    </row>
    <row r="157" ht="18" customHeight="1">
      <c r="A157" s="53" t="n">
        <v>3</v>
      </c>
      <c r="B157" s="5" t="n"/>
      <c r="F157" s="32" t="n"/>
      <c r="G157" s="17">
        <f>IFERROR(SUM(F155:F157),"")</f>
        <v/>
      </c>
      <c r="H157" s="17">
        <f>IFERROR(IF(F157="","",FLOOR(G156/((IFERROR(B152,0)+IFERROR(G152,0))/(IFERROR('Getting Started'!C15,0)+IFERROR('Getting Started'!C23,0))),1)+1),"")</f>
        <v/>
      </c>
      <c r="I157" s="17">
        <f>IFERROR(IF(F157="","",CEILING(G157/((IFERROR(B152,0)+IFERROR(G152,0))/(IFERROR('Getting Started'!C15,0)+IFERROR('Getting Started'!C23,0))),1)),"")</f>
        <v/>
      </c>
      <c r="J157" s="54">
        <f>IFERROR(IF(F157="","",TEXT('Getting Started'!C10+(H157-1)*7,"MMM D")&amp;" – "&amp;TEXT('Getting Started'!C10+I157*7,"MMM D")),"")</f>
        <v/>
      </c>
    </row>
    <row r="158" ht="18" customHeight="1">
      <c r="A158" s="53" t="n">
        <v>4</v>
      </c>
      <c r="B158" s="18" t="n"/>
      <c r="F158" s="55" t="n"/>
      <c r="G158" s="17">
        <f>IFERROR(SUM(F155:F158),"")</f>
        <v/>
      </c>
      <c r="H158" s="17">
        <f>IFERROR(IF(F158="","",FLOOR(G157/((IFERROR(B152,0)+IFERROR(G152,0))/(IFERROR('Getting Started'!C15,0)+IFERROR('Getting Started'!C23,0))),1)+1),"")</f>
        <v/>
      </c>
      <c r="I158" s="17">
        <f>IFERROR(IF(F158="","",CEILING(G158/((IFERROR(B152,0)+IFERROR(G152,0))/(IFERROR('Getting Started'!C15,0)+IFERROR('Getting Started'!C23,0))),1)),"")</f>
        <v/>
      </c>
      <c r="J158" s="54">
        <f>IFERROR(IF(F158="","",TEXT('Getting Started'!C10+(H158-1)*7,"MMM D")&amp;" – "&amp;TEXT('Getting Started'!C10+I158*7,"MMM D")),"")</f>
        <v/>
      </c>
    </row>
    <row r="159" ht="18" customHeight="1">
      <c r="A159" s="53" t="n">
        <v>5</v>
      </c>
      <c r="B159" s="5" t="n"/>
      <c r="F159" s="32" t="n"/>
      <c r="G159" s="17">
        <f>IFERROR(SUM(F155:F159),"")</f>
        <v/>
      </c>
      <c r="H159" s="17">
        <f>IFERROR(IF(F159="","",FLOOR(G158/((IFERROR(B152,0)+IFERROR(G152,0))/(IFERROR('Getting Started'!C15,0)+IFERROR('Getting Started'!C23,0))),1)+1),"")</f>
        <v/>
      </c>
      <c r="I159" s="17">
        <f>IFERROR(IF(F159="","",CEILING(G159/((IFERROR(B152,0)+IFERROR(G152,0))/(IFERROR('Getting Started'!C15,0)+IFERROR('Getting Started'!C23,0))),1)),"")</f>
        <v/>
      </c>
      <c r="J159" s="54">
        <f>IFERROR(IF(F159="","",TEXT('Getting Started'!C10+(H159-1)*7,"MMM D")&amp;" – "&amp;TEXT('Getting Started'!C10+I159*7,"MMM D")),"")</f>
        <v/>
      </c>
    </row>
    <row r="160" ht="18" customHeight="1">
      <c r="A160" s="53" t="n">
        <v>6</v>
      </c>
      <c r="B160" s="18" t="n"/>
      <c r="F160" s="55" t="n"/>
      <c r="G160" s="17">
        <f>IFERROR(SUM(F155:F160),"")</f>
        <v/>
      </c>
      <c r="H160" s="17">
        <f>IFERROR(IF(F160="","",FLOOR(G159/((IFERROR(B152,0)+IFERROR(G152,0))/(IFERROR('Getting Started'!C15,0)+IFERROR('Getting Started'!C23,0))),1)+1),"")</f>
        <v/>
      </c>
      <c r="I160" s="17">
        <f>IFERROR(IF(F160="","",CEILING(G160/((IFERROR(B152,0)+IFERROR(G152,0))/(IFERROR('Getting Started'!C15,0)+IFERROR('Getting Started'!C23,0))),1)),"")</f>
        <v/>
      </c>
      <c r="J160" s="54">
        <f>IFERROR(IF(F160="","",TEXT('Getting Started'!C10+(H160-1)*7,"MMM D")&amp;" – "&amp;TEXT('Getting Started'!C10+I160*7,"MMM D")),"")</f>
        <v/>
      </c>
    </row>
    <row r="161" ht="20" customHeight="1">
      <c r="A161" s="56">
        <f>IFERROR(IF('Course Content'!I34="","",'Course Content'!I34),"")</f>
        <v/>
      </c>
    </row>
    <row r="162" ht="8" customHeight="1"/>
    <row r="163" ht="24" customHeight="1">
      <c r="A163" s="44">
        <f>IF('Course Content'!D35="","  ELECTIVE / OTHER 4","  "&amp;UPPER('Course Content'!D35))</f>
        <v/>
      </c>
      <c r="E163" s="45">
        <f>IFERROR(IF('Course Content'!E35="","← enter on Course Content tab",'Course Content'!E35),"")</f>
        <v/>
      </c>
    </row>
    <row r="164" ht="22" customHeight="1">
      <c r="B164" s="46">
        <f>'Course Content'!G35</f>
        <v/>
      </c>
      <c r="C164" s="47">
        <f>IFERROR(IF(B164="","",ROUND(B164/'Getting Started'!C15,1)),"")</f>
        <v/>
      </c>
      <c r="D164" s="47">
        <f>IFERROR(IF(C164="","",ROUND(C164/'Getting Started'!C7,1)),"")</f>
        <v/>
      </c>
      <c r="E164" s="48">
        <f>IFERROR(IF(B164="","",TEXT('Getting Started'!C10+(B164/D164),"MMM D, YYYY")),"")</f>
        <v/>
      </c>
      <c r="F164" s="39" t="n"/>
      <c r="G164" s="49">
        <f>'Course Content'!H35</f>
        <v/>
      </c>
      <c r="H164" s="50">
        <f>IFERROR(IF(G164="","",ROUND(G164/'Getting Started'!C23,1)),"")</f>
        <v/>
      </c>
      <c r="I164" s="50">
        <f>IFERROR(IF(H164="","",ROUND(H164/'Getting Started'!C7,1)),"")</f>
        <v/>
      </c>
      <c r="J164" s="51">
        <f>IFERROR(IF(G164="","",TEXT('Getting Started'!C18+(G164/I164),"MMM D, YYYY")),"")</f>
        <v/>
      </c>
    </row>
    <row r="165" ht="16" customHeight="1">
      <c r="A165" s="52" t="inlineStr">
        <is>
          <t xml:space="preserve">  Component Breakdown  (optional — use for multi-volume curricula)</t>
        </is>
      </c>
    </row>
    <row r="166" ht="22" customHeight="1">
      <c r="A166" s="28" t="inlineStr">
        <is>
          <t>#</t>
        </is>
      </c>
      <c r="B166" s="28" t="inlineStr">
        <is>
          <t>Book / Component Title</t>
        </is>
      </c>
      <c r="F166" s="28" t="inlineStr">
        <is>
          <t>Units</t>
        </is>
      </c>
      <c r="G166" s="28" t="inlineStr">
        <is>
          <t>Cumul.</t>
        </is>
      </c>
      <c r="H166" s="28" t="inlineStr">
        <is>
          <t>Start
Week</t>
        </is>
      </c>
      <c r="I166" s="28" t="inlineStr">
        <is>
          <t>End
Week</t>
        </is>
      </c>
      <c r="J166" s="28" t="inlineStr">
        <is>
          <t>Est. Dates</t>
        </is>
      </c>
    </row>
    <row r="167" ht="18" customHeight="1">
      <c r="A167" s="53" t="n">
        <v>1</v>
      </c>
      <c r="B167" s="5" t="n"/>
      <c r="F167" s="32" t="n"/>
      <c r="G167" s="17">
        <f>IFERROR(SUM(F167:F167),"")</f>
        <v/>
      </c>
      <c r="H167" s="17">
        <f>IF(F167="","",1)</f>
        <v/>
      </c>
      <c r="I167" s="17">
        <f>IFERROR(IF(F167="","",CEILING(G167/((IFERROR(B164,0)+IFERROR(G164,0))/(IFERROR('Getting Started'!C15,0)+IFERROR('Getting Started'!C23,0))),1)),"")</f>
        <v/>
      </c>
      <c r="J167" s="54">
        <f>IFERROR(IF(F167="","",TEXT('Getting Started'!C10+(H167-1)*7,"MMM D")&amp;" – "&amp;TEXT('Getting Started'!C10+I167*7,"MMM D")),"")</f>
        <v/>
      </c>
    </row>
    <row r="168" ht="18" customHeight="1">
      <c r="A168" s="53" t="n">
        <v>2</v>
      </c>
      <c r="B168" s="18" t="n"/>
      <c r="F168" s="55" t="n"/>
      <c r="G168" s="17">
        <f>IFERROR(SUM(F167:F168),"")</f>
        <v/>
      </c>
      <c r="H168" s="17">
        <f>IFERROR(IF(F168="","",FLOOR(G167/((IFERROR(B164,0)+IFERROR(G164,0))/(IFERROR('Getting Started'!C15,0)+IFERROR('Getting Started'!C23,0))),1)+1),"")</f>
        <v/>
      </c>
      <c r="I168" s="17">
        <f>IFERROR(IF(F168="","",CEILING(G168/((IFERROR(B164,0)+IFERROR(G164,0))/(IFERROR('Getting Started'!C15,0)+IFERROR('Getting Started'!C23,0))),1)),"")</f>
        <v/>
      </c>
      <c r="J168" s="54">
        <f>IFERROR(IF(F168="","",TEXT('Getting Started'!C10+(H168-1)*7,"MMM D")&amp;" – "&amp;TEXT('Getting Started'!C10+I168*7,"MMM D")),"")</f>
        <v/>
      </c>
    </row>
    <row r="169" ht="18" customHeight="1">
      <c r="A169" s="53" t="n">
        <v>3</v>
      </c>
      <c r="B169" s="5" t="n"/>
      <c r="F169" s="32" t="n"/>
      <c r="G169" s="17">
        <f>IFERROR(SUM(F167:F169),"")</f>
        <v/>
      </c>
      <c r="H169" s="17">
        <f>IFERROR(IF(F169="","",FLOOR(G168/((IFERROR(B164,0)+IFERROR(G164,0))/(IFERROR('Getting Started'!C15,0)+IFERROR('Getting Started'!C23,0))),1)+1),"")</f>
        <v/>
      </c>
      <c r="I169" s="17">
        <f>IFERROR(IF(F169="","",CEILING(G169/((IFERROR(B164,0)+IFERROR(G164,0))/(IFERROR('Getting Started'!C15,0)+IFERROR('Getting Started'!C23,0))),1)),"")</f>
        <v/>
      </c>
      <c r="J169" s="54">
        <f>IFERROR(IF(F169="","",TEXT('Getting Started'!C10+(H169-1)*7,"MMM D")&amp;" – "&amp;TEXT('Getting Started'!C10+I169*7,"MMM D")),"")</f>
        <v/>
      </c>
    </row>
    <row r="170" ht="18" customHeight="1">
      <c r="A170" s="53" t="n">
        <v>4</v>
      </c>
      <c r="B170" s="18" t="n"/>
      <c r="F170" s="55" t="n"/>
      <c r="G170" s="17">
        <f>IFERROR(SUM(F167:F170),"")</f>
        <v/>
      </c>
      <c r="H170" s="17">
        <f>IFERROR(IF(F170="","",FLOOR(G169/((IFERROR(B164,0)+IFERROR(G164,0))/(IFERROR('Getting Started'!C15,0)+IFERROR('Getting Started'!C23,0))),1)+1),"")</f>
        <v/>
      </c>
      <c r="I170" s="17">
        <f>IFERROR(IF(F170="","",CEILING(G170/((IFERROR(B164,0)+IFERROR(G164,0))/(IFERROR('Getting Started'!C15,0)+IFERROR('Getting Started'!C23,0))),1)),"")</f>
        <v/>
      </c>
      <c r="J170" s="54">
        <f>IFERROR(IF(F170="","",TEXT('Getting Started'!C10+(H170-1)*7,"MMM D")&amp;" – "&amp;TEXT('Getting Started'!C10+I170*7,"MMM D")),"")</f>
        <v/>
      </c>
    </row>
    <row r="171" ht="18" customHeight="1">
      <c r="A171" s="53" t="n">
        <v>5</v>
      </c>
      <c r="B171" s="5" t="n"/>
      <c r="F171" s="32" t="n"/>
      <c r="G171" s="17">
        <f>IFERROR(SUM(F167:F171),"")</f>
        <v/>
      </c>
      <c r="H171" s="17">
        <f>IFERROR(IF(F171="","",FLOOR(G170/((IFERROR(B164,0)+IFERROR(G164,0))/(IFERROR('Getting Started'!C15,0)+IFERROR('Getting Started'!C23,0))),1)+1),"")</f>
        <v/>
      </c>
      <c r="I171" s="17">
        <f>IFERROR(IF(F171="","",CEILING(G171/((IFERROR(B164,0)+IFERROR(G164,0))/(IFERROR('Getting Started'!C15,0)+IFERROR('Getting Started'!C23,0))),1)),"")</f>
        <v/>
      </c>
      <c r="J171" s="54">
        <f>IFERROR(IF(F171="","",TEXT('Getting Started'!C10+(H171-1)*7,"MMM D")&amp;" – "&amp;TEXT('Getting Started'!C10+I171*7,"MMM D")),"")</f>
        <v/>
      </c>
    </row>
    <row r="172" ht="18" customHeight="1">
      <c r="A172" s="53" t="n">
        <v>6</v>
      </c>
      <c r="B172" s="18" t="n"/>
      <c r="F172" s="55" t="n"/>
      <c r="G172" s="17">
        <f>IFERROR(SUM(F167:F172),"")</f>
        <v/>
      </c>
      <c r="H172" s="17">
        <f>IFERROR(IF(F172="","",FLOOR(G171/((IFERROR(B164,0)+IFERROR(G164,0))/(IFERROR('Getting Started'!C15,0)+IFERROR('Getting Started'!C23,0))),1)+1),"")</f>
        <v/>
      </c>
      <c r="I172" s="17">
        <f>IFERROR(IF(F172="","",CEILING(G172/((IFERROR(B164,0)+IFERROR(G164,0))/(IFERROR('Getting Started'!C15,0)+IFERROR('Getting Started'!C23,0))),1)),"")</f>
        <v/>
      </c>
      <c r="J172" s="54">
        <f>IFERROR(IF(F172="","",TEXT('Getting Started'!C10+(H172-1)*7,"MMM D")&amp;" – "&amp;TEXT('Getting Started'!C10+I172*7,"MMM D")),"")</f>
        <v/>
      </c>
    </row>
    <row r="173" ht="20" customHeight="1">
      <c r="A173" s="56">
        <f>IFERROR(IF('Course Content'!I35="","",'Course Content'!I35),"")</f>
        <v/>
      </c>
    </row>
    <row r="174" ht="8" customHeight="1"/>
  </sheetData>
  <mergeCells count="158">
    <mergeCell ref="B146:E146"/>
    <mergeCell ref="E19:J19"/>
    <mergeCell ref="B74:E74"/>
    <mergeCell ref="G4:J4"/>
    <mergeCell ref="A165:J165"/>
    <mergeCell ref="B123:E123"/>
    <mergeCell ref="B36:E36"/>
    <mergeCell ref="B76:E76"/>
    <mergeCell ref="B110:E110"/>
    <mergeCell ref="A93:J93"/>
    <mergeCell ref="A31:D31"/>
    <mergeCell ref="A173:J173"/>
    <mergeCell ref="B100:E100"/>
    <mergeCell ref="A77:J77"/>
    <mergeCell ref="B109:E109"/>
    <mergeCell ref="B47:E47"/>
    <mergeCell ref="B22:E22"/>
    <mergeCell ref="B155:E155"/>
    <mergeCell ref="B12:E12"/>
    <mergeCell ref="B86:E86"/>
    <mergeCell ref="A69:J69"/>
    <mergeCell ref="A7:D7"/>
    <mergeCell ref="B39:E39"/>
    <mergeCell ref="E139:J139"/>
    <mergeCell ref="B14:E14"/>
    <mergeCell ref="B136:E136"/>
    <mergeCell ref="B23:E23"/>
    <mergeCell ref="B13:E13"/>
    <mergeCell ref="A163:D163"/>
    <mergeCell ref="B38:E38"/>
    <mergeCell ref="B112:E112"/>
    <mergeCell ref="E79:J79"/>
    <mergeCell ref="B87:E87"/>
    <mergeCell ref="B40:E40"/>
    <mergeCell ref="B49:E49"/>
    <mergeCell ref="B64:E64"/>
    <mergeCell ref="A29:J29"/>
    <mergeCell ref="A81:J81"/>
    <mergeCell ref="A19:D19"/>
    <mergeCell ref="B51:E51"/>
    <mergeCell ref="A161:J161"/>
    <mergeCell ref="B63:E63"/>
    <mergeCell ref="B26:E26"/>
    <mergeCell ref="B154:E154"/>
    <mergeCell ref="B35:E35"/>
    <mergeCell ref="B50:E50"/>
    <mergeCell ref="B106:E106"/>
    <mergeCell ref="A127:D127"/>
    <mergeCell ref="E163:J163"/>
    <mergeCell ref="B16:E16"/>
    <mergeCell ref="B25:E25"/>
    <mergeCell ref="B156:E156"/>
    <mergeCell ref="E91:J91"/>
    <mergeCell ref="B131:E131"/>
    <mergeCell ref="B27:E27"/>
    <mergeCell ref="A79:D79"/>
    <mergeCell ref="E115:J115"/>
    <mergeCell ref="B130:E130"/>
    <mergeCell ref="B11:E11"/>
    <mergeCell ref="B61:E61"/>
    <mergeCell ref="A4:E4"/>
    <mergeCell ref="B132:E132"/>
    <mergeCell ref="B166:E166"/>
    <mergeCell ref="A149:J149"/>
    <mergeCell ref="B119:E119"/>
    <mergeCell ref="E127:J127"/>
    <mergeCell ref="A139:D139"/>
    <mergeCell ref="B37:E37"/>
    <mergeCell ref="A2:J2"/>
    <mergeCell ref="B168:E168"/>
    <mergeCell ref="B84:E84"/>
    <mergeCell ref="B118:E118"/>
    <mergeCell ref="A141:J141"/>
    <mergeCell ref="A91:D91"/>
    <mergeCell ref="B158:E158"/>
    <mergeCell ref="B15:E15"/>
    <mergeCell ref="B142:E142"/>
    <mergeCell ref="B24:E24"/>
    <mergeCell ref="A125:J125"/>
    <mergeCell ref="B95:E95"/>
    <mergeCell ref="A115:D115"/>
    <mergeCell ref="B160:E160"/>
    <mergeCell ref="B169:E169"/>
    <mergeCell ref="B144:E144"/>
    <mergeCell ref="B97:E97"/>
    <mergeCell ref="B72:E72"/>
    <mergeCell ref="B134:E134"/>
    <mergeCell ref="B121:E121"/>
    <mergeCell ref="A103:D103"/>
    <mergeCell ref="B122:E122"/>
    <mergeCell ref="B71:E71"/>
    <mergeCell ref="B58:E58"/>
    <mergeCell ref="B52:E52"/>
    <mergeCell ref="A153:J153"/>
    <mergeCell ref="B120:E120"/>
    <mergeCell ref="A137:J137"/>
    <mergeCell ref="B107:E107"/>
    <mergeCell ref="A41:J41"/>
    <mergeCell ref="B60:E60"/>
    <mergeCell ref="E151:J151"/>
    <mergeCell ref="B170:E170"/>
    <mergeCell ref="E55:J55"/>
    <mergeCell ref="B148:E148"/>
    <mergeCell ref="B157:E157"/>
    <mergeCell ref="E67:J67"/>
    <mergeCell ref="B171:E171"/>
    <mergeCell ref="A101:J101"/>
    <mergeCell ref="B34:E34"/>
    <mergeCell ref="B172:E172"/>
    <mergeCell ref="B28:E28"/>
    <mergeCell ref="B99:E99"/>
    <mergeCell ref="A33:J33"/>
    <mergeCell ref="B108:E108"/>
    <mergeCell ref="E103:J103"/>
    <mergeCell ref="B83:E83"/>
    <mergeCell ref="A17:J17"/>
    <mergeCell ref="B143:E143"/>
    <mergeCell ref="A53:J53"/>
    <mergeCell ref="E31:J31"/>
    <mergeCell ref="B124:E124"/>
    <mergeCell ref="A43:D43"/>
    <mergeCell ref="B133:E133"/>
    <mergeCell ref="B85:E85"/>
    <mergeCell ref="B94:E94"/>
    <mergeCell ref="A117:J117"/>
    <mergeCell ref="A67:D67"/>
    <mergeCell ref="B75:E75"/>
    <mergeCell ref="A9:J9"/>
    <mergeCell ref="B135:E135"/>
    <mergeCell ref="B62:E62"/>
    <mergeCell ref="B59:E59"/>
    <mergeCell ref="B46:E46"/>
    <mergeCell ref="B159:E159"/>
    <mergeCell ref="E7:J7"/>
    <mergeCell ref="A1:J1"/>
    <mergeCell ref="A45:J45"/>
    <mergeCell ref="B96:E96"/>
    <mergeCell ref="B167:E167"/>
    <mergeCell ref="B70:E70"/>
    <mergeCell ref="B48:E48"/>
    <mergeCell ref="A65:J65"/>
    <mergeCell ref="E43:J43"/>
    <mergeCell ref="B111:E111"/>
    <mergeCell ref="B145:E145"/>
    <mergeCell ref="B98:E98"/>
    <mergeCell ref="A89:J89"/>
    <mergeCell ref="B73:E73"/>
    <mergeCell ref="B88:E88"/>
    <mergeCell ref="B82:E82"/>
    <mergeCell ref="A21:J21"/>
    <mergeCell ref="A55:D55"/>
    <mergeCell ref="A105:J105"/>
    <mergeCell ref="B147:E147"/>
    <mergeCell ref="A57:J57"/>
    <mergeCell ref="A113:J113"/>
    <mergeCell ref="A151:D151"/>
    <mergeCell ref="B10:E10"/>
    <mergeCell ref="A129:J129"/>
  </mergeCells>
  <pageMargins left="0.75" right="0.75" top="1" bottom="1" header="0.5" footer="0.5"/>
</worksheet>
</file>

<file path=xl/worksheets/sheet5.xml><?xml version="1.0" encoding="utf-8"?>
<worksheet xmlns="http://schemas.openxmlformats.org/spreadsheetml/2006/main">
  <sheetPr>
    <tabColor rgb="007A6E5F"/>
    <outlinePr summaryBelow="1" summaryRight="1"/>
    <pageSetUpPr/>
  </sheetPr>
  <dimension ref="A1:J173"/>
  <sheetViews>
    <sheetView workbookViewId="0">
      <pane ySplit="6" topLeftCell="A7"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8" customWidth="1" min="5" max="5"/>
    <col width="4" customWidth="1" min="6" max="6"/>
    <col width="14" customWidth="1" min="7" max="7"/>
    <col width="14" customWidth="1" min="8" max="8"/>
    <col width="14" customWidth="1" min="9" max="9"/>
    <col width="18" customWidth="1" min="10" max="10"/>
  </cols>
  <sheetData>
    <row r="1" ht="40" customHeight="1">
      <c r="A1" s="1">
        <f>IF('Getting Started'!B31="","Student 3",'Getting Started'!B31)</f>
        <v/>
      </c>
    </row>
    <row r="2" ht="22" customHeight="1">
      <c r="A2" s="37">
        <f>IFERROR("Grade: "&amp;'Getting Started'!F31&amp;"   ·   School Year: "&amp;'Getting Started'!C6,"")</f>
        <v/>
      </c>
    </row>
    <row r="3" ht="8" customHeight="1"/>
    <row r="4" ht="22" customHeight="1">
      <c r="A4" s="38">
        <f>IFERROR("SEMESTER 1   "&amp;TEXT('Getting Started'!C10,"MMM D")&amp;" – "&amp;TEXT('Getting Started'!C11,"MMM D, YYYY")&amp;"   ("&amp;'Getting Started'!C15&amp;" wks)","SEMESTER 1")</f>
        <v/>
      </c>
      <c r="F4" s="39" t="n"/>
      <c r="G4" s="40">
        <f>IFERROR("SEMESTER 2   "&amp;TEXT('Getting Started'!C18,"MMM D")&amp;" – "&amp;TEXT('Getting Started'!C19,"MMM D, YYYY")&amp;"   ("&amp;'Getting Started'!C23&amp;" wks)","SEMESTER 2")</f>
        <v/>
      </c>
    </row>
    <row r="5" ht="24" customHeight="1">
      <c r="A5" s="28" t="inlineStr">
        <is>
          <t>Subject  /  Curriculum</t>
        </is>
      </c>
      <c r="B5" s="41" t="inlineStr">
        <is>
          <t>Sem 1
Units</t>
        </is>
      </c>
      <c r="C5" s="41" t="inlineStr">
        <is>
          <t>/ Week</t>
        </is>
      </c>
      <c r="D5" s="41" t="inlineStr">
        <is>
          <t>/ Day</t>
        </is>
      </c>
      <c r="E5" s="41" t="inlineStr">
        <is>
          <t>Est. End</t>
        </is>
      </c>
      <c r="F5" s="42" t="inlineStr"/>
      <c r="G5" s="43" t="inlineStr">
        <is>
          <t>Sem 2
Units</t>
        </is>
      </c>
      <c r="H5" s="43" t="inlineStr">
        <is>
          <t>/ Week</t>
        </is>
      </c>
      <c r="I5" s="43" t="inlineStr">
        <is>
          <t>/ Day</t>
        </is>
      </c>
      <c r="J5" s="43" t="inlineStr">
        <is>
          <t>Est. End</t>
        </is>
      </c>
    </row>
    <row r="6" ht="8" customHeight="1"/>
    <row r="7" ht="24" customHeight="1">
      <c r="A7" s="44" t="inlineStr">
        <is>
          <t xml:space="preserve">  BIBLE</t>
        </is>
      </c>
      <c r="E7" s="45">
        <f>IFERROR(IF('Course Content'!E36="","← enter on Course Content tab",'Course Content'!E36),"")</f>
        <v/>
      </c>
    </row>
    <row r="8" ht="22" customHeight="1">
      <c r="B8" s="46">
        <f>'Course Content'!G36</f>
        <v/>
      </c>
      <c r="C8" s="47">
        <f>IFERROR(IF(B8="","",ROUND(B8/'Getting Started'!C15,1)),"")</f>
        <v/>
      </c>
      <c r="D8" s="47">
        <f>IFERROR(IF(C8="","",ROUND(C8/'Getting Started'!C7,1)),"")</f>
        <v/>
      </c>
      <c r="E8" s="48">
        <f>IFERROR(IF(B8="","",TEXT('Getting Started'!C10+(B8/D8),"MMM D, YYYY")),"")</f>
        <v/>
      </c>
      <c r="F8" s="39" t="n"/>
      <c r="G8" s="49">
        <f>'Course Content'!H36</f>
        <v/>
      </c>
      <c r="H8" s="50">
        <f>IFERROR(IF(G8="","",ROUND(G8/'Getting Started'!C23,1)),"")</f>
        <v/>
      </c>
      <c r="I8" s="50">
        <f>IFERROR(IF(H8="","",ROUND(H8/'Getting Started'!C7,1)),"")</f>
        <v/>
      </c>
      <c r="J8" s="51">
        <f>IFERROR(IF(G8="","",TEXT('Getting Started'!C18+(G8/I8),"MMM D, YYYY")),"")</f>
        <v/>
      </c>
    </row>
    <row r="9" ht="16" customHeight="1">
      <c r="A9" s="52" t="inlineStr">
        <is>
          <t xml:space="preserve">  Component Breakdown  (optional — use for multi-volume curricula)</t>
        </is>
      </c>
    </row>
    <row r="10" ht="22" customHeight="1">
      <c r="A10" s="28" t="inlineStr">
        <is>
          <t>#</t>
        </is>
      </c>
      <c r="B10" s="28" t="inlineStr">
        <is>
          <t>Book / Component Title</t>
        </is>
      </c>
      <c r="F10" s="28" t="inlineStr">
        <is>
          <t>Units</t>
        </is>
      </c>
      <c r="G10" s="28" t="inlineStr">
        <is>
          <t>Cumul.</t>
        </is>
      </c>
      <c r="H10" s="28" t="inlineStr">
        <is>
          <t>Start
Week</t>
        </is>
      </c>
      <c r="I10" s="28" t="inlineStr">
        <is>
          <t>End
Week</t>
        </is>
      </c>
      <c r="J10" s="28" t="inlineStr">
        <is>
          <t>Est. Dates</t>
        </is>
      </c>
    </row>
    <row r="11" ht="18" customHeight="1">
      <c r="A11" s="53" t="n">
        <v>1</v>
      </c>
      <c r="B11" s="5" t="n"/>
      <c r="F11" s="32" t="n"/>
      <c r="G11" s="17">
        <f>IFERROR(SUM(F11:F11),"")</f>
        <v/>
      </c>
      <c r="H11" s="17">
        <f>IF(F11="","",1)</f>
        <v/>
      </c>
      <c r="I11" s="17">
        <f>IFERROR(IF(F11="","",CEILING(G11/((IFERROR(B8,0)+IFERROR(G8,0))/(IFERROR('Getting Started'!C15,0)+IFERROR('Getting Started'!C23,0))),1)),"")</f>
        <v/>
      </c>
      <c r="J11" s="54">
        <f>IFERROR(IF(F11="","",TEXT('Getting Started'!C10+(H11-1)*7,"MMM D")&amp;" – "&amp;TEXT('Getting Started'!C10+I11*7,"MMM D")),"")</f>
        <v/>
      </c>
    </row>
    <row r="12" ht="18" customHeight="1">
      <c r="A12" s="53" t="n">
        <v>2</v>
      </c>
      <c r="B12" s="18" t="n"/>
      <c r="F12" s="55" t="n"/>
      <c r="G12" s="17">
        <f>IFERROR(SUM(F11:F12),"")</f>
        <v/>
      </c>
      <c r="H12" s="17">
        <f>IFERROR(IF(F12="","",FLOOR(G11/((IFERROR(B8,0)+IFERROR(G8,0))/(IFERROR('Getting Started'!C15,0)+IFERROR('Getting Started'!C23,0))),1)+1),"")</f>
        <v/>
      </c>
      <c r="I12" s="17">
        <f>IFERROR(IF(F12="","",CEILING(G12/((IFERROR(B8,0)+IFERROR(G8,0))/(IFERROR('Getting Started'!C15,0)+IFERROR('Getting Started'!C23,0))),1)),"")</f>
        <v/>
      </c>
      <c r="J12" s="54">
        <f>IFERROR(IF(F12="","",TEXT('Getting Started'!C10+(H12-1)*7,"MMM D")&amp;" – "&amp;TEXT('Getting Started'!C10+I12*7,"MMM D")),"")</f>
        <v/>
      </c>
    </row>
    <row r="13" ht="18" customHeight="1">
      <c r="A13" s="53" t="n">
        <v>3</v>
      </c>
      <c r="B13" s="5" t="n"/>
      <c r="F13" s="32" t="n"/>
      <c r="G13" s="17">
        <f>IFERROR(SUM(F11:F13),"")</f>
        <v/>
      </c>
      <c r="H13" s="17">
        <f>IFERROR(IF(F13="","",FLOOR(G12/((IFERROR(B8,0)+IFERROR(G8,0))/(IFERROR('Getting Started'!C15,0)+IFERROR('Getting Started'!C23,0))),1)+1),"")</f>
        <v/>
      </c>
      <c r="I13" s="17">
        <f>IFERROR(IF(F13="","",CEILING(G13/((IFERROR(B8,0)+IFERROR(G8,0))/(IFERROR('Getting Started'!C15,0)+IFERROR('Getting Started'!C23,0))),1)),"")</f>
        <v/>
      </c>
      <c r="J13" s="54">
        <f>IFERROR(IF(F13="","",TEXT('Getting Started'!C10+(H13-1)*7,"MMM D")&amp;" – "&amp;TEXT('Getting Started'!C10+I13*7,"MMM D")),"")</f>
        <v/>
      </c>
    </row>
    <row r="14" ht="18" customHeight="1">
      <c r="A14" s="53" t="n">
        <v>4</v>
      </c>
      <c r="B14" s="18" t="n"/>
      <c r="F14" s="55" t="n"/>
      <c r="G14" s="17">
        <f>IFERROR(SUM(F11:F14),"")</f>
        <v/>
      </c>
      <c r="H14" s="17">
        <f>IFERROR(IF(F14="","",FLOOR(G13/((IFERROR(B8,0)+IFERROR(G8,0))/(IFERROR('Getting Started'!C15,0)+IFERROR('Getting Started'!C23,0))),1)+1),"")</f>
        <v/>
      </c>
      <c r="I14" s="17">
        <f>IFERROR(IF(F14="","",CEILING(G14/((IFERROR(B8,0)+IFERROR(G8,0))/(IFERROR('Getting Started'!C15,0)+IFERROR('Getting Started'!C23,0))),1)),"")</f>
        <v/>
      </c>
      <c r="J14" s="54">
        <f>IFERROR(IF(F14="","",TEXT('Getting Started'!C10+(H14-1)*7,"MMM D")&amp;" – "&amp;TEXT('Getting Started'!C10+I14*7,"MMM D")),"")</f>
        <v/>
      </c>
    </row>
    <row r="15" ht="18" customHeight="1">
      <c r="A15" s="53" t="n">
        <v>5</v>
      </c>
      <c r="B15" s="5" t="n"/>
      <c r="F15" s="32" t="n"/>
      <c r="G15" s="17">
        <f>IFERROR(SUM(F11:F15),"")</f>
        <v/>
      </c>
      <c r="H15" s="17">
        <f>IFERROR(IF(F15="","",FLOOR(G14/((IFERROR(B8,0)+IFERROR(G8,0))/(IFERROR('Getting Started'!C15,0)+IFERROR('Getting Started'!C23,0))),1)+1),"")</f>
        <v/>
      </c>
      <c r="I15" s="17">
        <f>IFERROR(IF(F15="","",CEILING(G15/((IFERROR(B8,0)+IFERROR(G8,0))/(IFERROR('Getting Started'!C15,0)+IFERROR('Getting Started'!C23,0))),1)),"")</f>
        <v/>
      </c>
      <c r="J15" s="54">
        <f>IFERROR(IF(F15="","",TEXT('Getting Started'!C10+(H15-1)*7,"MMM D")&amp;" – "&amp;TEXT('Getting Started'!C10+I15*7,"MMM D")),"")</f>
        <v/>
      </c>
    </row>
    <row r="16" ht="18" customHeight="1">
      <c r="A16" s="53" t="n">
        <v>6</v>
      </c>
      <c r="B16" s="18" t="n"/>
      <c r="F16" s="55" t="n"/>
      <c r="G16" s="17">
        <f>IFERROR(SUM(F11:F16),"")</f>
        <v/>
      </c>
      <c r="H16" s="17">
        <f>IFERROR(IF(F16="","",FLOOR(G15/((IFERROR(B8,0)+IFERROR(G8,0))/(IFERROR('Getting Started'!C15,0)+IFERROR('Getting Started'!C23,0))),1)+1),"")</f>
        <v/>
      </c>
      <c r="I16" s="17">
        <f>IFERROR(IF(F16="","",CEILING(G16/((IFERROR(B8,0)+IFERROR(G8,0))/(IFERROR('Getting Started'!C15,0)+IFERROR('Getting Started'!C23,0))),1)),"")</f>
        <v/>
      </c>
      <c r="J16" s="54">
        <f>IFERROR(IF(F16="","",TEXT('Getting Started'!C10+(H16-1)*7,"MMM D")&amp;" – "&amp;TEXT('Getting Started'!C10+I16*7,"MMM D")),"")</f>
        <v/>
      </c>
    </row>
    <row r="17" ht="20" customHeight="1">
      <c r="A17" s="56">
        <f>IFERROR(IF('Course Content'!I36="","",'Course Content'!I36),"")</f>
        <v/>
      </c>
    </row>
    <row r="18" ht="8" customHeight="1"/>
    <row r="19" ht="24" customHeight="1">
      <c r="A19" s="44" t="inlineStr">
        <is>
          <t xml:space="preserve">  MATH</t>
        </is>
      </c>
      <c r="E19" s="45">
        <f>IFERROR(IF('Course Content'!E37="","← enter on Course Content tab",'Course Content'!E37),"")</f>
        <v/>
      </c>
    </row>
    <row r="20" ht="22" customHeight="1">
      <c r="B20" s="46">
        <f>'Course Content'!G37</f>
        <v/>
      </c>
      <c r="C20" s="47">
        <f>IFERROR(IF(B20="","",ROUND(B20/'Getting Started'!C15,1)),"")</f>
        <v/>
      </c>
      <c r="D20" s="47">
        <f>IFERROR(IF(C20="","",ROUND(C20/'Getting Started'!C7,1)),"")</f>
        <v/>
      </c>
      <c r="E20" s="48">
        <f>IFERROR(IF(B20="","",TEXT('Getting Started'!C10+(B20/D20),"MMM D, YYYY")),"")</f>
        <v/>
      </c>
      <c r="F20" s="39" t="n"/>
      <c r="G20" s="49">
        <f>'Course Content'!H37</f>
        <v/>
      </c>
      <c r="H20" s="50">
        <f>IFERROR(IF(G20="","",ROUND(G20/'Getting Started'!C23,1)),"")</f>
        <v/>
      </c>
      <c r="I20" s="50">
        <f>IFERROR(IF(H20="","",ROUND(H20/'Getting Started'!C7,1)),"")</f>
        <v/>
      </c>
      <c r="J20" s="51">
        <f>IFERROR(IF(G20="","",TEXT('Getting Started'!C18+(G20/I20),"MMM D, YYYY")),"")</f>
        <v/>
      </c>
    </row>
    <row r="21" ht="16" customHeight="1">
      <c r="A21" s="52" t="inlineStr">
        <is>
          <t xml:space="preserve">  Component Breakdown  (optional — use for multi-volume curricula)</t>
        </is>
      </c>
    </row>
    <row r="22" ht="22" customHeight="1">
      <c r="A22" s="28" t="inlineStr">
        <is>
          <t>#</t>
        </is>
      </c>
      <c r="B22" s="28" t="inlineStr">
        <is>
          <t>Book / Component Title</t>
        </is>
      </c>
      <c r="F22" s="28" t="inlineStr">
        <is>
          <t>Units</t>
        </is>
      </c>
      <c r="G22" s="28" t="inlineStr">
        <is>
          <t>Cumul.</t>
        </is>
      </c>
      <c r="H22" s="28" t="inlineStr">
        <is>
          <t>Start
Week</t>
        </is>
      </c>
      <c r="I22" s="28" t="inlineStr">
        <is>
          <t>End
Week</t>
        </is>
      </c>
      <c r="J22" s="28" t="inlineStr">
        <is>
          <t>Est. Dates</t>
        </is>
      </c>
    </row>
    <row r="23" ht="18" customHeight="1">
      <c r="A23" s="53" t="n">
        <v>1</v>
      </c>
      <c r="B23" s="5" t="n"/>
      <c r="F23" s="32" t="n"/>
      <c r="G23" s="17">
        <f>IFERROR(SUM(F23:F23),"")</f>
        <v/>
      </c>
      <c r="H23" s="17">
        <f>IF(F23="","",1)</f>
        <v/>
      </c>
      <c r="I23" s="17">
        <f>IFERROR(IF(F23="","",CEILING(G23/((IFERROR(B20,0)+IFERROR(G20,0))/(IFERROR('Getting Started'!C15,0)+IFERROR('Getting Started'!C23,0))),1)),"")</f>
        <v/>
      </c>
      <c r="J23" s="54">
        <f>IFERROR(IF(F23="","",TEXT('Getting Started'!C10+(H23-1)*7,"MMM D")&amp;" – "&amp;TEXT('Getting Started'!C10+I23*7,"MMM D")),"")</f>
        <v/>
      </c>
    </row>
    <row r="24" ht="18" customHeight="1">
      <c r="A24" s="53" t="n">
        <v>2</v>
      </c>
      <c r="B24" s="18" t="n"/>
      <c r="F24" s="55" t="n"/>
      <c r="G24" s="17">
        <f>IFERROR(SUM(F23:F24),"")</f>
        <v/>
      </c>
      <c r="H24" s="17">
        <f>IFERROR(IF(F24="","",FLOOR(G23/((IFERROR(B20,0)+IFERROR(G20,0))/(IFERROR('Getting Started'!C15,0)+IFERROR('Getting Started'!C23,0))),1)+1),"")</f>
        <v/>
      </c>
      <c r="I24" s="17">
        <f>IFERROR(IF(F24="","",CEILING(G24/((IFERROR(B20,0)+IFERROR(G20,0))/(IFERROR('Getting Started'!C15,0)+IFERROR('Getting Started'!C23,0))),1)),"")</f>
        <v/>
      </c>
      <c r="J24" s="54">
        <f>IFERROR(IF(F24="","",TEXT('Getting Started'!C10+(H24-1)*7,"MMM D")&amp;" – "&amp;TEXT('Getting Started'!C10+I24*7,"MMM D")),"")</f>
        <v/>
      </c>
    </row>
    <row r="25" ht="18" customHeight="1">
      <c r="A25" s="53" t="n">
        <v>3</v>
      </c>
      <c r="B25" s="5" t="n"/>
      <c r="F25" s="32" t="n"/>
      <c r="G25" s="17">
        <f>IFERROR(SUM(F23:F25),"")</f>
        <v/>
      </c>
      <c r="H25" s="17">
        <f>IFERROR(IF(F25="","",FLOOR(G24/((IFERROR(B20,0)+IFERROR(G20,0))/(IFERROR('Getting Started'!C15,0)+IFERROR('Getting Started'!C23,0))),1)+1),"")</f>
        <v/>
      </c>
      <c r="I25" s="17">
        <f>IFERROR(IF(F25="","",CEILING(G25/((IFERROR(B20,0)+IFERROR(G20,0))/(IFERROR('Getting Started'!C15,0)+IFERROR('Getting Started'!C23,0))),1)),"")</f>
        <v/>
      </c>
      <c r="J25" s="54">
        <f>IFERROR(IF(F25="","",TEXT('Getting Started'!C10+(H25-1)*7,"MMM D")&amp;" – "&amp;TEXT('Getting Started'!C10+I25*7,"MMM D")),"")</f>
        <v/>
      </c>
    </row>
    <row r="26" ht="18" customHeight="1">
      <c r="A26" s="53" t="n">
        <v>4</v>
      </c>
      <c r="B26" s="18" t="n"/>
      <c r="F26" s="55" t="n"/>
      <c r="G26" s="17">
        <f>IFERROR(SUM(F23:F26),"")</f>
        <v/>
      </c>
      <c r="H26" s="17">
        <f>IFERROR(IF(F26="","",FLOOR(G25/((IFERROR(B20,0)+IFERROR(G20,0))/(IFERROR('Getting Started'!C15,0)+IFERROR('Getting Started'!C23,0))),1)+1),"")</f>
        <v/>
      </c>
      <c r="I26" s="17">
        <f>IFERROR(IF(F26="","",CEILING(G26/((IFERROR(B20,0)+IFERROR(G20,0))/(IFERROR('Getting Started'!C15,0)+IFERROR('Getting Started'!C23,0))),1)),"")</f>
        <v/>
      </c>
      <c r="J26" s="54">
        <f>IFERROR(IF(F26="","",TEXT('Getting Started'!C10+(H26-1)*7,"MMM D")&amp;" – "&amp;TEXT('Getting Started'!C10+I26*7,"MMM D")),"")</f>
        <v/>
      </c>
    </row>
    <row r="27" ht="18" customHeight="1">
      <c r="A27" s="53" t="n">
        <v>5</v>
      </c>
      <c r="B27" s="5" t="n"/>
      <c r="F27" s="32" t="n"/>
      <c r="G27" s="17">
        <f>IFERROR(SUM(F23:F27),"")</f>
        <v/>
      </c>
      <c r="H27" s="17">
        <f>IFERROR(IF(F27="","",FLOOR(G26/((IFERROR(B20,0)+IFERROR(G20,0))/(IFERROR('Getting Started'!C15,0)+IFERROR('Getting Started'!C23,0))),1)+1),"")</f>
        <v/>
      </c>
      <c r="I27" s="17">
        <f>IFERROR(IF(F27="","",CEILING(G27/((IFERROR(B20,0)+IFERROR(G20,0))/(IFERROR('Getting Started'!C15,0)+IFERROR('Getting Started'!C23,0))),1)),"")</f>
        <v/>
      </c>
      <c r="J27" s="54">
        <f>IFERROR(IF(F27="","",TEXT('Getting Started'!C10+(H27-1)*7,"MMM D")&amp;" – "&amp;TEXT('Getting Started'!C10+I27*7,"MMM D")),"")</f>
        <v/>
      </c>
    </row>
    <row r="28" ht="18" customHeight="1">
      <c r="A28" s="53" t="n">
        <v>6</v>
      </c>
      <c r="B28" s="18" t="n"/>
      <c r="F28" s="55" t="n"/>
      <c r="G28" s="17">
        <f>IFERROR(SUM(F23:F28),"")</f>
        <v/>
      </c>
      <c r="H28" s="17">
        <f>IFERROR(IF(F28="","",FLOOR(G27/((IFERROR(B20,0)+IFERROR(G20,0))/(IFERROR('Getting Started'!C15,0)+IFERROR('Getting Started'!C23,0))),1)+1),"")</f>
        <v/>
      </c>
      <c r="I28" s="17">
        <f>IFERROR(IF(F28="","",CEILING(G28/((IFERROR(B20,0)+IFERROR(G20,0))/(IFERROR('Getting Started'!C15,0)+IFERROR('Getting Started'!C23,0))),1)),"")</f>
        <v/>
      </c>
      <c r="J28" s="54">
        <f>IFERROR(IF(F28="","",TEXT('Getting Started'!C10+(H28-1)*7,"MMM D")&amp;" – "&amp;TEXT('Getting Started'!C10+I28*7,"MMM D")),"")</f>
        <v/>
      </c>
    </row>
    <row r="29" ht="20" customHeight="1">
      <c r="A29" s="56">
        <f>IFERROR(IF('Course Content'!I37="","",'Course Content'!I37),"")</f>
        <v/>
      </c>
    </row>
    <row r="30" ht="8" customHeight="1"/>
    <row r="31" ht="24" customHeight="1">
      <c r="A31" s="44" t="inlineStr">
        <is>
          <t xml:space="preserve">  ENGLISH / LANGUAGE ARTS</t>
        </is>
      </c>
      <c r="E31" s="45">
        <f>IFERROR(IF('Course Content'!E38="","← enter on Course Content tab",'Course Content'!E38),"")</f>
        <v/>
      </c>
    </row>
    <row r="32" ht="22" customHeight="1">
      <c r="B32" s="46">
        <f>'Course Content'!G38</f>
        <v/>
      </c>
      <c r="C32" s="47">
        <f>IFERROR(IF(B32="","",ROUND(B32/'Getting Started'!C15,1)),"")</f>
        <v/>
      </c>
      <c r="D32" s="47">
        <f>IFERROR(IF(C32="","",ROUND(C32/'Getting Started'!C7,1)),"")</f>
        <v/>
      </c>
      <c r="E32" s="48">
        <f>IFERROR(IF(B32="","",TEXT('Getting Started'!C10+(B32/D32),"MMM D, YYYY")),"")</f>
        <v/>
      </c>
      <c r="F32" s="39" t="n"/>
      <c r="G32" s="49">
        <f>'Course Content'!H38</f>
        <v/>
      </c>
      <c r="H32" s="50">
        <f>IFERROR(IF(G32="","",ROUND(G32/'Getting Started'!C23,1)),"")</f>
        <v/>
      </c>
      <c r="I32" s="50">
        <f>IFERROR(IF(H32="","",ROUND(H32/'Getting Started'!C7,1)),"")</f>
        <v/>
      </c>
      <c r="J32" s="51">
        <f>IFERROR(IF(G32="","",TEXT('Getting Started'!C18+(G32/I32),"MMM D, YYYY")),"")</f>
        <v/>
      </c>
    </row>
    <row r="33" ht="16" customHeight="1">
      <c r="A33" s="52" t="inlineStr">
        <is>
          <t xml:space="preserve">  Component Breakdown  (optional — use for multi-volume curricula)</t>
        </is>
      </c>
    </row>
    <row r="34" ht="22" customHeight="1">
      <c r="A34" s="28" t="inlineStr">
        <is>
          <t>#</t>
        </is>
      </c>
      <c r="B34" s="28" t="inlineStr">
        <is>
          <t>Book / Component Title</t>
        </is>
      </c>
      <c r="F34" s="28" t="inlineStr">
        <is>
          <t>Units</t>
        </is>
      </c>
      <c r="G34" s="28" t="inlineStr">
        <is>
          <t>Cumul.</t>
        </is>
      </c>
      <c r="H34" s="28" t="inlineStr">
        <is>
          <t>Start
Week</t>
        </is>
      </c>
      <c r="I34" s="28" t="inlineStr">
        <is>
          <t>End
Week</t>
        </is>
      </c>
      <c r="J34" s="28" t="inlineStr">
        <is>
          <t>Est. Dates</t>
        </is>
      </c>
    </row>
    <row r="35" ht="18" customHeight="1">
      <c r="A35" s="53" t="n">
        <v>1</v>
      </c>
      <c r="B35" s="5" t="n"/>
      <c r="F35" s="32" t="n"/>
      <c r="G35" s="17">
        <f>IFERROR(SUM(F35:F35),"")</f>
        <v/>
      </c>
      <c r="H35" s="17">
        <f>IF(F35="","",1)</f>
        <v/>
      </c>
      <c r="I35" s="17">
        <f>IFERROR(IF(F35="","",CEILING(G35/((IFERROR(B32,0)+IFERROR(G32,0))/(IFERROR('Getting Started'!C15,0)+IFERROR('Getting Started'!C23,0))),1)),"")</f>
        <v/>
      </c>
      <c r="J35" s="54">
        <f>IFERROR(IF(F35="","",TEXT('Getting Started'!C10+(H35-1)*7,"MMM D")&amp;" – "&amp;TEXT('Getting Started'!C10+I35*7,"MMM D")),"")</f>
        <v/>
      </c>
    </row>
    <row r="36" ht="18" customHeight="1">
      <c r="A36" s="53" t="n">
        <v>2</v>
      </c>
      <c r="B36" s="18" t="n"/>
      <c r="F36" s="55" t="n"/>
      <c r="G36" s="17">
        <f>IFERROR(SUM(F35:F36),"")</f>
        <v/>
      </c>
      <c r="H36" s="17">
        <f>IFERROR(IF(F36="","",FLOOR(G35/((IFERROR(B32,0)+IFERROR(G32,0))/(IFERROR('Getting Started'!C15,0)+IFERROR('Getting Started'!C23,0))),1)+1),"")</f>
        <v/>
      </c>
      <c r="I36" s="17">
        <f>IFERROR(IF(F36="","",CEILING(G36/((IFERROR(B32,0)+IFERROR(G32,0))/(IFERROR('Getting Started'!C15,0)+IFERROR('Getting Started'!C23,0))),1)),"")</f>
        <v/>
      </c>
      <c r="J36" s="54">
        <f>IFERROR(IF(F36="","",TEXT('Getting Started'!C10+(H36-1)*7,"MMM D")&amp;" – "&amp;TEXT('Getting Started'!C10+I36*7,"MMM D")),"")</f>
        <v/>
      </c>
    </row>
    <row r="37" ht="18" customHeight="1">
      <c r="A37" s="53" t="n">
        <v>3</v>
      </c>
      <c r="B37" s="5" t="n"/>
      <c r="F37" s="32" t="n"/>
      <c r="G37" s="17">
        <f>IFERROR(SUM(F35:F37),"")</f>
        <v/>
      </c>
      <c r="H37" s="17">
        <f>IFERROR(IF(F37="","",FLOOR(G36/((IFERROR(B32,0)+IFERROR(G32,0))/(IFERROR('Getting Started'!C15,0)+IFERROR('Getting Started'!C23,0))),1)+1),"")</f>
        <v/>
      </c>
      <c r="I37" s="17">
        <f>IFERROR(IF(F37="","",CEILING(G37/((IFERROR(B32,0)+IFERROR(G32,0))/(IFERROR('Getting Started'!C15,0)+IFERROR('Getting Started'!C23,0))),1)),"")</f>
        <v/>
      </c>
      <c r="J37" s="54">
        <f>IFERROR(IF(F37="","",TEXT('Getting Started'!C10+(H37-1)*7,"MMM D")&amp;" – "&amp;TEXT('Getting Started'!C10+I37*7,"MMM D")),"")</f>
        <v/>
      </c>
    </row>
    <row r="38" ht="18" customHeight="1">
      <c r="A38" s="53" t="n">
        <v>4</v>
      </c>
      <c r="B38" s="18" t="n"/>
      <c r="F38" s="55" t="n"/>
      <c r="G38" s="17">
        <f>IFERROR(SUM(F35:F38),"")</f>
        <v/>
      </c>
      <c r="H38" s="17">
        <f>IFERROR(IF(F38="","",FLOOR(G37/((IFERROR(B32,0)+IFERROR(G32,0))/(IFERROR('Getting Started'!C15,0)+IFERROR('Getting Started'!C23,0))),1)+1),"")</f>
        <v/>
      </c>
      <c r="I38" s="17">
        <f>IFERROR(IF(F38="","",CEILING(G38/((IFERROR(B32,0)+IFERROR(G32,0))/(IFERROR('Getting Started'!C15,0)+IFERROR('Getting Started'!C23,0))),1)),"")</f>
        <v/>
      </c>
      <c r="J38" s="54">
        <f>IFERROR(IF(F38="","",TEXT('Getting Started'!C10+(H38-1)*7,"MMM D")&amp;" – "&amp;TEXT('Getting Started'!C10+I38*7,"MMM D")),"")</f>
        <v/>
      </c>
    </row>
    <row r="39" ht="18" customHeight="1">
      <c r="A39" s="53" t="n">
        <v>5</v>
      </c>
      <c r="B39" s="5" t="n"/>
      <c r="F39" s="32" t="n"/>
      <c r="G39" s="17">
        <f>IFERROR(SUM(F35:F39),"")</f>
        <v/>
      </c>
      <c r="H39" s="17">
        <f>IFERROR(IF(F39="","",FLOOR(G38/((IFERROR(B32,0)+IFERROR(G32,0))/(IFERROR('Getting Started'!C15,0)+IFERROR('Getting Started'!C23,0))),1)+1),"")</f>
        <v/>
      </c>
      <c r="I39" s="17">
        <f>IFERROR(IF(F39="","",CEILING(G39/((IFERROR(B32,0)+IFERROR(G32,0))/(IFERROR('Getting Started'!C15,0)+IFERROR('Getting Started'!C23,0))),1)),"")</f>
        <v/>
      </c>
      <c r="J39" s="54">
        <f>IFERROR(IF(F39="","",TEXT('Getting Started'!C10+(H39-1)*7,"MMM D")&amp;" – "&amp;TEXT('Getting Started'!C10+I39*7,"MMM D")),"")</f>
        <v/>
      </c>
    </row>
    <row r="40" ht="18" customHeight="1">
      <c r="A40" s="53" t="n">
        <v>6</v>
      </c>
      <c r="B40" s="18" t="n"/>
      <c r="F40" s="55" t="n"/>
      <c r="G40" s="17">
        <f>IFERROR(SUM(F35:F40),"")</f>
        <v/>
      </c>
      <c r="H40" s="17">
        <f>IFERROR(IF(F40="","",FLOOR(G39/((IFERROR(B32,0)+IFERROR(G32,0))/(IFERROR('Getting Started'!C15,0)+IFERROR('Getting Started'!C23,0))),1)+1),"")</f>
        <v/>
      </c>
      <c r="I40" s="17">
        <f>IFERROR(IF(F40="","",CEILING(G40/((IFERROR(B32,0)+IFERROR(G32,0))/(IFERROR('Getting Started'!C15,0)+IFERROR('Getting Started'!C23,0))),1)),"")</f>
        <v/>
      </c>
      <c r="J40" s="54">
        <f>IFERROR(IF(F40="","",TEXT('Getting Started'!C10+(H40-1)*7,"MMM D")&amp;" – "&amp;TEXT('Getting Started'!C10+I40*7,"MMM D")),"")</f>
        <v/>
      </c>
    </row>
    <row r="41" ht="20" customHeight="1">
      <c r="A41" s="56">
        <f>IFERROR(IF('Course Content'!I38="","",'Course Content'!I38),"")</f>
        <v/>
      </c>
    </row>
    <row r="42" ht="8" customHeight="1"/>
    <row r="43" ht="24" customHeight="1">
      <c r="A43" s="44" t="inlineStr">
        <is>
          <t xml:space="preserve">  READING</t>
        </is>
      </c>
      <c r="E43" s="45">
        <f>IFERROR(IF('Course Content'!E39="","← enter on Course Content tab",'Course Content'!E39),"")</f>
        <v/>
      </c>
    </row>
    <row r="44" ht="22" customHeight="1">
      <c r="B44" s="46">
        <f>'Course Content'!G39</f>
        <v/>
      </c>
      <c r="C44" s="47">
        <f>IFERROR(IF(B44="","",ROUND(B44/'Getting Started'!C15,1)),"")</f>
        <v/>
      </c>
      <c r="D44" s="47">
        <f>IFERROR(IF(C44="","",ROUND(C44/'Getting Started'!C7,1)),"")</f>
        <v/>
      </c>
      <c r="E44" s="48">
        <f>IFERROR(IF(B44="","",TEXT('Getting Started'!C10+(B44/D44),"MMM D, YYYY")),"")</f>
        <v/>
      </c>
      <c r="F44" s="39" t="n"/>
      <c r="G44" s="49">
        <f>'Course Content'!H39</f>
        <v/>
      </c>
      <c r="H44" s="50">
        <f>IFERROR(IF(G44="","",ROUND(G44/'Getting Started'!C23,1)),"")</f>
        <v/>
      </c>
      <c r="I44" s="50">
        <f>IFERROR(IF(H44="","",ROUND(H44/'Getting Started'!C7,1)),"")</f>
        <v/>
      </c>
      <c r="J44" s="51">
        <f>IFERROR(IF(G44="","",TEXT('Getting Started'!C18+(G44/I44),"MMM D, YYYY")),"")</f>
        <v/>
      </c>
    </row>
    <row r="45" ht="16" customHeight="1">
      <c r="A45" s="52" t="inlineStr">
        <is>
          <t xml:space="preserve">  Component Breakdown  (optional — use for multi-volume curricula)</t>
        </is>
      </c>
    </row>
    <row r="46" ht="22" customHeight="1">
      <c r="A46" s="28" t="inlineStr">
        <is>
          <t>#</t>
        </is>
      </c>
      <c r="B46" s="28" t="inlineStr">
        <is>
          <t>Book / Component Title</t>
        </is>
      </c>
      <c r="F46" s="28" t="inlineStr">
        <is>
          <t>Units</t>
        </is>
      </c>
      <c r="G46" s="28" t="inlineStr">
        <is>
          <t>Cumul.</t>
        </is>
      </c>
      <c r="H46" s="28" t="inlineStr">
        <is>
          <t>Start
Week</t>
        </is>
      </c>
      <c r="I46" s="28" t="inlineStr">
        <is>
          <t>End
Week</t>
        </is>
      </c>
      <c r="J46" s="28" t="inlineStr">
        <is>
          <t>Est. Dates</t>
        </is>
      </c>
    </row>
    <row r="47" ht="18" customHeight="1">
      <c r="A47" s="53" t="n">
        <v>1</v>
      </c>
      <c r="B47" s="5" t="n"/>
      <c r="F47" s="32" t="n"/>
      <c r="G47" s="17">
        <f>IFERROR(SUM(F47:F47),"")</f>
        <v/>
      </c>
      <c r="H47" s="17">
        <f>IF(F47="","",1)</f>
        <v/>
      </c>
      <c r="I47" s="17">
        <f>IFERROR(IF(F47="","",CEILING(G47/((IFERROR(B44,0)+IFERROR(G44,0))/(IFERROR('Getting Started'!C15,0)+IFERROR('Getting Started'!C23,0))),1)),"")</f>
        <v/>
      </c>
      <c r="J47" s="54">
        <f>IFERROR(IF(F47="","",TEXT('Getting Started'!C10+(H47-1)*7,"MMM D")&amp;" – "&amp;TEXT('Getting Started'!C10+I47*7,"MMM D")),"")</f>
        <v/>
      </c>
    </row>
    <row r="48" ht="18" customHeight="1">
      <c r="A48" s="53" t="n">
        <v>2</v>
      </c>
      <c r="B48" s="18" t="n"/>
      <c r="F48" s="55" t="n"/>
      <c r="G48" s="17">
        <f>IFERROR(SUM(F47:F48),"")</f>
        <v/>
      </c>
      <c r="H48" s="17">
        <f>IFERROR(IF(F48="","",FLOOR(G47/((IFERROR(B44,0)+IFERROR(G44,0))/(IFERROR('Getting Started'!C15,0)+IFERROR('Getting Started'!C23,0))),1)+1),"")</f>
        <v/>
      </c>
      <c r="I48" s="17">
        <f>IFERROR(IF(F48="","",CEILING(G48/((IFERROR(B44,0)+IFERROR(G44,0))/(IFERROR('Getting Started'!C15,0)+IFERROR('Getting Started'!C23,0))),1)),"")</f>
        <v/>
      </c>
      <c r="J48" s="54">
        <f>IFERROR(IF(F48="","",TEXT('Getting Started'!C10+(H48-1)*7,"MMM D")&amp;" – "&amp;TEXT('Getting Started'!C10+I48*7,"MMM D")),"")</f>
        <v/>
      </c>
    </row>
    <row r="49" ht="18" customHeight="1">
      <c r="A49" s="53" t="n">
        <v>3</v>
      </c>
      <c r="B49" s="5" t="n"/>
      <c r="F49" s="32" t="n"/>
      <c r="G49" s="17">
        <f>IFERROR(SUM(F47:F49),"")</f>
        <v/>
      </c>
      <c r="H49" s="17">
        <f>IFERROR(IF(F49="","",FLOOR(G48/((IFERROR(B44,0)+IFERROR(G44,0))/(IFERROR('Getting Started'!C15,0)+IFERROR('Getting Started'!C23,0))),1)+1),"")</f>
        <v/>
      </c>
      <c r="I49" s="17">
        <f>IFERROR(IF(F49="","",CEILING(G49/((IFERROR(B44,0)+IFERROR(G44,0))/(IFERROR('Getting Started'!C15,0)+IFERROR('Getting Started'!C23,0))),1)),"")</f>
        <v/>
      </c>
      <c r="J49" s="54">
        <f>IFERROR(IF(F49="","",TEXT('Getting Started'!C10+(H49-1)*7,"MMM D")&amp;" – "&amp;TEXT('Getting Started'!C10+I49*7,"MMM D")),"")</f>
        <v/>
      </c>
    </row>
    <row r="50" ht="18" customHeight="1">
      <c r="A50" s="53" t="n">
        <v>4</v>
      </c>
      <c r="B50" s="18" t="n"/>
      <c r="F50" s="55" t="n"/>
      <c r="G50" s="17">
        <f>IFERROR(SUM(F47:F50),"")</f>
        <v/>
      </c>
      <c r="H50" s="17">
        <f>IFERROR(IF(F50="","",FLOOR(G49/((IFERROR(B44,0)+IFERROR(G44,0))/(IFERROR('Getting Started'!C15,0)+IFERROR('Getting Started'!C23,0))),1)+1),"")</f>
        <v/>
      </c>
      <c r="I50" s="17">
        <f>IFERROR(IF(F50="","",CEILING(G50/((IFERROR(B44,0)+IFERROR(G44,0))/(IFERROR('Getting Started'!C15,0)+IFERROR('Getting Started'!C23,0))),1)),"")</f>
        <v/>
      </c>
      <c r="J50" s="54">
        <f>IFERROR(IF(F50="","",TEXT('Getting Started'!C10+(H50-1)*7,"MMM D")&amp;" – "&amp;TEXT('Getting Started'!C10+I50*7,"MMM D")),"")</f>
        <v/>
      </c>
    </row>
    <row r="51" ht="18" customHeight="1">
      <c r="A51" s="53" t="n">
        <v>5</v>
      </c>
      <c r="B51" s="5" t="n"/>
      <c r="F51" s="32" t="n"/>
      <c r="G51" s="17">
        <f>IFERROR(SUM(F47:F51),"")</f>
        <v/>
      </c>
      <c r="H51" s="17">
        <f>IFERROR(IF(F51="","",FLOOR(G50/((IFERROR(B44,0)+IFERROR(G44,0))/(IFERROR('Getting Started'!C15,0)+IFERROR('Getting Started'!C23,0))),1)+1),"")</f>
        <v/>
      </c>
      <c r="I51" s="17">
        <f>IFERROR(IF(F51="","",CEILING(G51/((IFERROR(B44,0)+IFERROR(G44,0))/(IFERROR('Getting Started'!C15,0)+IFERROR('Getting Started'!C23,0))),1)),"")</f>
        <v/>
      </c>
      <c r="J51" s="54">
        <f>IFERROR(IF(F51="","",TEXT('Getting Started'!C10+(H51-1)*7,"MMM D")&amp;" – "&amp;TEXT('Getting Started'!C10+I51*7,"MMM D")),"")</f>
        <v/>
      </c>
    </row>
    <row r="52" ht="18" customHeight="1">
      <c r="A52" s="53" t="n">
        <v>6</v>
      </c>
      <c r="B52" s="18" t="n"/>
      <c r="F52" s="55" t="n"/>
      <c r="G52" s="17">
        <f>IFERROR(SUM(F47:F52),"")</f>
        <v/>
      </c>
      <c r="H52" s="17">
        <f>IFERROR(IF(F52="","",FLOOR(G51/((IFERROR(B44,0)+IFERROR(G44,0))/(IFERROR('Getting Started'!C15,0)+IFERROR('Getting Started'!C23,0))),1)+1),"")</f>
        <v/>
      </c>
      <c r="I52" s="17">
        <f>IFERROR(IF(F52="","",CEILING(G52/((IFERROR(B44,0)+IFERROR(G44,0))/(IFERROR('Getting Started'!C15,0)+IFERROR('Getting Started'!C23,0))),1)),"")</f>
        <v/>
      </c>
      <c r="J52" s="54">
        <f>IFERROR(IF(F52="","",TEXT('Getting Started'!C10+(H52-1)*7,"MMM D")&amp;" – "&amp;TEXT('Getting Started'!C10+I52*7,"MMM D")),"")</f>
        <v/>
      </c>
    </row>
    <row r="53" ht="20" customHeight="1">
      <c r="A53" s="56">
        <f>IFERROR(IF('Course Content'!I39="","",'Course Content'!I39),"")</f>
        <v/>
      </c>
    </row>
    <row r="54" ht="8" customHeight="1"/>
    <row r="55" ht="24" customHeight="1">
      <c r="A55" s="44" t="inlineStr">
        <is>
          <t xml:space="preserve">  WRITING / COMPOSITION</t>
        </is>
      </c>
      <c r="E55" s="45">
        <f>IFERROR(IF('Course Content'!E40="","← enter on Course Content tab",'Course Content'!E40),"")</f>
        <v/>
      </c>
    </row>
    <row r="56" ht="22" customHeight="1">
      <c r="B56" s="46">
        <f>'Course Content'!G40</f>
        <v/>
      </c>
      <c r="C56" s="47">
        <f>IFERROR(IF(B56="","",ROUND(B56/'Getting Started'!C15,1)),"")</f>
        <v/>
      </c>
      <c r="D56" s="47">
        <f>IFERROR(IF(C56="","",ROUND(C56/'Getting Started'!C7,1)),"")</f>
        <v/>
      </c>
      <c r="E56" s="48">
        <f>IFERROR(IF(B56="","",TEXT('Getting Started'!C10+(B56/D56),"MMM D, YYYY")),"")</f>
        <v/>
      </c>
      <c r="F56" s="39" t="n"/>
      <c r="G56" s="49">
        <f>'Course Content'!H40</f>
        <v/>
      </c>
      <c r="H56" s="50">
        <f>IFERROR(IF(G56="","",ROUND(G56/'Getting Started'!C23,1)),"")</f>
        <v/>
      </c>
      <c r="I56" s="50">
        <f>IFERROR(IF(H56="","",ROUND(H56/'Getting Started'!C7,1)),"")</f>
        <v/>
      </c>
      <c r="J56" s="51">
        <f>IFERROR(IF(G56="","",TEXT('Getting Started'!C18+(G56/I56),"MMM D, YYYY")),"")</f>
        <v/>
      </c>
    </row>
    <row r="57" ht="16" customHeight="1">
      <c r="A57" s="52" t="inlineStr">
        <is>
          <t xml:space="preserve">  Component Breakdown  (optional — use for multi-volume curricula)</t>
        </is>
      </c>
    </row>
    <row r="58" ht="22" customHeight="1">
      <c r="A58" s="28" t="inlineStr">
        <is>
          <t>#</t>
        </is>
      </c>
      <c r="B58" s="28" t="inlineStr">
        <is>
          <t>Book / Component Title</t>
        </is>
      </c>
      <c r="F58" s="28" t="inlineStr">
        <is>
          <t>Units</t>
        </is>
      </c>
      <c r="G58" s="28" t="inlineStr">
        <is>
          <t>Cumul.</t>
        </is>
      </c>
      <c r="H58" s="28" t="inlineStr">
        <is>
          <t>Start
Week</t>
        </is>
      </c>
      <c r="I58" s="28" t="inlineStr">
        <is>
          <t>End
Week</t>
        </is>
      </c>
      <c r="J58" s="28" t="inlineStr">
        <is>
          <t>Est. Dates</t>
        </is>
      </c>
    </row>
    <row r="59" ht="18" customHeight="1">
      <c r="A59" s="53" t="n">
        <v>1</v>
      </c>
      <c r="B59" s="5" t="n"/>
      <c r="F59" s="32" t="n"/>
      <c r="G59" s="17">
        <f>IFERROR(SUM(F59:F59),"")</f>
        <v/>
      </c>
      <c r="H59" s="17">
        <f>IF(F59="","",1)</f>
        <v/>
      </c>
      <c r="I59" s="17">
        <f>IFERROR(IF(F59="","",CEILING(G59/((IFERROR(B56,0)+IFERROR(G56,0))/(IFERROR('Getting Started'!C15,0)+IFERROR('Getting Started'!C23,0))),1)),"")</f>
        <v/>
      </c>
      <c r="J59" s="54">
        <f>IFERROR(IF(F59="","",TEXT('Getting Started'!C10+(H59-1)*7,"MMM D")&amp;" – "&amp;TEXT('Getting Started'!C10+I59*7,"MMM D")),"")</f>
        <v/>
      </c>
    </row>
    <row r="60" ht="18" customHeight="1">
      <c r="A60" s="53" t="n">
        <v>2</v>
      </c>
      <c r="B60" s="18" t="n"/>
      <c r="F60" s="55" t="n"/>
      <c r="G60" s="17">
        <f>IFERROR(SUM(F59:F60),"")</f>
        <v/>
      </c>
      <c r="H60" s="17">
        <f>IFERROR(IF(F60="","",FLOOR(G59/((IFERROR(B56,0)+IFERROR(G56,0))/(IFERROR('Getting Started'!C15,0)+IFERROR('Getting Started'!C23,0))),1)+1),"")</f>
        <v/>
      </c>
      <c r="I60" s="17">
        <f>IFERROR(IF(F60="","",CEILING(G60/((IFERROR(B56,0)+IFERROR(G56,0))/(IFERROR('Getting Started'!C15,0)+IFERROR('Getting Started'!C23,0))),1)),"")</f>
        <v/>
      </c>
      <c r="J60" s="54">
        <f>IFERROR(IF(F60="","",TEXT('Getting Started'!C10+(H60-1)*7,"MMM D")&amp;" – "&amp;TEXT('Getting Started'!C10+I60*7,"MMM D")),"")</f>
        <v/>
      </c>
    </row>
    <row r="61" ht="18" customHeight="1">
      <c r="A61" s="53" t="n">
        <v>3</v>
      </c>
      <c r="B61" s="5" t="n"/>
      <c r="F61" s="32" t="n"/>
      <c r="G61" s="17">
        <f>IFERROR(SUM(F59:F61),"")</f>
        <v/>
      </c>
      <c r="H61" s="17">
        <f>IFERROR(IF(F61="","",FLOOR(G60/((IFERROR(B56,0)+IFERROR(G56,0))/(IFERROR('Getting Started'!C15,0)+IFERROR('Getting Started'!C23,0))),1)+1),"")</f>
        <v/>
      </c>
      <c r="I61" s="17">
        <f>IFERROR(IF(F61="","",CEILING(G61/((IFERROR(B56,0)+IFERROR(G56,0))/(IFERROR('Getting Started'!C15,0)+IFERROR('Getting Started'!C23,0))),1)),"")</f>
        <v/>
      </c>
      <c r="J61" s="54">
        <f>IFERROR(IF(F61="","",TEXT('Getting Started'!C10+(H61-1)*7,"MMM D")&amp;" – "&amp;TEXT('Getting Started'!C10+I61*7,"MMM D")),"")</f>
        <v/>
      </c>
    </row>
    <row r="62" ht="18" customHeight="1">
      <c r="A62" s="53" t="n">
        <v>4</v>
      </c>
      <c r="B62" s="18" t="n"/>
      <c r="F62" s="55" t="n"/>
      <c r="G62" s="17">
        <f>IFERROR(SUM(F59:F62),"")</f>
        <v/>
      </c>
      <c r="H62" s="17">
        <f>IFERROR(IF(F62="","",FLOOR(G61/((IFERROR(B56,0)+IFERROR(G56,0))/(IFERROR('Getting Started'!C15,0)+IFERROR('Getting Started'!C23,0))),1)+1),"")</f>
        <v/>
      </c>
      <c r="I62" s="17">
        <f>IFERROR(IF(F62="","",CEILING(G62/((IFERROR(B56,0)+IFERROR(G56,0))/(IFERROR('Getting Started'!C15,0)+IFERROR('Getting Started'!C23,0))),1)),"")</f>
        <v/>
      </c>
      <c r="J62" s="54">
        <f>IFERROR(IF(F62="","",TEXT('Getting Started'!C10+(H62-1)*7,"MMM D")&amp;" – "&amp;TEXT('Getting Started'!C10+I62*7,"MMM D")),"")</f>
        <v/>
      </c>
    </row>
    <row r="63" ht="18" customHeight="1">
      <c r="A63" s="53" t="n">
        <v>5</v>
      </c>
      <c r="B63" s="5" t="n"/>
      <c r="F63" s="32" t="n"/>
      <c r="G63" s="17">
        <f>IFERROR(SUM(F59:F63),"")</f>
        <v/>
      </c>
      <c r="H63" s="17">
        <f>IFERROR(IF(F63="","",FLOOR(G62/((IFERROR(B56,0)+IFERROR(G56,0))/(IFERROR('Getting Started'!C15,0)+IFERROR('Getting Started'!C23,0))),1)+1),"")</f>
        <v/>
      </c>
      <c r="I63" s="17">
        <f>IFERROR(IF(F63="","",CEILING(G63/((IFERROR(B56,0)+IFERROR(G56,0))/(IFERROR('Getting Started'!C15,0)+IFERROR('Getting Started'!C23,0))),1)),"")</f>
        <v/>
      </c>
      <c r="J63" s="54">
        <f>IFERROR(IF(F63="","",TEXT('Getting Started'!C10+(H63-1)*7,"MMM D")&amp;" – "&amp;TEXT('Getting Started'!C10+I63*7,"MMM D")),"")</f>
        <v/>
      </c>
    </row>
    <row r="64" ht="18" customHeight="1">
      <c r="A64" s="53" t="n">
        <v>6</v>
      </c>
      <c r="B64" s="18" t="n"/>
      <c r="F64" s="55" t="n"/>
      <c r="G64" s="17">
        <f>IFERROR(SUM(F59:F64),"")</f>
        <v/>
      </c>
      <c r="H64" s="17">
        <f>IFERROR(IF(F64="","",FLOOR(G63/((IFERROR(B56,0)+IFERROR(G56,0))/(IFERROR('Getting Started'!C15,0)+IFERROR('Getting Started'!C23,0))),1)+1),"")</f>
        <v/>
      </c>
      <c r="I64" s="17">
        <f>IFERROR(IF(F64="","",CEILING(G64/((IFERROR(B56,0)+IFERROR(G56,0))/(IFERROR('Getting Started'!C15,0)+IFERROR('Getting Started'!C23,0))),1)),"")</f>
        <v/>
      </c>
      <c r="J64" s="54">
        <f>IFERROR(IF(F64="","",TEXT('Getting Started'!C10+(H64-1)*7,"MMM D")&amp;" – "&amp;TEXT('Getting Started'!C10+I64*7,"MMM D")),"")</f>
        <v/>
      </c>
    </row>
    <row r="65" ht="20" customHeight="1">
      <c r="A65" s="56">
        <f>IFERROR(IF('Course Content'!I40="","",'Course Content'!I40),"")</f>
        <v/>
      </c>
    </row>
    <row r="66" ht="8" customHeight="1"/>
    <row r="67" ht="24" customHeight="1">
      <c r="A67" s="44" t="inlineStr">
        <is>
          <t xml:space="preserve">  SCIENCE</t>
        </is>
      </c>
      <c r="E67" s="45">
        <f>IFERROR(IF('Course Content'!E41="","← enter on Course Content tab",'Course Content'!E41),"")</f>
        <v/>
      </c>
    </row>
    <row r="68" ht="22" customHeight="1">
      <c r="B68" s="46">
        <f>'Course Content'!G41</f>
        <v/>
      </c>
      <c r="C68" s="47">
        <f>IFERROR(IF(B68="","",ROUND(B68/'Getting Started'!C15,1)),"")</f>
        <v/>
      </c>
      <c r="D68" s="47">
        <f>IFERROR(IF(C68="","",ROUND(C68/'Getting Started'!C7,1)),"")</f>
        <v/>
      </c>
      <c r="E68" s="48">
        <f>IFERROR(IF(B68="","",TEXT('Getting Started'!C10+(B68/D68),"MMM D, YYYY")),"")</f>
        <v/>
      </c>
      <c r="F68" s="39" t="n"/>
      <c r="G68" s="49">
        <f>'Course Content'!H41</f>
        <v/>
      </c>
      <c r="H68" s="50">
        <f>IFERROR(IF(G68="","",ROUND(G68/'Getting Started'!C23,1)),"")</f>
        <v/>
      </c>
      <c r="I68" s="50">
        <f>IFERROR(IF(H68="","",ROUND(H68/'Getting Started'!C7,1)),"")</f>
        <v/>
      </c>
      <c r="J68" s="51">
        <f>IFERROR(IF(G68="","",TEXT('Getting Started'!C18+(G68/I68),"MMM D, YYYY")),"")</f>
        <v/>
      </c>
    </row>
    <row r="69" ht="16" customHeight="1">
      <c r="A69" s="52" t="inlineStr">
        <is>
          <t xml:space="preserve">  Component Breakdown  (optional — use for multi-volume curricula)</t>
        </is>
      </c>
    </row>
    <row r="70" ht="22" customHeight="1">
      <c r="A70" s="28" t="inlineStr">
        <is>
          <t>#</t>
        </is>
      </c>
      <c r="B70" s="28" t="inlineStr">
        <is>
          <t>Book / Component Title</t>
        </is>
      </c>
      <c r="F70" s="28" t="inlineStr">
        <is>
          <t>Units</t>
        </is>
      </c>
      <c r="G70" s="28" t="inlineStr">
        <is>
          <t>Cumul.</t>
        </is>
      </c>
      <c r="H70" s="28" t="inlineStr">
        <is>
          <t>Start
Week</t>
        </is>
      </c>
      <c r="I70" s="28" t="inlineStr">
        <is>
          <t>End
Week</t>
        </is>
      </c>
      <c r="J70" s="28" t="inlineStr">
        <is>
          <t>Est. Dates</t>
        </is>
      </c>
    </row>
    <row r="71" ht="18" customHeight="1">
      <c r="A71" s="53" t="n">
        <v>1</v>
      </c>
      <c r="B71" s="5" t="n"/>
      <c r="F71" s="32" t="n"/>
      <c r="G71" s="17">
        <f>IFERROR(SUM(F71:F71),"")</f>
        <v/>
      </c>
      <c r="H71" s="17">
        <f>IF(F71="","",1)</f>
        <v/>
      </c>
      <c r="I71" s="17">
        <f>IFERROR(IF(F71="","",CEILING(G71/((IFERROR(B68,0)+IFERROR(G68,0))/(IFERROR('Getting Started'!C15,0)+IFERROR('Getting Started'!C23,0))),1)),"")</f>
        <v/>
      </c>
      <c r="J71" s="54">
        <f>IFERROR(IF(F71="","",TEXT('Getting Started'!C10+(H71-1)*7,"MMM D")&amp;" – "&amp;TEXT('Getting Started'!C10+I71*7,"MMM D")),"")</f>
        <v/>
      </c>
    </row>
    <row r="72" ht="18" customHeight="1">
      <c r="A72" s="53" t="n">
        <v>2</v>
      </c>
      <c r="B72" s="18" t="n"/>
      <c r="F72" s="55" t="n"/>
      <c r="G72" s="17">
        <f>IFERROR(SUM(F71:F72),"")</f>
        <v/>
      </c>
      <c r="H72" s="17">
        <f>IFERROR(IF(F72="","",FLOOR(G71/((IFERROR(B68,0)+IFERROR(G68,0))/(IFERROR('Getting Started'!C15,0)+IFERROR('Getting Started'!C23,0))),1)+1),"")</f>
        <v/>
      </c>
      <c r="I72" s="17">
        <f>IFERROR(IF(F72="","",CEILING(G72/((IFERROR(B68,0)+IFERROR(G68,0))/(IFERROR('Getting Started'!C15,0)+IFERROR('Getting Started'!C23,0))),1)),"")</f>
        <v/>
      </c>
      <c r="J72" s="54">
        <f>IFERROR(IF(F72="","",TEXT('Getting Started'!C10+(H72-1)*7,"MMM D")&amp;" – "&amp;TEXT('Getting Started'!C10+I72*7,"MMM D")),"")</f>
        <v/>
      </c>
    </row>
    <row r="73" ht="18" customHeight="1">
      <c r="A73" s="53" t="n">
        <v>3</v>
      </c>
      <c r="B73" s="5" t="n"/>
      <c r="F73" s="32" t="n"/>
      <c r="G73" s="17">
        <f>IFERROR(SUM(F71:F73),"")</f>
        <v/>
      </c>
      <c r="H73" s="17">
        <f>IFERROR(IF(F73="","",FLOOR(G72/((IFERROR(B68,0)+IFERROR(G68,0))/(IFERROR('Getting Started'!C15,0)+IFERROR('Getting Started'!C23,0))),1)+1),"")</f>
        <v/>
      </c>
      <c r="I73" s="17">
        <f>IFERROR(IF(F73="","",CEILING(G73/((IFERROR(B68,0)+IFERROR(G68,0))/(IFERROR('Getting Started'!C15,0)+IFERROR('Getting Started'!C23,0))),1)),"")</f>
        <v/>
      </c>
      <c r="J73" s="54">
        <f>IFERROR(IF(F73="","",TEXT('Getting Started'!C10+(H73-1)*7,"MMM D")&amp;" – "&amp;TEXT('Getting Started'!C10+I73*7,"MMM D")),"")</f>
        <v/>
      </c>
    </row>
    <row r="74" ht="18" customHeight="1">
      <c r="A74" s="53" t="n">
        <v>4</v>
      </c>
      <c r="B74" s="18" t="n"/>
      <c r="F74" s="55" t="n"/>
      <c r="G74" s="17">
        <f>IFERROR(SUM(F71:F74),"")</f>
        <v/>
      </c>
      <c r="H74" s="17">
        <f>IFERROR(IF(F74="","",FLOOR(G73/((IFERROR(B68,0)+IFERROR(G68,0))/(IFERROR('Getting Started'!C15,0)+IFERROR('Getting Started'!C23,0))),1)+1),"")</f>
        <v/>
      </c>
      <c r="I74" s="17">
        <f>IFERROR(IF(F74="","",CEILING(G74/((IFERROR(B68,0)+IFERROR(G68,0))/(IFERROR('Getting Started'!C15,0)+IFERROR('Getting Started'!C23,0))),1)),"")</f>
        <v/>
      </c>
      <c r="J74" s="54">
        <f>IFERROR(IF(F74="","",TEXT('Getting Started'!C10+(H74-1)*7,"MMM D")&amp;" – "&amp;TEXT('Getting Started'!C10+I74*7,"MMM D")),"")</f>
        <v/>
      </c>
    </row>
    <row r="75" ht="18" customHeight="1">
      <c r="A75" s="53" t="n">
        <v>5</v>
      </c>
      <c r="B75" s="5" t="n"/>
      <c r="F75" s="32" t="n"/>
      <c r="G75" s="17">
        <f>IFERROR(SUM(F71:F75),"")</f>
        <v/>
      </c>
      <c r="H75" s="17">
        <f>IFERROR(IF(F75="","",FLOOR(G74/((IFERROR(B68,0)+IFERROR(G68,0))/(IFERROR('Getting Started'!C15,0)+IFERROR('Getting Started'!C23,0))),1)+1),"")</f>
        <v/>
      </c>
      <c r="I75" s="17">
        <f>IFERROR(IF(F75="","",CEILING(G75/((IFERROR(B68,0)+IFERROR(G68,0))/(IFERROR('Getting Started'!C15,0)+IFERROR('Getting Started'!C23,0))),1)),"")</f>
        <v/>
      </c>
      <c r="J75" s="54">
        <f>IFERROR(IF(F75="","",TEXT('Getting Started'!C10+(H75-1)*7,"MMM D")&amp;" – "&amp;TEXT('Getting Started'!C10+I75*7,"MMM D")),"")</f>
        <v/>
      </c>
    </row>
    <row r="76" ht="18" customHeight="1">
      <c r="A76" s="53" t="n">
        <v>6</v>
      </c>
      <c r="B76" s="18" t="n"/>
      <c r="F76" s="55" t="n"/>
      <c r="G76" s="17">
        <f>IFERROR(SUM(F71:F76),"")</f>
        <v/>
      </c>
      <c r="H76" s="17">
        <f>IFERROR(IF(F76="","",FLOOR(G75/((IFERROR(B68,0)+IFERROR(G68,0))/(IFERROR('Getting Started'!C15,0)+IFERROR('Getting Started'!C23,0))),1)+1),"")</f>
        <v/>
      </c>
      <c r="I76" s="17">
        <f>IFERROR(IF(F76="","",CEILING(G76/((IFERROR(B68,0)+IFERROR(G68,0))/(IFERROR('Getting Started'!C15,0)+IFERROR('Getting Started'!C23,0))),1)),"")</f>
        <v/>
      </c>
      <c r="J76" s="54">
        <f>IFERROR(IF(F76="","",TEXT('Getting Started'!C10+(H76-1)*7,"MMM D")&amp;" – "&amp;TEXT('Getting Started'!C10+I76*7,"MMM D")),"")</f>
        <v/>
      </c>
    </row>
    <row r="77" ht="20" customHeight="1">
      <c r="A77" s="56">
        <f>IFERROR(IF('Course Content'!I41="","",'Course Content'!I41),"")</f>
        <v/>
      </c>
    </row>
    <row r="78" ht="8" customHeight="1"/>
    <row r="79" ht="24" customHeight="1">
      <c r="A79" s="44" t="inlineStr">
        <is>
          <t xml:space="preserve">  SOCIAL STUDIES / HISTORY</t>
        </is>
      </c>
      <c r="E79" s="45">
        <f>IFERROR(IF('Course Content'!E42="","← enter on Course Content tab",'Course Content'!E42),"")</f>
        <v/>
      </c>
    </row>
    <row r="80" ht="22" customHeight="1">
      <c r="B80" s="46">
        <f>'Course Content'!G42</f>
        <v/>
      </c>
      <c r="C80" s="47">
        <f>IFERROR(IF(B80="","",ROUND(B80/'Getting Started'!C15,1)),"")</f>
        <v/>
      </c>
      <c r="D80" s="47">
        <f>IFERROR(IF(C80="","",ROUND(C80/'Getting Started'!C7,1)),"")</f>
        <v/>
      </c>
      <c r="E80" s="48">
        <f>IFERROR(IF(B80="","",TEXT('Getting Started'!C10+(B80/D80),"MMM D, YYYY")),"")</f>
        <v/>
      </c>
      <c r="F80" s="39" t="n"/>
      <c r="G80" s="49">
        <f>'Course Content'!H42</f>
        <v/>
      </c>
      <c r="H80" s="50">
        <f>IFERROR(IF(G80="","",ROUND(G80/'Getting Started'!C23,1)),"")</f>
        <v/>
      </c>
      <c r="I80" s="50">
        <f>IFERROR(IF(H80="","",ROUND(H80/'Getting Started'!C7,1)),"")</f>
        <v/>
      </c>
      <c r="J80" s="51">
        <f>IFERROR(IF(G80="","",TEXT('Getting Started'!C18+(G80/I80),"MMM D, YYYY")),"")</f>
        <v/>
      </c>
    </row>
    <row r="81" ht="16" customHeight="1">
      <c r="A81" s="52" t="inlineStr">
        <is>
          <t xml:space="preserve">  Component Breakdown  (optional — use for multi-volume curricula)</t>
        </is>
      </c>
    </row>
    <row r="82" ht="22" customHeight="1">
      <c r="A82" s="28" t="inlineStr">
        <is>
          <t>#</t>
        </is>
      </c>
      <c r="B82" s="28" t="inlineStr">
        <is>
          <t>Book / Component Title</t>
        </is>
      </c>
      <c r="F82" s="28" t="inlineStr">
        <is>
          <t>Units</t>
        </is>
      </c>
      <c r="G82" s="28" t="inlineStr">
        <is>
          <t>Cumul.</t>
        </is>
      </c>
      <c r="H82" s="28" t="inlineStr">
        <is>
          <t>Start
Week</t>
        </is>
      </c>
      <c r="I82" s="28" t="inlineStr">
        <is>
          <t>End
Week</t>
        </is>
      </c>
      <c r="J82" s="28" t="inlineStr">
        <is>
          <t>Est. Dates</t>
        </is>
      </c>
    </row>
    <row r="83" ht="18" customHeight="1">
      <c r="A83" s="53" t="n">
        <v>1</v>
      </c>
      <c r="B83" s="5" t="n"/>
      <c r="F83" s="32" t="n"/>
      <c r="G83" s="17">
        <f>IFERROR(SUM(F83:F83),"")</f>
        <v/>
      </c>
      <c r="H83" s="17">
        <f>IF(F83="","",1)</f>
        <v/>
      </c>
      <c r="I83" s="17">
        <f>IFERROR(IF(F83="","",CEILING(G83/((IFERROR(B80,0)+IFERROR(G80,0))/(IFERROR('Getting Started'!C15,0)+IFERROR('Getting Started'!C23,0))),1)),"")</f>
        <v/>
      </c>
      <c r="J83" s="54">
        <f>IFERROR(IF(F83="","",TEXT('Getting Started'!C10+(H83-1)*7,"MMM D")&amp;" – "&amp;TEXT('Getting Started'!C10+I83*7,"MMM D")),"")</f>
        <v/>
      </c>
    </row>
    <row r="84" ht="18" customHeight="1">
      <c r="A84" s="53" t="n">
        <v>2</v>
      </c>
      <c r="B84" s="18" t="n"/>
      <c r="F84" s="55" t="n"/>
      <c r="G84" s="17">
        <f>IFERROR(SUM(F83:F84),"")</f>
        <v/>
      </c>
      <c r="H84" s="17">
        <f>IFERROR(IF(F84="","",FLOOR(G83/((IFERROR(B80,0)+IFERROR(G80,0))/(IFERROR('Getting Started'!C15,0)+IFERROR('Getting Started'!C23,0))),1)+1),"")</f>
        <v/>
      </c>
      <c r="I84" s="17">
        <f>IFERROR(IF(F84="","",CEILING(G84/((IFERROR(B80,0)+IFERROR(G80,0))/(IFERROR('Getting Started'!C15,0)+IFERROR('Getting Started'!C23,0))),1)),"")</f>
        <v/>
      </c>
      <c r="J84" s="54">
        <f>IFERROR(IF(F84="","",TEXT('Getting Started'!C10+(H84-1)*7,"MMM D")&amp;" – "&amp;TEXT('Getting Started'!C10+I84*7,"MMM D")),"")</f>
        <v/>
      </c>
    </row>
    <row r="85" ht="18" customHeight="1">
      <c r="A85" s="53" t="n">
        <v>3</v>
      </c>
      <c r="B85" s="5" t="n"/>
      <c r="F85" s="32" t="n"/>
      <c r="G85" s="17">
        <f>IFERROR(SUM(F83:F85),"")</f>
        <v/>
      </c>
      <c r="H85" s="17">
        <f>IFERROR(IF(F85="","",FLOOR(G84/((IFERROR(B80,0)+IFERROR(G80,0))/(IFERROR('Getting Started'!C15,0)+IFERROR('Getting Started'!C23,0))),1)+1),"")</f>
        <v/>
      </c>
      <c r="I85" s="17">
        <f>IFERROR(IF(F85="","",CEILING(G85/((IFERROR(B80,0)+IFERROR(G80,0))/(IFERROR('Getting Started'!C15,0)+IFERROR('Getting Started'!C23,0))),1)),"")</f>
        <v/>
      </c>
      <c r="J85" s="54">
        <f>IFERROR(IF(F85="","",TEXT('Getting Started'!C10+(H85-1)*7,"MMM D")&amp;" – "&amp;TEXT('Getting Started'!C10+I85*7,"MMM D")),"")</f>
        <v/>
      </c>
    </row>
    <row r="86" ht="18" customHeight="1">
      <c r="A86" s="53" t="n">
        <v>4</v>
      </c>
      <c r="B86" s="18" t="n"/>
      <c r="F86" s="55" t="n"/>
      <c r="G86" s="17">
        <f>IFERROR(SUM(F83:F86),"")</f>
        <v/>
      </c>
      <c r="H86" s="17">
        <f>IFERROR(IF(F86="","",FLOOR(G85/((IFERROR(B80,0)+IFERROR(G80,0))/(IFERROR('Getting Started'!C15,0)+IFERROR('Getting Started'!C23,0))),1)+1),"")</f>
        <v/>
      </c>
      <c r="I86" s="17">
        <f>IFERROR(IF(F86="","",CEILING(G86/((IFERROR(B80,0)+IFERROR(G80,0))/(IFERROR('Getting Started'!C15,0)+IFERROR('Getting Started'!C23,0))),1)),"")</f>
        <v/>
      </c>
      <c r="J86" s="54">
        <f>IFERROR(IF(F86="","",TEXT('Getting Started'!C10+(H86-1)*7,"MMM D")&amp;" – "&amp;TEXT('Getting Started'!C10+I86*7,"MMM D")),"")</f>
        <v/>
      </c>
    </row>
    <row r="87" ht="18" customHeight="1">
      <c r="A87" s="53" t="n">
        <v>5</v>
      </c>
      <c r="B87" s="5" t="n"/>
      <c r="F87" s="32" t="n"/>
      <c r="G87" s="17">
        <f>IFERROR(SUM(F83:F87),"")</f>
        <v/>
      </c>
      <c r="H87" s="17">
        <f>IFERROR(IF(F87="","",FLOOR(G86/((IFERROR(B80,0)+IFERROR(G80,0))/(IFERROR('Getting Started'!C15,0)+IFERROR('Getting Started'!C23,0))),1)+1),"")</f>
        <v/>
      </c>
      <c r="I87" s="17">
        <f>IFERROR(IF(F87="","",CEILING(G87/((IFERROR(B80,0)+IFERROR(G80,0))/(IFERROR('Getting Started'!C15,0)+IFERROR('Getting Started'!C23,0))),1)),"")</f>
        <v/>
      </c>
      <c r="J87" s="54">
        <f>IFERROR(IF(F87="","",TEXT('Getting Started'!C10+(H87-1)*7,"MMM D")&amp;" – "&amp;TEXT('Getting Started'!C10+I87*7,"MMM D")),"")</f>
        <v/>
      </c>
    </row>
    <row r="88" ht="18" customHeight="1">
      <c r="A88" s="53" t="n">
        <v>6</v>
      </c>
      <c r="B88" s="18" t="n"/>
      <c r="F88" s="55" t="n"/>
      <c r="G88" s="17">
        <f>IFERROR(SUM(F83:F88),"")</f>
        <v/>
      </c>
      <c r="H88" s="17">
        <f>IFERROR(IF(F88="","",FLOOR(G87/((IFERROR(B80,0)+IFERROR(G80,0))/(IFERROR('Getting Started'!C15,0)+IFERROR('Getting Started'!C23,0))),1)+1),"")</f>
        <v/>
      </c>
      <c r="I88" s="17">
        <f>IFERROR(IF(F88="","",CEILING(G88/((IFERROR(B80,0)+IFERROR(G80,0))/(IFERROR('Getting Started'!C15,0)+IFERROR('Getting Started'!C23,0))),1)),"")</f>
        <v/>
      </c>
      <c r="J88" s="54">
        <f>IFERROR(IF(F88="","",TEXT('Getting Started'!C10+(H88-1)*7,"MMM D")&amp;" – "&amp;TEXT('Getting Started'!C10+I88*7,"MMM D")),"")</f>
        <v/>
      </c>
    </row>
    <row r="89" ht="20" customHeight="1">
      <c r="A89" s="56">
        <f>IFERROR(IF('Course Content'!I42="","",'Course Content'!I42),"")</f>
        <v/>
      </c>
    </row>
    <row r="90" ht="8" customHeight="1"/>
    <row r="91" ht="24" customHeight="1">
      <c r="A91" s="44" t="inlineStr">
        <is>
          <t xml:space="preserve">  HEALTH</t>
        </is>
      </c>
      <c r="E91" s="45">
        <f>IFERROR(IF('Course Content'!E43="","← enter on Course Content tab",'Course Content'!E43),"")</f>
        <v/>
      </c>
    </row>
    <row r="92" ht="22" customHeight="1">
      <c r="B92" s="46">
        <f>'Course Content'!G43</f>
        <v/>
      </c>
      <c r="C92" s="47">
        <f>IFERROR(IF(B92="","",ROUND(B92/'Getting Started'!C15,1)),"")</f>
        <v/>
      </c>
      <c r="D92" s="47">
        <f>IFERROR(IF(C92="","",ROUND(C92/'Getting Started'!C7,1)),"")</f>
        <v/>
      </c>
      <c r="E92" s="48">
        <f>IFERROR(IF(B92="","",TEXT('Getting Started'!C10+(B92/D92),"MMM D, YYYY")),"")</f>
        <v/>
      </c>
      <c r="F92" s="39" t="n"/>
      <c r="G92" s="49">
        <f>'Course Content'!H43</f>
        <v/>
      </c>
      <c r="H92" s="50">
        <f>IFERROR(IF(G92="","",ROUND(G92/'Getting Started'!C23,1)),"")</f>
        <v/>
      </c>
      <c r="I92" s="50">
        <f>IFERROR(IF(H92="","",ROUND(H92/'Getting Started'!C7,1)),"")</f>
        <v/>
      </c>
      <c r="J92" s="51">
        <f>IFERROR(IF(G92="","",TEXT('Getting Started'!C18+(G92/I92),"MMM D, YYYY")),"")</f>
        <v/>
      </c>
    </row>
    <row r="93" ht="16" customHeight="1">
      <c r="A93" s="52" t="inlineStr">
        <is>
          <t xml:space="preserve">  Component Breakdown  (optional — use for multi-volume curricula)</t>
        </is>
      </c>
    </row>
    <row r="94" ht="22" customHeight="1">
      <c r="A94" s="28" t="inlineStr">
        <is>
          <t>#</t>
        </is>
      </c>
      <c r="B94" s="28" t="inlineStr">
        <is>
          <t>Book / Component Title</t>
        </is>
      </c>
      <c r="F94" s="28" t="inlineStr">
        <is>
          <t>Units</t>
        </is>
      </c>
      <c r="G94" s="28" t="inlineStr">
        <is>
          <t>Cumul.</t>
        </is>
      </c>
      <c r="H94" s="28" t="inlineStr">
        <is>
          <t>Start
Week</t>
        </is>
      </c>
      <c r="I94" s="28" t="inlineStr">
        <is>
          <t>End
Week</t>
        </is>
      </c>
      <c r="J94" s="28" t="inlineStr">
        <is>
          <t>Est. Dates</t>
        </is>
      </c>
    </row>
    <row r="95" ht="18" customHeight="1">
      <c r="A95" s="53" t="n">
        <v>1</v>
      </c>
      <c r="B95" s="5" t="n"/>
      <c r="F95" s="32" t="n"/>
      <c r="G95" s="17">
        <f>IFERROR(SUM(F95:F95),"")</f>
        <v/>
      </c>
      <c r="H95" s="17">
        <f>IF(F95="","",1)</f>
        <v/>
      </c>
      <c r="I95" s="17">
        <f>IFERROR(IF(F95="","",CEILING(G95/((IFERROR(B92,0)+IFERROR(G92,0))/(IFERROR('Getting Started'!C15,0)+IFERROR('Getting Started'!C23,0))),1)),"")</f>
        <v/>
      </c>
      <c r="J95" s="54">
        <f>IFERROR(IF(F95="","",TEXT('Getting Started'!C10+(H95-1)*7,"MMM D")&amp;" – "&amp;TEXT('Getting Started'!C10+I95*7,"MMM D")),"")</f>
        <v/>
      </c>
    </row>
    <row r="96" ht="18" customHeight="1">
      <c r="A96" s="53" t="n">
        <v>2</v>
      </c>
      <c r="B96" s="18" t="n"/>
      <c r="F96" s="55" t="n"/>
      <c r="G96" s="17">
        <f>IFERROR(SUM(F95:F96),"")</f>
        <v/>
      </c>
      <c r="H96" s="17">
        <f>IFERROR(IF(F96="","",FLOOR(G95/((IFERROR(B92,0)+IFERROR(G92,0))/(IFERROR('Getting Started'!C15,0)+IFERROR('Getting Started'!C23,0))),1)+1),"")</f>
        <v/>
      </c>
      <c r="I96" s="17">
        <f>IFERROR(IF(F96="","",CEILING(G96/((IFERROR(B92,0)+IFERROR(G92,0))/(IFERROR('Getting Started'!C15,0)+IFERROR('Getting Started'!C23,0))),1)),"")</f>
        <v/>
      </c>
      <c r="J96" s="54">
        <f>IFERROR(IF(F96="","",TEXT('Getting Started'!C10+(H96-1)*7,"MMM D")&amp;" – "&amp;TEXT('Getting Started'!C10+I96*7,"MMM D")),"")</f>
        <v/>
      </c>
    </row>
    <row r="97" ht="18" customHeight="1">
      <c r="A97" s="53" t="n">
        <v>3</v>
      </c>
      <c r="B97" s="5" t="n"/>
      <c r="F97" s="32" t="n"/>
      <c r="G97" s="17">
        <f>IFERROR(SUM(F95:F97),"")</f>
        <v/>
      </c>
      <c r="H97" s="17">
        <f>IFERROR(IF(F97="","",FLOOR(G96/((IFERROR(B92,0)+IFERROR(G92,0))/(IFERROR('Getting Started'!C15,0)+IFERROR('Getting Started'!C23,0))),1)+1),"")</f>
        <v/>
      </c>
      <c r="I97" s="17">
        <f>IFERROR(IF(F97="","",CEILING(G97/((IFERROR(B92,0)+IFERROR(G92,0))/(IFERROR('Getting Started'!C15,0)+IFERROR('Getting Started'!C23,0))),1)),"")</f>
        <v/>
      </c>
      <c r="J97" s="54">
        <f>IFERROR(IF(F97="","",TEXT('Getting Started'!C10+(H97-1)*7,"MMM D")&amp;" – "&amp;TEXT('Getting Started'!C10+I97*7,"MMM D")),"")</f>
        <v/>
      </c>
    </row>
    <row r="98" ht="18" customHeight="1">
      <c r="A98" s="53" t="n">
        <v>4</v>
      </c>
      <c r="B98" s="18" t="n"/>
      <c r="F98" s="55" t="n"/>
      <c r="G98" s="17">
        <f>IFERROR(SUM(F95:F98),"")</f>
        <v/>
      </c>
      <c r="H98" s="17">
        <f>IFERROR(IF(F98="","",FLOOR(G97/((IFERROR(B92,0)+IFERROR(G92,0))/(IFERROR('Getting Started'!C15,0)+IFERROR('Getting Started'!C23,0))),1)+1),"")</f>
        <v/>
      </c>
      <c r="I98" s="17">
        <f>IFERROR(IF(F98="","",CEILING(G98/((IFERROR(B92,0)+IFERROR(G92,0))/(IFERROR('Getting Started'!C15,0)+IFERROR('Getting Started'!C23,0))),1)),"")</f>
        <v/>
      </c>
      <c r="J98" s="54">
        <f>IFERROR(IF(F98="","",TEXT('Getting Started'!C10+(H98-1)*7,"MMM D")&amp;" – "&amp;TEXT('Getting Started'!C10+I98*7,"MMM D")),"")</f>
        <v/>
      </c>
    </row>
    <row r="99" ht="18" customHeight="1">
      <c r="A99" s="53" t="n">
        <v>5</v>
      </c>
      <c r="B99" s="5" t="n"/>
      <c r="F99" s="32" t="n"/>
      <c r="G99" s="17">
        <f>IFERROR(SUM(F95:F99),"")</f>
        <v/>
      </c>
      <c r="H99" s="17">
        <f>IFERROR(IF(F99="","",FLOOR(G98/((IFERROR(B92,0)+IFERROR(G92,0))/(IFERROR('Getting Started'!C15,0)+IFERROR('Getting Started'!C23,0))),1)+1),"")</f>
        <v/>
      </c>
      <c r="I99" s="17">
        <f>IFERROR(IF(F99="","",CEILING(G99/((IFERROR(B92,0)+IFERROR(G92,0))/(IFERROR('Getting Started'!C15,0)+IFERROR('Getting Started'!C23,0))),1)),"")</f>
        <v/>
      </c>
      <c r="J99" s="54">
        <f>IFERROR(IF(F99="","",TEXT('Getting Started'!C10+(H99-1)*7,"MMM D")&amp;" – "&amp;TEXT('Getting Started'!C10+I99*7,"MMM D")),"")</f>
        <v/>
      </c>
    </row>
    <row r="100" ht="18" customHeight="1">
      <c r="A100" s="53" t="n">
        <v>6</v>
      </c>
      <c r="B100" s="18" t="n"/>
      <c r="F100" s="55" t="n"/>
      <c r="G100" s="17">
        <f>IFERROR(SUM(F95:F100),"")</f>
        <v/>
      </c>
      <c r="H100" s="17">
        <f>IFERROR(IF(F100="","",FLOOR(G99/((IFERROR(B92,0)+IFERROR(G92,0))/(IFERROR('Getting Started'!C15,0)+IFERROR('Getting Started'!C23,0))),1)+1),"")</f>
        <v/>
      </c>
      <c r="I100" s="17">
        <f>IFERROR(IF(F100="","",CEILING(G100/((IFERROR(B92,0)+IFERROR(G92,0))/(IFERROR('Getting Started'!C15,0)+IFERROR('Getting Started'!C23,0))),1)),"")</f>
        <v/>
      </c>
      <c r="J100" s="54">
        <f>IFERROR(IF(F100="","",TEXT('Getting Started'!C10+(H100-1)*7,"MMM D")&amp;" – "&amp;TEXT('Getting Started'!C10+I100*7,"MMM D")),"")</f>
        <v/>
      </c>
    </row>
    <row r="101" ht="20" customHeight="1">
      <c r="A101" s="56">
        <f>IFERROR(IF('Course Content'!I43="","",'Course Content'!I43),"")</f>
        <v/>
      </c>
    </row>
    <row r="102" ht="8" customHeight="1"/>
    <row r="103" ht="24" customHeight="1">
      <c r="A103" s="44" t="inlineStr">
        <is>
          <t xml:space="preserve">  PHYSICAL EDUCATION</t>
        </is>
      </c>
      <c r="E103" s="45">
        <f>IFERROR(IF('Course Content'!E44="","← enter on Course Content tab",'Course Content'!E44),"")</f>
        <v/>
      </c>
    </row>
    <row r="104" ht="22" customHeight="1">
      <c r="B104" s="46">
        <f>'Course Content'!G44</f>
        <v/>
      </c>
      <c r="C104" s="47">
        <f>IFERROR(IF(B104="","",ROUND(B104/'Getting Started'!C15,1)),"")</f>
        <v/>
      </c>
      <c r="D104" s="47">
        <f>IFERROR(IF(C104="","",ROUND(C104/'Getting Started'!C7,1)),"")</f>
        <v/>
      </c>
      <c r="E104" s="48">
        <f>IFERROR(IF(B104="","",TEXT('Getting Started'!C10+(B104/D104),"MMM D, YYYY")),"")</f>
        <v/>
      </c>
      <c r="F104" s="39" t="n"/>
      <c r="G104" s="49">
        <f>'Course Content'!H44</f>
        <v/>
      </c>
      <c r="H104" s="50">
        <f>IFERROR(IF(G104="","",ROUND(G104/'Getting Started'!C23,1)),"")</f>
        <v/>
      </c>
      <c r="I104" s="50">
        <f>IFERROR(IF(H104="","",ROUND(H104/'Getting Started'!C7,1)),"")</f>
        <v/>
      </c>
      <c r="J104" s="51">
        <f>IFERROR(IF(G104="","",TEXT('Getting Started'!C18+(G104/I104),"MMM D, YYYY")),"")</f>
        <v/>
      </c>
    </row>
    <row r="105" ht="16" customHeight="1">
      <c r="A105" s="52" t="inlineStr">
        <is>
          <t xml:space="preserve">  Component Breakdown  (optional — use for multi-volume curricula)</t>
        </is>
      </c>
    </row>
    <row r="106" ht="22" customHeight="1">
      <c r="A106" s="28" t="inlineStr">
        <is>
          <t>#</t>
        </is>
      </c>
      <c r="B106" s="28" t="inlineStr">
        <is>
          <t>Book / Component Title</t>
        </is>
      </c>
      <c r="F106" s="28" t="inlineStr">
        <is>
          <t>Units</t>
        </is>
      </c>
      <c r="G106" s="28" t="inlineStr">
        <is>
          <t>Cumul.</t>
        </is>
      </c>
      <c r="H106" s="28" t="inlineStr">
        <is>
          <t>Start
Week</t>
        </is>
      </c>
      <c r="I106" s="28" t="inlineStr">
        <is>
          <t>End
Week</t>
        </is>
      </c>
      <c r="J106" s="28" t="inlineStr">
        <is>
          <t>Est. Dates</t>
        </is>
      </c>
    </row>
    <row r="107" ht="18" customHeight="1">
      <c r="A107" s="53" t="n">
        <v>1</v>
      </c>
      <c r="B107" s="5" t="n"/>
      <c r="F107" s="32" t="n"/>
      <c r="G107" s="17">
        <f>IFERROR(SUM(F107:F107),"")</f>
        <v/>
      </c>
      <c r="H107" s="17">
        <f>IF(F107="","",1)</f>
        <v/>
      </c>
      <c r="I107" s="17">
        <f>IFERROR(IF(F107="","",CEILING(G107/((IFERROR(B104,0)+IFERROR(G104,0))/(IFERROR('Getting Started'!C15,0)+IFERROR('Getting Started'!C23,0))),1)),"")</f>
        <v/>
      </c>
      <c r="J107" s="54">
        <f>IFERROR(IF(F107="","",TEXT('Getting Started'!C10+(H107-1)*7,"MMM D")&amp;" – "&amp;TEXT('Getting Started'!C10+I107*7,"MMM D")),"")</f>
        <v/>
      </c>
    </row>
    <row r="108" ht="18" customHeight="1">
      <c r="A108" s="53" t="n">
        <v>2</v>
      </c>
      <c r="B108" s="18" t="n"/>
      <c r="F108" s="55" t="n"/>
      <c r="G108" s="17">
        <f>IFERROR(SUM(F107:F108),"")</f>
        <v/>
      </c>
      <c r="H108" s="17">
        <f>IFERROR(IF(F108="","",FLOOR(G107/((IFERROR(B104,0)+IFERROR(G104,0))/(IFERROR('Getting Started'!C15,0)+IFERROR('Getting Started'!C23,0))),1)+1),"")</f>
        <v/>
      </c>
      <c r="I108" s="17">
        <f>IFERROR(IF(F108="","",CEILING(G108/((IFERROR(B104,0)+IFERROR(G104,0))/(IFERROR('Getting Started'!C15,0)+IFERROR('Getting Started'!C23,0))),1)),"")</f>
        <v/>
      </c>
      <c r="J108" s="54">
        <f>IFERROR(IF(F108="","",TEXT('Getting Started'!C10+(H108-1)*7,"MMM D")&amp;" – "&amp;TEXT('Getting Started'!C10+I108*7,"MMM D")),"")</f>
        <v/>
      </c>
    </row>
    <row r="109" ht="18" customHeight="1">
      <c r="A109" s="53" t="n">
        <v>3</v>
      </c>
      <c r="B109" s="5" t="n"/>
      <c r="F109" s="32" t="n"/>
      <c r="G109" s="17">
        <f>IFERROR(SUM(F107:F109),"")</f>
        <v/>
      </c>
      <c r="H109" s="17">
        <f>IFERROR(IF(F109="","",FLOOR(G108/((IFERROR(B104,0)+IFERROR(G104,0))/(IFERROR('Getting Started'!C15,0)+IFERROR('Getting Started'!C23,0))),1)+1),"")</f>
        <v/>
      </c>
      <c r="I109" s="17">
        <f>IFERROR(IF(F109="","",CEILING(G109/((IFERROR(B104,0)+IFERROR(G104,0))/(IFERROR('Getting Started'!C15,0)+IFERROR('Getting Started'!C23,0))),1)),"")</f>
        <v/>
      </c>
      <c r="J109" s="54">
        <f>IFERROR(IF(F109="","",TEXT('Getting Started'!C10+(H109-1)*7,"MMM D")&amp;" – "&amp;TEXT('Getting Started'!C10+I109*7,"MMM D")),"")</f>
        <v/>
      </c>
    </row>
    <row r="110" ht="18" customHeight="1">
      <c r="A110" s="53" t="n">
        <v>4</v>
      </c>
      <c r="B110" s="18" t="n"/>
      <c r="F110" s="55" t="n"/>
      <c r="G110" s="17">
        <f>IFERROR(SUM(F107:F110),"")</f>
        <v/>
      </c>
      <c r="H110" s="17">
        <f>IFERROR(IF(F110="","",FLOOR(G109/((IFERROR(B104,0)+IFERROR(G104,0))/(IFERROR('Getting Started'!C15,0)+IFERROR('Getting Started'!C23,0))),1)+1),"")</f>
        <v/>
      </c>
      <c r="I110" s="17">
        <f>IFERROR(IF(F110="","",CEILING(G110/((IFERROR(B104,0)+IFERROR(G104,0))/(IFERROR('Getting Started'!C15,0)+IFERROR('Getting Started'!C23,0))),1)),"")</f>
        <v/>
      </c>
      <c r="J110" s="54">
        <f>IFERROR(IF(F110="","",TEXT('Getting Started'!C10+(H110-1)*7,"MMM D")&amp;" – "&amp;TEXT('Getting Started'!C10+I110*7,"MMM D")),"")</f>
        <v/>
      </c>
    </row>
    <row r="111" ht="18" customHeight="1">
      <c r="A111" s="53" t="n">
        <v>5</v>
      </c>
      <c r="B111" s="5" t="n"/>
      <c r="F111" s="32" t="n"/>
      <c r="G111" s="17">
        <f>IFERROR(SUM(F107:F111),"")</f>
        <v/>
      </c>
      <c r="H111" s="17">
        <f>IFERROR(IF(F111="","",FLOOR(G110/((IFERROR(B104,0)+IFERROR(G104,0))/(IFERROR('Getting Started'!C15,0)+IFERROR('Getting Started'!C23,0))),1)+1),"")</f>
        <v/>
      </c>
      <c r="I111" s="17">
        <f>IFERROR(IF(F111="","",CEILING(G111/((IFERROR(B104,0)+IFERROR(G104,0))/(IFERROR('Getting Started'!C15,0)+IFERROR('Getting Started'!C23,0))),1)),"")</f>
        <v/>
      </c>
      <c r="J111" s="54">
        <f>IFERROR(IF(F111="","",TEXT('Getting Started'!C10+(H111-1)*7,"MMM D")&amp;" – "&amp;TEXT('Getting Started'!C10+I111*7,"MMM D")),"")</f>
        <v/>
      </c>
    </row>
    <row r="112" ht="18" customHeight="1">
      <c r="A112" s="53" t="n">
        <v>6</v>
      </c>
      <c r="B112" s="18" t="n"/>
      <c r="F112" s="55" t="n"/>
      <c r="G112" s="17">
        <f>IFERROR(SUM(F107:F112),"")</f>
        <v/>
      </c>
      <c r="H112" s="17">
        <f>IFERROR(IF(F112="","",FLOOR(G111/((IFERROR(B104,0)+IFERROR(G104,0))/(IFERROR('Getting Started'!C15,0)+IFERROR('Getting Started'!C23,0))),1)+1),"")</f>
        <v/>
      </c>
      <c r="I112" s="17">
        <f>IFERROR(IF(F112="","",CEILING(G112/((IFERROR(B104,0)+IFERROR(G104,0))/(IFERROR('Getting Started'!C15,0)+IFERROR('Getting Started'!C23,0))),1)),"")</f>
        <v/>
      </c>
      <c r="J112" s="54">
        <f>IFERROR(IF(F112="","",TEXT('Getting Started'!C10+(H112-1)*7,"MMM D")&amp;" – "&amp;TEXT('Getting Started'!C10+I112*7,"MMM D")),"")</f>
        <v/>
      </c>
    </row>
    <row r="113" ht="20" customHeight="1">
      <c r="A113" s="56">
        <f>IFERROR(IF('Course Content'!I44="","",'Course Content'!I44),"")</f>
        <v/>
      </c>
    </row>
    <row r="114" ht="8" customHeight="1"/>
    <row r="115" ht="24" customHeight="1">
      <c r="A115" s="44" t="inlineStr">
        <is>
          <t xml:space="preserve">  ART / MUSIC</t>
        </is>
      </c>
      <c r="E115" s="45">
        <f>IFERROR(IF('Course Content'!E45="","← enter on Course Content tab",'Course Content'!E45),"")</f>
        <v/>
      </c>
    </row>
    <row r="116" ht="22" customHeight="1">
      <c r="B116" s="46">
        <f>'Course Content'!G45</f>
        <v/>
      </c>
      <c r="C116" s="47">
        <f>IFERROR(IF(B116="","",ROUND(B116/'Getting Started'!C15,1)),"")</f>
        <v/>
      </c>
      <c r="D116" s="47">
        <f>IFERROR(IF(C116="","",ROUND(C116/'Getting Started'!C7,1)),"")</f>
        <v/>
      </c>
      <c r="E116" s="48">
        <f>IFERROR(IF(B116="","",TEXT('Getting Started'!C10+(B116/D116),"MMM D, YYYY")),"")</f>
        <v/>
      </c>
      <c r="F116" s="39" t="n"/>
      <c r="G116" s="49">
        <f>'Course Content'!H45</f>
        <v/>
      </c>
      <c r="H116" s="50">
        <f>IFERROR(IF(G116="","",ROUND(G116/'Getting Started'!C23,1)),"")</f>
        <v/>
      </c>
      <c r="I116" s="50">
        <f>IFERROR(IF(H116="","",ROUND(H116/'Getting Started'!C7,1)),"")</f>
        <v/>
      </c>
      <c r="J116" s="51">
        <f>IFERROR(IF(G116="","",TEXT('Getting Started'!C18+(G116/I116),"MMM D, YYYY")),"")</f>
        <v/>
      </c>
    </row>
    <row r="117" ht="16" customHeight="1">
      <c r="A117" s="52" t="inlineStr">
        <is>
          <t xml:space="preserve">  Component Breakdown  (optional — use for multi-volume curricula)</t>
        </is>
      </c>
    </row>
    <row r="118" ht="22" customHeight="1">
      <c r="A118" s="28" t="inlineStr">
        <is>
          <t>#</t>
        </is>
      </c>
      <c r="B118" s="28" t="inlineStr">
        <is>
          <t>Book / Component Title</t>
        </is>
      </c>
      <c r="F118" s="28" t="inlineStr">
        <is>
          <t>Units</t>
        </is>
      </c>
      <c r="G118" s="28" t="inlineStr">
        <is>
          <t>Cumul.</t>
        </is>
      </c>
      <c r="H118" s="28" t="inlineStr">
        <is>
          <t>Start
Week</t>
        </is>
      </c>
      <c r="I118" s="28" t="inlineStr">
        <is>
          <t>End
Week</t>
        </is>
      </c>
      <c r="J118" s="28" t="inlineStr">
        <is>
          <t>Est. Dates</t>
        </is>
      </c>
    </row>
    <row r="119" ht="18" customHeight="1">
      <c r="A119" s="53" t="n">
        <v>1</v>
      </c>
      <c r="B119" s="5" t="n"/>
      <c r="F119" s="32" t="n"/>
      <c r="G119" s="17">
        <f>IFERROR(SUM(F119:F119),"")</f>
        <v/>
      </c>
      <c r="H119" s="17">
        <f>IF(F119="","",1)</f>
        <v/>
      </c>
      <c r="I119" s="17">
        <f>IFERROR(IF(F119="","",CEILING(G119/((IFERROR(B116,0)+IFERROR(G116,0))/(IFERROR('Getting Started'!C15,0)+IFERROR('Getting Started'!C23,0))),1)),"")</f>
        <v/>
      </c>
      <c r="J119" s="54">
        <f>IFERROR(IF(F119="","",TEXT('Getting Started'!C10+(H119-1)*7,"MMM D")&amp;" – "&amp;TEXT('Getting Started'!C10+I119*7,"MMM D")),"")</f>
        <v/>
      </c>
    </row>
    <row r="120" ht="18" customHeight="1">
      <c r="A120" s="53" t="n">
        <v>2</v>
      </c>
      <c r="B120" s="18" t="n"/>
      <c r="F120" s="55" t="n"/>
      <c r="G120" s="17">
        <f>IFERROR(SUM(F119:F120),"")</f>
        <v/>
      </c>
      <c r="H120" s="17">
        <f>IFERROR(IF(F120="","",FLOOR(G119/((IFERROR(B116,0)+IFERROR(G116,0))/(IFERROR('Getting Started'!C15,0)+IFERROR('Getting Started'!C23,0))),1)+1),"")</f>
        <v/>
      </c>
      <c r="I120" s="17">
        <f>IFERROR(IF(F120="","",CEILING(G120/((IFERROR(B116,0)+IFERROR(G116,0))/(IFERROR('Getting Started'!C15,0)+IFERROR('Getting Started'!C23,0))),1)),"")</f>
        <v/>
      </c>
      <c r="J120" s="54">
        <f>IFERROR(IF(F120="","",TEXT('Getting Started'!C10+(H120-1)*7,"MMM D")&amp;" – "&amp;TEXT('Getting Started'!C10+I120*7,"MMM D")),"")</f>
        <v/>
      </c>
    </row>
    <row r="121" ht="18" customHeight="1">
      <c r="A121" s="53" t="n">
        <v>3</v>
      </c>
      <c r="B121" s="5" t="n"/>
      <c r="F121" s="32" t="n"/>
      <c r="G121" s="17">
        <f>IFERROR(SUM(F119:F121),"")</f>
        <v/>
      </c>
      <c r="H121" s="17">
        <f>IFERROR(IF(F121="","",FLOOR(G120/((IFERROR(B116,0)+IFERROR(G116,0))/(IFERROR('Getting Started'!C15,0)+IFERROR('Getting Started'!C23,0))),1)+1),"")</f>
        <v/>
      </c>
      <c r="I121" s="17">
        <f>IFERROR(IF(F121="","",CEILING(G121/((IFERROR(B116,0)+IFERROR(G116,0))/(IFERROR('Getting Started'!C15,0)+IFERROR('Getting Started'!C23,0))),1)),"")</f>
        <v/>
      </c>
      <c r="J121" s="54">
        <f>IFERROR(IF(F121="","",TEXT('Getting Started'!C10+(H121-1)*7,"MMM D")&amp;" – "&amp;TEXT('Getting Started'!C10+I121*7,"MMM D")),"")</f>
        <v/>
      </c>
    </row>
    <row r="122" ht="18" customHeight="1">
      <c r="A122" s="53" t="n">
        <v>4</v>
      </c>
      <c r="B122" s="18" t="n"/>
      <c r="F122" s="55" t="n"/>
      <c r="G122" s="17">
        <f>IFERROR(SUM(F119:F122),"")</f>
        <v/>
      </c>
      <c r="H122" s="17">
        <f>IFERROR(IF(F122="","",FLOOR(G121/((IFERROR(B116,0)+IFERROR(G116,0))/(IFERROR('Getting Started'!C15,0)+IFERROR('Getting Started'!C23,0))),1)+1),"")</f>
        <v/>
      </c>
      <c r="I122" s="17">
        <f>IFERROR(IF(F122="","",CEILING(G122/((IFERROR(B116,0)+IFERROR(G116,0))/(IFERROR('Getting Started'!C15,0)+IFERROR('Getting Started'!C23,0))),1)),"")</f>
        <v/>
      </c>
      <c r="J122" s="54">
        <f>IFERROR(IF(F122="","",TEXT('Getting Started'!C10+(H122-1)*7,"MMM D")&amp;" – "&amp;TEXT('Getting Started'!C10+I122*7,"MMM D")),"")</f>
        <v/>
      </c>
    </row>
    <row r="123" ht="18" customHeight="1">
      <c r="A123" s="53" t="n">
        <v>5</v>
      </c>
      <c r="B123" s="5" t="n"/>
      <c r="F123" s="32" t="n"/>
      <c r="G123" s="17">
        <f>IFERROR(SUM(F119:F123),"")</f>
        <v/>
      </c>
      <c r="H123" s="17">
        <f>IFERROR(IF(F123="","",FLOOR(G122/((IFERROR(B116,0)+IFERROR(G116,0))/(IFERROR('Getting Started'!C15,0)+IFERROR('Getting Started'!C23,0))),1)+1),"")</f>
        <v/>
      </c>
      <c r="I123" s="17">
        <f>IFERROR(IF(F123="","",CEILING(G123/((IFERROR(B116,0)+IFERROR(G116,0))/(IFERROR('Getting Started'!C15,0)+IFERROR('Getting Started'!C23,0))),1)),"")</f>
        <v/>
      </c>
      <c r="J123" s="54">
        <f>IFERROR(IF(F123="","",TEXT('Getting Started'!C10+(H123-1)*7,"MMM D")&amp;" – "&amp;TEXT('Getting Started'!C10+I123*7,"MMM D")),"")</f>
        <v/>
      </c>
    </row>
    <row r="124" ht="18" customHeight="1">
      <c r="A124" s="53" t="n">
        <v>6</v>
      </c>
      <c r="B124" s="18" t="n"/>
      <c r="F124" s="55" t="n"/>
      <c r="G124" s="17">
        <f>IFERROR(SUM(F119:F124),"")</f>
        <v/>
      </c>
      <c r="H124" s="17">
        <f>IFERROR(IF(F124="","",FLOOR(G123/((IFERROR(B116,0)+IFERROR(G116,0))/(IFERROR('Getting Started'!C15,0)+IFERROR('Getting Started'!C23,0))),1)+1),"")</f>
        <v/>
      </c>
      <c r="I124" s="17">
        <f>IFERROR(IF(F124="","",CEILING(G124/((IFERROR(B116,0)+IFERROR(G116,0))/(IFERROR('Getting Started'!C15,0)+IFERROR('Getting Started'!C23,0))),1)),"")</f>
        <v/>
      </c>
      <c r="J124" s="54">
        <f>IFERROR(IF(F124="","",TEXT('Getting Started'!C10+(H124-1)*7,"MMM D")&amp;" – "&amp;TEXT('Getting Started'!C10+I124*7,"MMM D")),"")</f>
        <v/>
      </c>
    </row>
    <row r="125" ht="20" customHeight="1">
      <c r="A125" s="56">
        <f>IFERROR(IF('Course Content'!I45="","",'Course Content'!I45),"")</f>
        <v/>
      </c>
    </row>
    <row r="126" ht="8" customHeight="1"/>
    <row r="127" ht="24" customHeight="1">
      <c r="A127" s="44">
        <f>IF('Course Content'!D46="","  ELECTIVE / OTHER 1","  "&amp;UPPER('Course Content'!D46))</f>
        <v/>
      </c>
      <c r="E127" s="45">
        <f>IFERROR(IF('Course Content'!E46="","← enter on Course Content tab",'Course Content'!E46),"")</f>
        <v/>
      </c>
    </row>
    <row r="128" ht="22" customHeight="1">
      <c r="B128" s="46">
        <f>'Course Content'!G46</f>
        <v/>
      </c>
      <c r="C128" s="47">
        <f>IFERROR(IF(B128="","",ROUND(B128/'Getting Started'!C15,1)),"")</f>
        <v/>
      </c>
      <c r="D128" s="47">
        <f>IFERROR(IF(C128="","",ROUND(C128/'Getting Started'!C7,1)),"")</f>
        <v/>
      </c>
      <c r="E128" s="48">
        <f>IFERROR(IF(B128="","",TEXT('Getting Started'!C10+(B128/D128),"MMM D, YYYY")),"")</f>
        <v/>
      </c>
      <c r="F128" s="39" t="n"/>
      <c r="G128" s="49">
        <f>'Course Content'!H46</f>
        <v/>
      </c>
      <c r="H128" s="50">
        <f>IFERROR(IF(G128="","",ROUND(G128/'Getting Started'!C23,1)),"")</f>
        <v/>
      </c>
      <c r="I128" s="50">
        <f>IFERROR(IF(H128="","",ROUND(H128/'Getting Started'!C7,1)),"")</f>
        <v/>
      </c>
      <c r="J128" s="51">
        <f>IFERROR(IF(G128="","",TEXT('Getting Started'!C18+(G128/I128),"MMM D, YYYY")),"")</f>
        <v/>
      </c>
    </row>
    <row r="129" ht="16" customHeight="1">
      <c r="A129" s="52" t="inlineStr">
        <is>
          <t xml:space="preserve">  Component Breakdown  (optional — use for multi-volume curricula)</t>
        </is>
      </c>
    </row>
    <row r="130" ht="22" customHeight="1">
      <c r="A130" s="28" t="inlineStr">
        <is>
          <t>#</t>
        </is>
      </c>
      <c r="B130" s="28" t="inlineStr">
        <is>
          <t>Book / Component Title</t>
        </is>
      </c>
      <c r="F130" s="28" t="inlineStr">
        <is>
          <t>Units</t>
        </is>
      </c>
      <c r="G130" s="28" t="inlineStr">
        <is>
          <t>Cumul.</t>
        </is>
      </c>
      <c r="H130" s="28" t="inlineStr">
        <is>
          <t>Start
Week</t>
        </is>
      </c>
      <c r="I130" s="28" t="inlineStr">
        <is>
          <t>End
Week</t>
        </is>
      </c>
      <c r="J130" s="28" t="inlineStr">
        <is>
          <t>Est. Dates</t>
        </is>
      </c>
    </row>
    <row r="131" ht="18" customHeight="1">
      <c r="A131" s="53" t="n">
        <v>1</v>
      </c>
      <c r="B131" s="5" t="n"/>
      <c r="F131" s="32" t="n"/>
      <c r="G131" s="17">
        <f>IFERROR(SUM(F131:F131),"")</f>
        <v/>
      </c>
      <c r="H131" s="17">
        <f>IF(F131="","",1)</f>
        <v/>
      </c>
      <c r="I131" s="17">
        <f>IFERROR(IF(F131="","",CEILING(G131/((IFERROR(B128,0)+IFERROR(G128,0))/(IFERROR('Getting Started'!C15,0)+IFERROR('Getting Started'!C23,0))),1)),"")</f>
        <v/>
      </c>
      <c r="J131" s="54">
        <f>IFERROR(IF(F131="","",TEXT('Getting Started'!C10+(H131-1)*7,"MMM D")&amp;" – "&amp;TEXT('Getting Started'!C10+I131*7,"MMM D")),"")</f>
        <v/>
      </c>
    </row>
    <row r="132" ht="18" customHeight="1">
      <c r="A132" s="53" t="n">
        <v>2</v>
      </c>
      <c r="B132" s="18" t="n"/>
      <c r="F132" s="55" t="n"/>
      <c r="G132" s="17">
        <f>IFERROR(SUM(F131:F132),"")</f>
        <v/>
      </c>
      <c r="H132" s="17">
        <f>IFERROR(IF(F132="","",FLOOR(G131/((IFERROR(B128,0)+IFERROR(G128,0))/(IFERROR('Getting Started'!C15,0)+IFERROR('Getting Started'!C23,0))),1)+1),"")</f>
        <v/>
      </c>
      <c r="I132" s="17">
        <f>IFERROR(IF(F132="","",CEILING(G132/((IFERROR(B128,0)+IFERROR(G128,0))/(IFERROR('Getting Started'!C15,0)+IFERROR('Getting Started'!C23,0))),1)),"")</f>
        <v/>
      </c>
      <c r="J132" s="54">
        <f>IFERROR(IF(F132="","",TEXT('Getting Started'!C10+(H132-1)*7,"MMM D")&amp;" – "&amp;TEXT('Getting Started'!C10+I132*7,"MMM D")),"")</f>
        <v/>
      </c>
    </row>
    <row r="133" ht="18" customHeight="1">
      <c r="A133" s="53" t="n">
        <v>3</v>
      </c>
      <c r="B133" s="5" t="n"/>
      <c r="F133" s="32" t="n"/>
      <c r="G133" s="17">
        <f>IFERROR(SUM(F131:F133),"")</f>
        <v/>
      </c>
      <c r="H133" s="17">
        <f>IFERROR(IF(F133="","",FLOOR(G132/((IFERROR(B128,0)+IFERROR(G128,0))/(IFERROR('Getting Started'!C15,0)+IFERROR('Getting Started'!C23,0))),1)+1),"")</f>
        <v/>
      </c>
      <c r="I133" s="17">
        <f>IFERROR(IF(F133="","",CEILING(G133/((IFERROR(B128,0)+IFERROR(G128,0))/(IFERROR('Getting Started'!C15,0)+IFERROR('Getting Started'!C23,0))),1)),"")</f>
        <v/>
      </c>
      <c r="J133" s="54">
        <f>IFERROR(IF(F133="","",TEXT('Getting Started'!C10+(H133-1)*7,"MMM D")&amp;" – "&amp;TEXT('Getting Started'!C10+I133*7,"MMM D")),"")</f>
        <v/>
      </c>
    </row>
    <row r="134" ht="18" customHeight="1">
      <c r="A134" s="53" t="n">
        <v>4</v>
      </c>
      <c r="B134" s="18" t="n"/>
      <c r="F134" s="55" t="n"/>
      <c r="G134" s="17">
        <f>IFERROR(SUM(F131:F134),"")</f>
        <v/>
      </c>
      <c r="H134" s="17">
        <f>IFERROR(IF(F134="","",FLOOR(G133/((IFERROR(B128,0)+IFERROR(G128,0))/(IFERROR('Getting Started'!C15,0)+IFERROR('Getting Started'!C23,0))),1)+1),"")</f>
        <v/>
      </c>
      <c r="I134" s="17">
        <f>IFERROR(IF(F134="","",CEILING(G134/((IFERROR(B128,0)+IFERROR(G128,0))/(IFERROR('Getting Started'!C15,0)+IFERROR('Getting Started'!C23,0))),1)),"")</f>
        <v/>
      </c>
      <c r="J134" s="54">
        <f>IFERROR(IF(F134="","",TEXT('Getting Started'!C10+(H134-1)*7,"MMM D")&amp;" – "&amp;TEXT('Getting Started'!C10+I134*7,"MMM D")),"")</f>
        <v/>
      </c>
    </row>
    <row r="135" ht="18" customHeight="1">
      <c r="A135" s="53" t="n">
        <v>5</v>
      </c>
      <c r="B135" s="5" t="n"/>
      <c r="F135" s="32" t="n"/>
      <c r="G135" s="17">
        <f>IFERROR(SUM(F131:F135),"")</f>
        <v/>
      </c>
      <c r="H135" s="17">
        <f>IFERROR(IF(F135="","",FLOOR(G134/((IFERROR(B128,0)+IFERROR(G128,0))/(IFERROR('Getting Started'!C15,0)+IFERROR('Getting Started'!C23,0))),1)+1),"")</f>
        <v/>
      </c>
      <c r="I135" s="17">
        <f>IFERROR(IF(F135="","",CEILING(G135/((IFERROR(B128,0)+IFERROR(G128,0))/(IFERROR('Getting Started'!C15,0)+IFERROR('Getting Started'!C23,0))),1)),"")</f>
        <v/>
      </c>
      <c r="J135" s="54">
        <f>IFERROR(IF(F135="","",TEXT('Getting Started'!C10+(H135-1)*7,"MMM D")&amp;" – "&amp;TEXT('Getting Started'!C10+I135*7,"MMM D")),"")</f>
        <v/>
      </c>
    </row>
    <row r="136" ht="18" customHeight="1">
      <c r="A136" s="53" t="n">
        <v>6</v>
      </c>
      <c r="B136" s="18" t="n"/>
      <c r="F136" s="55" t="n"/>
      <c r="G136" s="17">
        <f>IFERROR(SUM(F131:F136),"")</f>
        <v/>
      </c>
      <c r="H136" s="17">
        <f>IFERROR(IF(F136="","",FLOOR(G135/((IFERROR(B128,0)+IFERROR(G128,0))/(IFERROR('Getting Started'!C15,0)+IFERROR('Getting Started'!C23,0))),1)+1),"")</f>
        <v/>
      </c>
      <c r="I136" s="17">
        <f>IFERROR(IF(F136="","",CEILING(G136/((IFERROR(B128,0)+IFERROR(G128,0))/(IFERROR('Getting Started'!C15,0)+IFERROR('Getting Started'!C23,0))),1)),"")</f>
        <v/>
      </c>
      <c r="J136" s="54">
        <f>IFERROR(IF(F136="","",TEXT('Getting Started'!C10+(H136-1)*7,"MMM D")&amp;" – "&amp;TEXT('Getting Started'!C10+I136*7,"MMM D")),"")</f>
        <v/>
      </c>
    </row>
    <row r="137" ht="20" customHeight="1">
      <c r="A137" s="56">
        <f>IFERROR(IF('Course Content'!I46="","",'Course Content'!I46),"")</f>
        <v/>
      </c>
    </row>
    <row r="138" ht="8" customHeight="1"/>
    <row r="139" ht="24" customHeight="1">
      <c r="A139" s="44">
        <f>IF('Course Content'!D47="","  ELECTIVE / OTHER 2","  "&amp;UPPER('Course Content'!D47))</f>
        <v/>
      </c>
      <c r="E139" s="45">
        <f>IFERROR(IF('Course Content'!E47="","← enter on Course Content tab",'Course Content'!E47),"")</f>
        <v/>
      </c>
    </row>
    <row r="140" ht="22" customHeight="1">
      <c r="B140" s="46">
        <f>'Course Content'!G47</f>
        <v/>
      </c>
      <c r="C140" s="47">
        <f>IFERROR(IF(B140="","",ROUND(B140/'Getting Started'!C15,1)),"")</f>
        <v/>
      </c>
      <c r="D140" s="47">
        <f>IFERROR(IF(C140="","",ROUND(C140/'Getting Started'!C7,1)),"")</f>
        <v/>
      </c>
      <c r="E140" s="48">
        <f>IFERROR(IF(B140="","",TEXT('Getting Started'!C10+(B140/D140),"MMM D, YYYY")),"")</f>
        <v/>
      </c>
      <c r="F140" s="39" t="n"/>
      <c r="G140" s="49">
        <f>'Course Content'!H47</f>
        <v/>
      </c>
      <c r="H140" s="50">
        <f>IFERROR(IF(G140="","",ROUND(G140/'Getting Started'!C23,1)),"")</f>
        <v/>
      </c>
      <c r="I140" s="50">
        <f>IFERROR(IF(H140="","",ROUND(H140/'Getting Started'!C7,1)),"")</f>
        <v/>
      </c>
      <c r="J140" s="51">
        <f>IFERROR(IF(G140="","",TEXT('Getting Started'!C18+(G140/I140),"MMM D, YYYY")),"")</f>
        <v/>
      </c>
    </row>
    <row r="141" ht="16" customHeight="1">
      <c r="A141" s="52" t="inlineStr">
        <is>
          <t xml:space="preserve">  Component Breakdown  (optional — use for multi-volume curricula)</t>
        </is>
      </c>
    </row>
    <row r="142" ht="22" customHeight="1">
      <c r="A142" s="28" t="inlineStr">
        <is>
          <t>#</t>
        </is>
      </c>
      <c r="B142" s="28" t="inlineStr">
        <is>
          <t>Book / Component Title</t>
        </is>
      </c>
      <c r="F142" s="28" t="inlineStr">
        <is>
          <t>Units</t>
        </is>
      </c>
      <c r="G142" s="28" t="inlineStr">
        <is>
          <t>Cumul.</t>
        </is>
      </c>
      <c r="H142" s="28" t="inlineStr">
        <is>
          <t>Start
Week</t>
        </is>
      </c>
      <c r="I142" s="28" t="inlineStr">
        <is>
          <t>End
Week</t>
        </is>
      </c>
      <c r="J142" s="28" t="inlineStr">
        <is>
          <t>Est. Dates</t>
        </is>
      </c>
    </row>
    <row r="143" ht="18" customHeight="1">
      <c r="A143" s="53" t="n">
        <v>1</v>
      </c>
      <c r="B143" s="5" t="n"/>
      <c r="F143" s="32" t="n"/>
      <c r="G143" s="17">
        <f>IFERROR(SUM(F143:F143),"")</f>
        <v/>
      </c>
      <c r="H143" s="17">
        <f>IF(F143="","",1)</f>
        <v/>
      </c>
      <c r="I143" s="17">
        <f>IFERROR(IF(F143="","",CEILING(G143/((IFERROR(B140,0)+IFERROR(G140,0))/(IFERROR('Getting Started'!C15,0)+IFERROR('Getting Started'!C23,0))),1)),"")</f>
        <v/>
      </c>
      <c r="J143" s="54">
        <f>IFERROR(IF(F143="","",TEXT('Getting Started'!C10+(H143-1)*7,"MMM D")&amp;" – "&amp;TEXT('Getting Started'!C10+I143*7,"MMM D")),"")</f>
        <v/>
      </c>
    </row>
    <row r="144" ht="18" customHeight="1">
      <c r="A144" s="53" t="n">
        <v>2</v>
      </c>
      <c r="B144" s="18" t="n"/>
      <c r="F144" s="55" t="n"/>
      <c r="G144" s="17">
        <f>IFERROR(SUM(F143:F144),"")</f>
        <v/>
      </c>
      <c r="H144" s="17">
        <f>IFERROR(IF(F144="","",FLOOR(G143/((IFERROR(B140,0)+IFERROR(G140,0))/(IFERROR('Getting Started'!C15,0)+IFERROR('Getting Started'!C23,0))),1)+1),"")</f>
        <v/>
      </c>
      <c r="I144" s="17">
        <f>IFERROR(IF(F144="","",CEILING(G144/((IFERROR(B140,0)+IFERROR(G140,0))/(IFERROR('Getting Started'!C15,0)+IFERROR('Getting Started'!C23,0))),1)),"")</f>
        <v/>
      </c>
      <c r="J144" s="54">
        <f>IFERROR(IF(F144="","",TEXT('Getting Started'!C10+(H144-1)*7,"MMM D")&amp;" – "&amp;TEXT('Getting Started'!C10+I144*7,"MMM D")),"")</f>
        <v/>
      </c>
    </row>
    <row r="145" ht="18" customHeight="1">
      <c r="A145" s="53" t="n">
        <v>3</v>
      </c>
      <c r="B145" s="5" t="n"/>
      <c r="F145" s="32" t="n"/>
      <c r="G145" s="17">
        <f>IFERROR(SUM(F143:F145),"")</f>
        <v/>
      </c>
      <c r="H145" s="17">
        <f>IFERROR(IF(F145="","",FLOOR(G144/((IFERROR(B140,0)+IFERROR(G140,0))/(IFERROR('Getting Started'!C15,0)+IFERROR('Getting Started'!C23,0))),1)+1),"")</f>
        <v/>
      </c>
      <c r="I145" s="17">
        <f>IFERROR(IF(F145="","",CEILING(G145/((IFERROR(B140,0)+IFERROR(G140,0))/(IFERROR('Getting Started'!C15,0)+IFERROR('Getting Started'!C23,0))),1)),"")</f>
        <v/>
      </c>
      <c r="J145" s="54">
        <f>IFERROR(IF(F145="","",TEXT('Getting Started'!C10+(H145-1)*7,"MMM D")&amp;" – "&amp;TEXT('Getting Started'!C10+I145*7,"MMM D")),"")</f>
        <v/>
      </c>
    </row>
    <row r="146" ht="18" customHeight="1">
      <c r="A146" s="53" t="n">
        <v>4</v>
      </c>
      <c r="B146" s="18" t="n"/>
      <c r="F146" s="55" t="n"/>
      <c r="G146" s="17">
        <f>IFERROR(SUM(F143:F146),"")</f>
        <v/>
      </c>
      <c r="H146" s="17">
        <f>IFERROR(IF(F146="","",FLOOR(G145/((IFERROR(B140,0)+IFERROR(G140,0))/(IFERROR('Getting Started'!C15,0)+IFERROR('Getting Started'!C23,0))),1)+1),"")</f>
        <v/>
      </c>
      <c r="I146" s="17">
        <f>IFERROR(IF(F146="","",CEILING(G146/((IFERROR(B140,0)+IFERROR(G140,0))/(IFERROR('Getting Started'!C15,0)+IFERROR('Getting Started'!C23,0))),1)),"")</f>
        <v/>
      </c>
      <c r="J146" s="54">
        <f>IFERROR(IF(F146="","",TEXT('Getting Started'!C10+(H146-1)*7,"MMM D")&amp;" – "&amp;TEXT('Getting Started'!C10+I146*7,"MMM D")),"")</f>
        <v/>
      </c>
    </row>
    <row r="147" ht="18" customHeight="1">
      <c r="A147" s="53" t="n">
        <v>5</v>
      </c>
      <c r="B147" s="5" t="n"/>
      <c r="F147" s="32" t="n"/>
      <c r="G147" s="17">
        <f>IFERROR(SUM(F143:F147),"")</f>
        <v/>
      </c>
      <c r="H147" s="17">
        <f>IFERROR(IF(F147="","",FLOOR(G146/((IFERROR(B140,0)+IFERROR(G140,0))/(IFERROR('Getting Started'!C15,0)+IFERROR('Getting Started'!C23,0))),1)+1),"")</f>
        <v/>
      </c>
      <c r="I147" s="17">
        <f>IFERROR(IF(F147="","",CEILING(G147/((IFERROR(B140,0)+IFERROR(G140,0))/(IFERROR('Getting Started'!C15,0)+IFERROR('Getting Started'!C23,0))),1)),"")</f>
        <v/>
      </c>
      <c r="J147" s="54">
        <f>IFERROR(IF(F147="","",TEXT('Getting Started'!C10+(H147-1)*7,"MMM D")&amp;" – "&amp;TEXT('Getting Started'!C10+I147*7,"MMM D")),"")</f>
        <v/>
      </c>
    </row>
    <row r="148" ht="18" customHeight="1">
      <c r="A148" s="53" t="n">
        <v>6</v>
      </c>
      <c r="B148" s="18" t="n"/>
      <c r="F148" s="55" t="n"/>
      <c r="G148" s="17">
        <f>IFERROR(SUM(F143:F148),"")</f>
        <v/>
      </c>
      <c r="H148" s="17">
        <f>IFERROR(IF(F148="","",FLOOR(G147/((IFERROR(B140,0)+IFERROR(G140,0))/(IFERROR('Getting Started'!C15,0)+IFERROR('Getting Started'!C23,0))),1)+1),"")</f>
        <v/>
      </c>
      <c r="I148" s="17">
        <f>IFERROR(IF(F148="","",CEILING(G148/((IFERROR(B140,0)+IFERROR(G140,0))/(IFERROR('Getting Started'!C15,0)+IFERROR('Getting Started'!C23,0))),1)),"")</f>
        <v/>
      </c>
      <c r="J148" s="54">
        <f>IFERROR(IF(F148="","",TEXT('Getting Started'!C10+(H148-1)*7,"MMM D")&amp;" – "&amp;TEXT('Getting Started'!C10+I148*7,"MMM D")),"")</f>
        <v/>
      </c>
    </row>
    <row r="149" ht="20" customHeight="1">
      <c r="A149" s="56">
        <f>IFERROR(IF('Course Content'!I47="","",'Course Content'!I47),"")</f>
        <v/>
      </c>
    </row>
    <row r="150" ht="8" customHeight="1"/>
    <row r="151" ht="24" customHeight="1">
      <c r="A151" s="44">
        <f>IF('Course Content'!D48="","  ELECTIVE / OTHER 3","  "&amp;UPPER('Course Content'!D48))</f>
        <v/>
      </c>
      <c r="E151" s="45">
        <f>IFERROR(IF('Course Content'!E48="","← enter on Course Content tab",'Course Content'!E48),"")</f>
        <v/>
      </c>
    </row>
    <row r="152" ht="22" customHeight="1">
      <c r="B152" s="46">
        <f>'Course Content'!G48</f>
        <v/>
      </c>
      <c r="C152" s="47">
        <f>IFERROR(IF(B152="","",ROUND(B152/'Getting Started'!C15,1)),"")</f>
        <v/>
      </c>
      <c r="D152" s="47">
        <f>IFERROR(IF(C152="","",ROUND(C152/'Getting Started'!C7,1)),"")</f>
        <v/>
      </c>
      <c r="E152" s="48">
        <f>IFERROR(IF(B152="","",TEXT('Getting Started'!C10+(B152/D152),"MMM D, YYYY")),"")</f>
        <v/>
      </c>
      <c r="F152" s="39" t="n"/>
      <c r="G152" s="49">
        <f>'Course Content'!H48</f>
        <v/>
      </c>
      <c r="H152" s="50">
        <f>IFERROR(IF(G152="","",ROUND(G152/'Getting Started'!C23,1)),"")</f>
        <v/>
      </c>
      <c r="I152" s="50">
        <f>IFERROR(IF(H152="","",ROUND(H152/'Getting Started'!C7,1)),"")</f>
        <v/>
      </c>
      <c r="J152" s="51">
        <f>IFERROR(IF(G152="","",TEXT('Getting Started'!C18+(G152/I152),"MMM D, YYYY")),"")</f>
        <v/>
      </c>
    </row>
    <row r="153" ht="16" customHeight="1">
      <c r="A153" s="52" t="inlineStr">
        <is>
          <t xml:space="preserve">  Component Breakdown  (optional — use for multi-volume curricula)</t>
        </is>
      </c>
    </row>
    <row r="154" ht="22" customHeight="1">
      <c r="A154" s="28" t="inlineStr">
        <is>
          <t>#</t>
        </is>
      </c>
      <c r="B154" s="28" t="inlineStr">
        <is>
          <t>Book / Component Title</t>
        </is>
      </c>
      <c r="F154" s="28" t="inlineStr">
        <is>
          <t>Units</t>
        </is>
      </c>
      <c r="G154" s="28" t="inlineStr">
        <is>
          <t>Cumul.</t>
        </is>
      </c>
      <c r="H154" s="28" t="inlineStr">
        <is>
          <t>Start
Week</t>
        </is>
      </c>
      <c r="I154" s="28" t="inlineStr">
        <is>
          <t>End
Week</t>
        </is>
      </c>
      <c r="J154" s="28" t="inlineStr">
        <is>
          <t>Est. Dates</t>
        </is>
      </c>
    </row>
    <row r="155" ht="18" customHeight="1">
      <c r="A155" s="53" t="n">
        <v>1</v>
      </c>
      <c r="B155" s="5" t="n"/>
      <c r="F155" s="32" t="n"/>
      <c r="G155" s="17">
        <f>IFERROR(SUM(F155:F155),"")</f>
        <v/>
      </c>
      <c r="H155" s="17">
        <f>IF(F155="","",1)</f>
        <v/>
      </c>
      <c r="I155" s="17">
        <f>IFERROR(IF(F155="","",CEILING(G155/((IFERROR(B152,0)+IFERROR(G152,0))/(IFERROR('Getting Started'!C15,0)+IFERROR('Getting Started'!C23,0))),1)),"")</f>
        <v/>
      </c>
      <c r="J155" s="54">
        <f>IFERROR(IF(F155="","",TEXT('Getting Started'!C10+(H155-1)*7,"MMM D")&amp;" – "&amp;TEXT('Getting Started'!C10+I155*7,"MMM D")),"")</f>
        <v/>
      </c>
    </row>
    <row r="156" ht="18" customHeight="1">
      <c r="A156" s="53" t="n">
        <v>2</v>
      </c>
      <c r="B156" s="18" t="n"/>
      <c r="F156" s="55" t="n"/>
      <c r="G156" s="17">
        <f>IFERROR(SUM(F155:F156),"")</f>
        <v/>
      </c>
      <c r="H156" s="17">
        <f>IFERROR(IF(F156="","",FLOOR(G155/((IFERROR(B152,0)+IFERROR(G152,0))/(IFERROR('Getting Started'!C15,0)+IFERROR('Getting Started'!C23,0))),1)+1),"")</f>
        <v/>
      </c>
      <c r="I156" s="17">
        <f>IFERROR(IF(F156="","",CEILING(G156/((IFERROR(B152,0)+IFERROR(G152,0))/(IFERROR('Getting Started'!C15,0)+IFERROR('Getting Started'!C23,0))),1)),"")</f>
        <v/>
      </c>
      <c r="J156" s="54">
        <f>IFERROR(IF(F156="","",TEXT('Getting Started'!C10+(H156-1)*7,"MMM D")&amp;" – "&amp;TEXT('Getting Started'!C10+I156*7,"MMM D")),"")</f>
        <v/>
      </c>
    </row>
    <row r="157" ht="18" customHeight="1">
      <c r="A157" s="53" t="n">
        <v>3</v>
      </c>
      <c r="B157" s="5" t="n"/>
      <c r="F157" s="32" t="n"/>
      <c r="G157" s="17">
        <f>IFERROR(SUM(F155:F157),"")</f>
        <v/>
      </c>
      <c r="H157" s="17">
        <f>IFERROR(IF(F157="","",FLOOR(G156/((IFERROR(B152,0)+IFERROR(G152,0))/(IFERROR('Getting Started'!C15,0)+IFERROR('Getting Started'!C23,0))),1)+1),"")</f>
        <v/>
      </c>
      <c r="I157" s="17">
        <f>IFERROR(IF(F157="","",CEILING(G157/((IFERROR(B152,0)+IFERROR(G152,0))/(IFERROR('Getting Started'!C15,0)+IFERROR('Getting Started'!C23,0))),1)),"")</f>
        <v/>
      </c>
      <c r="J157" s="54">
        <f>IFERROR(IF(F157="","",TEXT('Getting Started'!C10+(H157-1)*7,"MMM D")&amp;" – "&amp;TEXT('Getting Started'!C10+I157*7,"MMM D")),"")</f>
        <v/>
      </c>
    </row>
    <row r="158" ht="18" customHeight="1">
      <c r="A158" s="53" t="n">
        <v>4</v>
      </c>
      <c r="B158" s="18" t="n"/>
      <c r="F158" s="55" t="n"/>
      <c r="G158" s="17">
        <f>IFERROR(SUM(F155:F158),"")</f>
        <v/>
      </c>
      <c r="H158" s="17">
        <f>IFERROR(IF(F158="","",FLOOR(G157/((IFERROR(B152,0)+IFERROR(G152,0))/(IFERROR('Getting Started'!C15,0)+IFERROR('Getting Started'!C23,0))),1)+1),"")</f>
        <v/>
      </c>
      <c r="I158" s="17">
        <f>IFERROR(IF(F158="","",CEILING(G158/((IFERROR(B152,0)+IFERROR(G152,0))/(IFERROR('Getting Started'!C15,0)+IFERROR('Getting Started'!C23,0))),1)),"")</f>
        <v/>
      </c>
      <c r="J158" s="54">
        <f>IFERROR(IF(F158="","",TEXT('Getting Started'!C10+(H158-1)*7,"MMM D")&amp;" – "&amp;TEXT('Getting Started'!C10+I158*7,"MMM D")),"")</f>
        <v/>
      </c>
    </row>
    <row r="159" ht="18" customHeight="1">
      <c r="A159" s="53" t="n">
        <v>5</v>
      </c>
      <c r="B159" s="5" t="n"/>
      <c r="F159" s="32" t="n"/>
      <c r="G159" s="17">
        <f>IFERROR(SUM(F155:F159),"")</f>
        <v/>
      </c>
      <c r="H159" s="17">
        <f>IFERROR(IF(F159="","",FLOOR(G158/((IFERROR(B152,0)+IFERROR(G152,0))/(IFERROR('Getting Started'!C15,0)+IFERROR('Getting Started'!C23,0))),1)+1),"")</f>
        <v/>
      </c>
      <c r="I159" s="17">
        <f>IFERROR(IF(F159="","",CEILING(G159/((IFERROR(B152,0)+IFERROR(G152,0))/(IFERROR('Getting Started'!C15,0)+IFERROR('Getting Started'!C23,0))),1)),"")</f>
        <v/>
      </c>
      <c r="J159" s="54">
        <f>IFERROR(IF(F159="","",TEXT('Getting Started'!C10+(H159-1)*7,"MMM D")&amp;" – "&amp;TEXT('Getting Started'!C10+I159*7,"MMM D")),"")</f>
        <v/>
      </c>
    </row>
    <row r="160" ht="18" customHeight="1">
      <c r="A160" s="53" t="n">
        <v>6</v>
      </c>
      <c r="B160" s="18" t="n"/>
      <c r="F160" s="55" t="n"/>
      <c r="G160" s="17">
        <f>IFERROR(SUM(F155:F160),"")</f>
        <v/>
      </c>
      <c r="H160" s="17">
        <f>IFERROR(IF(F160="","",FLOOR(G159/((IFERROR(B152,0)+IFERROR(G152,0))/(IFERROR('Getting Started'!C15,0)+IFERROR('Getting Started'!C23,0))),1)+1),"")</f>
        <v/>
      </c>
      <c r="I160" s="17">
        <f>IFERROR(IF(F160="","",CEILING(G160/((IFERROR(B152,0)+IFERROR(G152,0))/(IFERROR('Getting Started'!C15,0)+IFERROR('Getting Started'!C23,0))),1)),"")</f>
        <v/>
      </c>
      <c r="J160" s="54">
        <f>IFERROR(IF(F160="","",TEXT('Getting Started'!C10+(H160-1)*7,"MMM D")&amp;" – "&amp;TEXT('Getting Started'!C10+I160*7,"MMM D")),"")</f>
        <v/>
      </c>
    </row>
    <row r="161" ht="20" customHeight="1">
      <c r="A161" s="56">
        <f>IFERROR(IF('Course Content'!I48="","",'Course Content'!I48),"")</f>
        <v/>
      </c>
    </row>
    <row r="162" ht="8" customHeight="1"/>
    <row r="163" ht="24" customHeight="1">
      <c r="A163" s="44">
        <f>IF('Course Content'!D49="","  ELECTIVE / OTHER 4","  "&amp;UPPER('Course Content'!D49))</f>
        <v/>
      </c>
      <c r="E163" s="45">
        <f>IFERROR(IF('Course Content'!E49="","← enter on Course Content tab",'Course Content'!E49),"")</f>
        <v/>
      </c>
    </row>
    <row r="164" ht="22" customHeight="1">
      <c r="B164" s="46">
        <f>'Course Content'!G49</f>
        <v/>
      </c>
      <c r="C164" s="47">
        <f>IFERROR(IF(B164="","",ROUND(B164/'Getting Started'!C15,1)),"")</f>
        <v/>
      </c>
      <c r="D164" s="47">
        <f>IFERROR(IF(C164="","",ROUND(C164/'Getting Started'!C7,1)),"")</f>
        <v/>
      </c>
      <c r="E164" s="48">
        <f>IFERROR(IF(B164="","",TEXT('Getting Started'!C10+(B164/D164),"MMM D, YYYY")),"")</f>
        <v/>
      </c>
      <c r="F164" s="39" t="n"/>
      <c r="G164" s="49">
        <f>'Course Content'!H49</f>
        <v/>
      </c>
      <c r="H164" s="50">
        <f>IFERROR(IF(G164="","",ROUND(G164/'Getting Started'!C23,1)),"")</f>
        <v/>
      </c>
      <c r="I164" s="50">
        <f>IFERROR(IF(H164="","",ROUND(H164/'Getting Started'!C7,1)),"")</f>
        <v/>
      </c>
      <c r="J164" s="51">
        <f>IFERROR(IF(G164="","",TEXT('Getting Started'!C18+(G164/I164),"MMM D, YYYY")),"")</f>
        <v/>
      </c>
    </row>
    <row r="165" ht="16" customHeight="1">
      <c r="A165" s="52" t="inlineStr">
        <is>
          <t xml:space="preserve">  Component Breakdown  (optional — use for multi-volume curricula)</t>
        </is>
      </c>
    </row>
    <row r="166" ht="22" customHeight="1">
      <c r="A166" s="28" t="inlineStr">
        <is>
          <t>#</t>
        </is>
      </c>
      <c r="B166" s="28" t="inlineStr">
        <is>
          <t>Book / Component Title</t>
        </is>
      </c>
      <c r="F166" s="28" t="inlineStr">
        <is>
          <t>Units</t>
        </is>
      </c>
      <c r="G166" s="28" t="inlineStr">
        <is>
          <t>Cumul.</t>
        </is>
      </c>
      <c r="H166" s="28" t="inlineStr">
        <is>
          <t>Start
Week</t>
        </is>
      </c>
      <c r="I166" s="28" t="inlineStr">
        <is>
          <t>End
Week</t>
        </is>
      </c>
      <c r="J166" s="28" t="inlineStr">
        <is>
          <t>Est. Dates</t>
        </is>
      </c>
    </row>
    <row r="167" ht="18" customHeight="1">
      <c r="A167" s="53" t="n">
        <v>1</v>
      </c>
      <c r="B167" s="5" t="n"/>
      <c r="F167" s="32" t="n"/>
      <c r="G167" s="17">
        <f>IFERROR(SUM(F167:F167),"")</f>
        <v/>
      </c>
      <c r="H167" s="17">
        <f>IF(F167="","",1)</f>
        <v/>
      </c>
      <c r="I167" s="17">
        <f>IFERROR(IF(F167="","",CEILING(G167/((IFERROR(B164,0)+IFERROR(G164,0))/(IFERROR('Getting Started'!C15,0)+IFERROR('Getting Started'!C23,0))),1)),"")</f>
        <v/>
      </c>
      <c r="J167" s="54">
        <f>IFERROR(IF(F167="","",TEXT('Getting Started'!C10+(H167-1)*7,"MMM D")&amp;" – "&amp;TEXT('Getting Started'!C10+I167*7,"MMM D")),"")</f>
        <v/>
      </c>
    </row>
    <row r="168" ht="18" customHeight="1">
      <c r="A168" s="53" t="n">
        <v>2</v>
      </c>
      <c r="B168" s="18" t="n"/>
      <c r="F168" s="55" t="n"/>
      <c r="G168" s="17">
        <f>IFERROR(SUM(F167:F168),"")</f>
        <v/>
      </c>
      <c r="H168" s="17">
        <f>IFERROR(IF(F168="","",FLOOR(G167/((IFERROR(B164,0)+IFERROR(G164,0))/(IFERROR('Getting Started'!C15,0)+IFERROR('Getting Started'!C23,0))),1)+1),"")</f>
        <v/>
      </c>
      <c r="I168" s="17">
        <f>IFERROR(IF(F168="","",CEILING(G168/((IFERROR(B164,0)+IFERROR(G164,0))/(IFERROR('Getting Started'!C15,0)+IFERROR('Getting Started'!C23,0))),1)),"")</f>
        <v/>
      </c>
      <c r="J168" s="54">
        <f>IFERROR(IF(F168="","",TEXT('Getting Started'!C10+(H168-1)*7,"MMM D")&amp;" – "&amp;TEXT('Getting Started'!C10+I168*7,"MMM D")),"")</f>
        <v/>
      </c>
    </row>
    <row r="169" ht="18" customHeight="1">
      <c r="A169" s="53" t="n">
        <v>3</v>
      </c>
      <c r="B169" s="5" t="n"/>
      <c r="F169" s="32" t="n"/>
      <c r="G169" s="17">
        <f>IFERROR(SUM(F167:F169),"")</f>
        <v/>
      </c>
      <c r="H169" s="17">
        <f>IFERROR(IF(F169="","",FLOOR(G168/((IFERROR(B164,0)+IFERROR(G164,0))/(IFERROR('Getting Started'!C15,0)+IFERROR('Getting Started'!C23,0))),1)+1),"")</f>
        <v/>
      </c>
      <c r="I169" s="17">
        <f>IFERROR(IF(F169="","",CEILING(G169/((IFERROR(B164,0)+IFERROR(G164,0))/(IFERROR('Getting Started'!C15,0)+IFERROR('Getting Started'!C23,0))),1)),"")</f>
        <v/>
      </c>
      <c r="J169" s="54">
        <f>IFERROR(IF(F169="","",TEXT('Getting Started'!C10+(H169-1)*7,"MMM D")&amp;" – "&amp;TEXT('Getting Started'!C10+I169*7,"MMM D")),"")</f>
        <v/>
      </c>
    </row>
    <row r="170" ht="18" customHeight="1">
      <c r="A170" s="53" t="n">
        <v>4</v>
      </c>
      <c r="B170" s="18" t="n"/>
      <c r="F170" s="55" t="n"/>
      <c r="G170" s="17">
        <f>IFERROR(SUM(F167:F170),"")</f>
        <v/>
      </c>
      <c r="H170" s="17">
        <f>IFERROR(IF(F170="","",FLOOR(G169/((IFERROR(B164,0)+IFERROR(G164,0))/(IFERROR('Getting Started'!C15,0)+IFERROR('Getting Started'!C23,0))),1)+1),"")</f>
        <v/>
      </c>
      <c r="I170" s="17">
        <f>IFERROR(IF(F170="","",CEILING(G170/((IFERROR(B164,0)+IFERROR(G164,0))/(IFERROR('Getting Started'!C15,0)+IFERROR('Getting Started'!C23,0))),1)),"")</f>
        <v/>
      </c>
      <c r="J170" s="54">
        <f>IFERROR(IF(F170="","",TEXT('Getting Started'!C10+(H170-1)*7,"MMM D")&amp;" – "&amp;TEXT('Getting Started'!C10+I170*7,"MMM D")),"")</f>
        <v/>
      </c>
    </row>
    <row r="171" ht="18" customHeight="1">
      <c r="A171" s="53" t="n">
        <v>5</v>
      </c>
      <c r="B171" s="5" t="n"/>
      <c r="F171" s="32" t="n"/>
      <c r="G171" s="17">
        <f>IFERROR(SUM(F167:F171),"")</f>
        <v/>
      </c>
      <c r="H171" s="17">
        <f>IFERROR(IF(F171="","",FLOOR(G170/((IFERROR(B164,0)+IFERROR(G164,0))/(IFERROR('Getting Started'!C15,0)+IFERROR('Getting Started'!C23,0))),1)+1),"")</f>
        <v/>
      </c>
      <c r="I171" s="17">
        <f>IFERROR(IF(F171="","",CEILING(G171/((IFERROR(B164,0)+IFERROR(G164,0))/(IFERROR('Getting Started'!C15,0)+IFERROR('Getting Started'!C23,0))),1)),"")</f>
        <v/>
      </c>
      <c r="J171" s="54">
        <f>IFERROR(IF(F171="","",TEXT('Getting Started'!C10+(H171-1)*7,"MMM D")&amp;" – "&amp;TEXT('Getting Started'!C10+I171*7,"MMM D")),"")</f>
        <v/>
      </c>
    </row>
    <row r="172" ht="18" customHeight="1">
      <c r="A172" s="53" t="n">
        <v>6</v>
      </c>
      <c r="B172" s="18" t="n"/>
      <c r="F172" s="55" t="n"/>
      <c r="G172" s="17">
        <f>IFERROR(SUM(F167:F172),"")</f>
        <v/>
      </c>
      <c r="H172" s="17">
        <f>IFERROR(IF(F172="","",FLOOR(G171/((IFERROR(B164,0)+IFERROR(G164,0))/(IFERROR('Getting Started'!C15,0)+IFERROR('Getting Started'!C23,0))),1)+1),"")</f>
        <v/>
      </c>
      <c r="I172" s="17">
        <f>IFERROR(IF(F172="","",CEILING(G172/((IFERROR(B164,0)+IFERROR(G164,0))/(IFERROR('Getting Started'!C15,0)+IFERROR('Getting Started'!C23,0))),1)),"")</f>
        <v/>
      </c>
      <c r="J172" s="54">
        <f>IFERROR(IF(F172="","",TEXT('Getting Started'!C10+(H172-1)*7,"MMM D")&amp;" – "&amp;TEXT('Getting Started'!C10+I172*7,"MMM D")),"")</f>
        <v/>
      </c>
    </row>
    <row r="173" ht="20" customHeight="1">
      <c r="A173" s="56">
        <f>IFERROR(IF('Course Content'!I49="","",'Course Content'!I49),"")</f>
        <v/>
      </c>
    </row>
    <row r="174" ht="8" customHeight="1"/>
  </sheetData>
  <mergeCells count="158">
    <mergeCell ref="B146:E146"/>
    <mergeCell ref="E19:J19"/>
    <mergeCell ref="B74:E74"/>
    <mergeCell ref="G4:J4"/>
    <mergeCell ref="A165:J165"/>
    <mergeCell ref="B123:E123"/>
    <mergeCell ref="B36:E36"/>
    <mergeCell ref="B76:E76"/>
    <mergeCell ref="B110:E110"/>
    <mergeCell ref="A93:J93"/>
    <mergeCell ref="A31:D31"/>
    <mergeCell ref="A173:J173"/>
    <mergeCell ref="B100:E100"/>
    <mergeCell ref="A77:J77"/>
    <mergeCell ref="B109:E109"/>
    <mergeCell ref="B47:E47"/>
    <mergeCell ref="B22:E22"/>
    <mergeCell ref="B155:E155"/>
    <mergeCell ref="B12:E12"/>
    <mergeCell ref="B86:E86"/>
    <mergeCell ref="A69:J69"/>
    <mergeCell ref="A7:D7"/>
    <mergeCell ref="B39:E39"/>
    <mergeCell ref="E139:J139"/>
    <mergeCell ref="B14:E14"/>
    <mergeCell ref="B136:E136"/>
    <mergeCell ref="B23:E23"/>
    <mergeCell ref="B13:E13"/>
    <mergeCell ref="A163:D163"/>
    <mergeCell ref="B38:E38"/>
    <mergeCell ref="B112:E112"/>
    <mergeCell ref="E79:J79"/>
    <mergeCell ref="B87:E87"/>
    <mergeCell ref="B40:E40"/>
    <mergeCell ref="B49:E49"/>
    <mergeCell ref="B64:E64"/>
    <mergeCell ref="A29:J29"/>
    <mergeCell ref="A81:J81"/>
    <mergeCell ref="A19:D19"/>
    <mergeCell ref="B51:E51"/>
    <mergeCell ref="A161:J161"/>
    <mergeCell ref="B63:E63"/>
    <mergeCell ref="B26:E26"/>
    <mergeCell ref="B154:E154"/>
    <mergeCell ref="B35:E35"/>
    <mergeCell ref="B50:E50"/>
    <mergeCell ref="B106:E106"/>
    <mergeCell ref="A127:D127"/>
    <mergeCell ref="E163:J163"/>
    <mergeCell ref="B16:E16"/>
    <mergeCell ref="B25:E25"/>
    <mergeCell ref="B156:E156"/>
    <mergeCell ref="E91:J91"/>
    <mergeCell ref="B131:E131"/>
    <mergeCell ref="B27:E27"/>
    <mergeCell ref="A79:D79"/>
    <mergeCell ref="E115:J115"/>
    <mergeCell ref="B130:E130"/>
    <mergeCell ref="B11:E11"/>
    <mergeCell ref="B61:E61"/>
    <mergeCell ref="A4:E4"/>
    <mergeCell ref="B132:E132"/>
    <mergeCell ref="B166:E166"/>
    <mergeCell ref="A149:J149"/>
    <mergeCell ref="B119:E119"/>
    <mergeCell ref="E127:J127"/>
    <mergeCell ref="A139:D139"/>
    <mergeCell ref="B37:E37"/>
    <mergeCell ref="A2:J2"/>
    <mergeCell ref="B168:E168"/>
    <mergeCell ref="B84:E84"/>
    <mergeCell ref="B118:E118"/>
    <mergeCell ref="A141:J141"/>
    <mergeCell ref="A91:D91"/>
    <mergeCell ref="B158:E158"/>
    <mergeCell ref="B15:E15"/>
    <mergeCell ref="B142:E142"/>
    <mergeCell ref="B24:E24"/>
    <mergeCell ref="A125:J125"/>
    <mergeCell ref="B95:E95"/>
    <mergeCell ref="A115:D115"/>
    <mergeCell ref="B160:E160"/>
    <mergeCell ref="B169:E169"/>
    <mergeCell ref="B144:E144"/>
    <mergeCell ref="B97:E97"/>
    <mergeCell ref="B72:E72"/>
    <mergeCell ref="B134:E134"/>
    <mergeCell ref="B121:E121"/>
    <mergeCell ref="A103:D103"/>
    <mergeCell ref="B122:E122"/>
    <mergeCell ref="B71:E71"/>
    <mergeCell ref="B58:E58"/>
    <mergeCell ref="B52:E52"/>
    <mergeCell ref="A153:J153"/>
    <mergeCell ref="B120:E120"/>
    <mergeCell ref="A137:J137"/>
    <mergeCell ref="B107:E107"/>
    <mergeCell ref="A41:J41"/>
    <mergeCell ref="B60:E60"/>
    <mergeCell ref="E151:J151"/>
    <mergeCell ref="B170:E170"/>
    <mergeCell ref="E55:J55"/>
    <mergeCell ref="B148:E148"/>
    <mergeCell ref="B157:E157"/>
    <mergeCell ref="E67:J67"/>
    <mergeCell ref="B171:E171"/>
    <mergeCell ref="A101:J101"/>
    <mergeCell ref="B34:E34"/>
    <mergeCell ref="B172:E172"/>
    <mergeCell ref="B28:E28"/>
    <mergeCell ref="B99:E99"/>
    <mergeCell ref="A33:J33"/>
    <mergeCell ref="B108:E108"/>
    <mergeCell ref="E103:J103"/>
    <mergeCell ref="B83:E83"/>
    <mergeCell ref="A17:J17"/>
    <mergeCell ref="B143:E143"/>
    <mergeCell ref="A53:J53"/>
    <mergeCell ref="E31:J31"/>
    <mergeCell ref="B124:E124"/>
    <mergeCell ref="A43:D43"/>
    <mergeCell ref="B133:E133"/>
    <mergeCell ref="B85:E85"/>
    <mergeCell ref="B94:E94"/>
    <mergeCell ref="A117:J117"/>
    <mergeCell ref="A67:D67"/>
    <mergeCell ref="B75:E75"/>
    <mergeCell ref="A9:J9"/>
    <mergeCell ref="B135:E135"/>
    <mergeCell ref="B62:E62"/>
    <mergeCell ref="B59:E59"/>
    <mergeCell ref="B46:E46"/>
    <mergeCell ref="B159:E159"/>
    <mergeCell ref="E7:J7"/>
    <mergeCell ref="A1:J1"/>
    <mergeCell ref="A45:J45"/>
    <mergeCell ref="B96:E96"/>
    <mergeCell ref="B167:E167"/>
    <mergeCell ref="B70:E70"/>
    <mergeCell ref="B48:E48"/>
    <mergeCell ref="A65:J65"/>
    <mergeCell ref="E43:J43"/>
    <mergeCell ref="B111:E111"/>
    <mergeCell ref="B145:E145"/>
    <mergeCell ref="B98:E98"/>
    <mergeCell ref="A89:J89"/>
    <mergeCell ref="B73:E73"/>
    <mergeCell ref="B88:E88"/>
    <mergeCell ref="B82:E82"/>
    <mergeCell ref="A21:J21"/>
    <mergeCell ref="A55:D55"/>
    <mergeCell ref="A105:J105"/>
    <mergeCell ref="B147:E147"/>
    <mergeCell ref="A57:J57"/>
    <mergeCell ref="A113:J113"/>
    <mergeCell ref="A151:D151"/>
    <mergeCell ref="B10:E10"/>
    <mergeCell ref="A129:J129"/>
  </mergeCells>
  <pageMargins left="0.75" right="0.75" top="1" bottom="1" header="0.5" footer="0.5"/>
</worksheet>
</file>

<file path=xl/worksheets/sheet6.xml><?xml version="1.0" encoding="utf-8"?>
<worksheet xmlns="http://schemas.openxmlformats.org/spreadsheetml/2006/main">
  <sheetPr>
    <tabColor rgb="006B8A6B"/>
    <outlinePr summaryBelow="1" summaryRight="1"/>
    <pageSetUpPr/>
  </sheetPr>
  <dimension ref="A1:J173"/>
  <sheetViews>
    <sheetView workbookViewId="0">
      <pane ySplit="6" topLeftCell="A7"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8" customWidth="1" min="5" max="5"/>
    <col width="4" customWidth="1" min="6" max="6"/>
    <col width="14" customWidth="1" min="7" max="7"/>
    <col width="14" customWidth="1" min="8" max="8"/>
    <col width="14" customWidth="1" min="9" max="9"/>
    <col width="18" customWidth="1" min="10" max="10"/>
  </cols>
  <sheetData>
    <row r="1" ht="40" customHeight="1">
      <c r="A1" s="1">
        <f>IF('Getting Started'!B32="","Student 4",'Getting Started'!B32)</f>
        <v/>
      </c>
    </row>
    <row r="2" ht="22" customHeight="1">
      <c r="A2" s="37">
        <f>IFERROR("Grade: "&amp;'Getting Started'!F32&amp;"   ·   School Year: "&amp;'Getting Started'!C6,"")</f>
        <v/>
      </c>
    </row>
    <row r="3" ht="8" customHeight="1"/>
    <row r="4" ht="22" customHeight="1">
      <c r="A4" s="38">
        <f>IFERROR("SEMESTER 1   "&amp;TEXT('Getting Started'!C10,"MMM D")&amp;" – "&amp;TEXT('Getting Started'!C11,"MMM D, YYYY")&amp;"   ("&amp;'Getting Started'!C15&amp;" wks)","SEMESTER 1")</f>
        <v/>
      </c>
      <c r="F4" s="39" t="n"/>
      <c r="G4" s="40">
        <f>IFERROR("SEMESTER 2   "&amp;TEXT('Getting Started'!C18,"MMM D")&amp;" – "&amp;TEXT('Getting Started'!C19,"MMM D, YYYY")&amp;"   ("&amp;'Getting Started'!C23&amp;" wks)","SEMESTER 2")</f>
        <v/>
      </c>
    </row>
    <row r="5" ht="24" customHeight="1">
      <c r="A5" s="28" t="inlineStr">
        <is>
          <t>Subject  /  Curriculum</t>
        </is>
      </c>
      <c r="B5" s="41" t="inlineStr">
        <is>
          <t>Sem 1
Units</t>
        </is>
      </c>
      <c r="C5" s="41" t="inlineStr">
        <is>
          <t>/ Week</t>
        </is>
      </c>
      <c r="D5" s="41" t="inlineStr">
        <is>
          <t>/ Day</t>
        </is>
      </c>
      <c r="E5" s="41" t="inlineStr">
        <is>
          <t>Est. End</t>
        </is>
      </c>
      <c r="F5" s="42" t="inlineStr"/>
      <c r="G5" s="43" t="inlineStr">
        <is>
          <t>Sem 2
Units</t>
        </is>
      </c>
      <c r="H5" s="43" t="inlineStr">
        <is>
          <t>/ Week</t>
        </is>
      </c>
      <c r="I5" s="43" t="inlineStr">
        <is>
          <t>/ Day</t>
        </is>
      </c>
      <c r="J5" s="43" t="inlineStr">
        <is>
          <t>Est. End</t>
        </is>
      </c>
    </row>
    <row r="6" ht="8" customHeight="1"/>
    <row r="7" ht="24" customHeight="1">
      <c r="A7" s="44" t="inlineStr">
        <is>
          <t xml:space="preserve">  BIBLE</t>
        </is>
      </c>
      <c r="E7" s="45">
        <f>IFERROR(IF('Course Content'!E50="","← enter on Course Content tab",'Course Content'!E50),"")</f>
        <v/>
      </c>
    </row>
    <row r="8" ht="22" customHeight="1">
      <c r="B8" s="46">
        <f>'Course Content'!G50</f>
        <v/>
      </c>
      <c r="C8" s="47">
        <f>IFERROR(IF(B8="","",ROUND(B8/'Getting Started'!C15,1)),"")</f>
        <v/>
      </c>
      <c r="D8" s="47">
        <f>IFERROR(IF(C8="","",ROUND(C8/'Getting Started'!C7,1)),"")</f>
        <v/>
      </c>
      <c r="E8" s="48">
        <f>IFERROR(IF(B8="","",TEXT('Getting Started'!C10+(B8/D8),"MMM D, YYYY")),"")</f>
        <v/>
      </c>
      <c r="F8" s="39" t="n"/>
      <c r="G8" s="49">
        <f>'Course Content'!H50</f>
        <v/>
      </c>
      <c r="H8" s="50">
        <f>IFERROR(IF(G8="","",ROUND(G8/'Getting Started'!C23,1)),"")</f>
        <v/>
      </c>
      <c r="I8" s="50">
        <f>IFERROR(IF(H8="","",ROUND(H8/'Getting Started'!C7,1)),"")</f>
        <v/>
      </c>
      <c r="J8" s="51">
        <f>IFERROR(IF(G8="","",TEXT('Getting Started'!C18+(G8/I8),"MMM D, YYYY")),"")</f>
        <v/>
      </c>
    </row>
    <row r="9" ht="16" customHeight="1">
      <c r="A9" s="52" t="inlineStr">
        <is>
          <t xml:space="preserve">  Component Breakdown  (optional — use for multi-volume curricula)</t>
        </is>
      </c>
    </row>
    <row r="10" ht="22" customHeight="1">
      <c r="A10" s="28" t="inlineStr">
        <is>
          <t>#</t>
        </is>
      </c>
      <c r="B10" s="28" t="inlineStr">
        <is>
          <t>Book / Component Title</t>
        </is>
      </c>
      <c r="F10" s="28" t="inlineStr">
        <is>
          <t>Units</t>
        </is>
      </c>
      <c r="G10" s="28" t="inlineStr">
        <is>
          <t>Cumul.</t>
        </is>
      </c>
      <c r="H10" s="28" t="inlineStr">
        <is>
          <t>Start
Week</t>
        </is>
      </c>
      <c r="I10" s="28" t="inlineStr">
        <is>
          <t>End
Week</t>
        </is>
      </c>
      <c r="J10" s="28" t="inlineStr">
        <is>
          <t>Est. Dates</t>
        </is>
      </c>
    </row>
    <row r="11" ht="18" customHeight="1">
      <c r="A11" s="53" t="n">
        <v>1</v>
      </c>
      <c r="B11" s="5" t="n"/>
      <c r="F11" s="32" t="n"/>
      <c r="G11" s="17">
        <f>IFERROR(SUM(F11:F11),"")</f>
        <v/>
      </c>
      <c r="H11" s="17">
        <f>IF(F11="","",1)</f>
        <v/>
      </c>
      <c r="I11" s="17">
        <f>IFERROR(IF(F11="","",CEILING(G11/((IFERROR(B8,0)+IFERROR(G8,0))/(IFERROR('Getting Started'!C15,0)+IFERROR('Getting Started'!C23,0))),1)),"")</f>
        <v/>
      </c>
      <c r="J11" s="54">
        <f>IFERROR(IF(F11="","",TEXT('Getting Started'!C10+(H11-1)*7,"MMM D")&amp;" – "&amp;TEXT('Getting Started'!C10+I11*7,"MMM D")),"")</f>
        <v/>
      </c>
    </row>
    <row r="12" ht="18" customHeight="1">
      <c r="A12" s="53" t="n">
        <v>2</v>
      </c>
      <c r="B12" s="18" t="n"/>
      <c r="F12" s="55" t="n"/>
      <c r="G12" s="17">
        <f>IFERROR(SUM(F11:F12),"")</f>
        <v/>
      </c>
      <c r="H12" s="17">
        <f>IFERROR(IF(F12="","",FLOOR(G11/((IFERROR(B8,0)+IFERROR(G8,0))/(IFERROR('Getting Started'!C15,0)+IFERROR('Getting Started'!C23,0))),1)+1),"")</f>
        <v/>
      </c>
      <c r="I12" s="17">
        <f>IFERROR(IF(F12="","",CEILING(G12/((IFERROR(B8,0)+IFERROR(G8,0))/(IFERROR('Getting Started'!C15,0)+IFERROR('Getting Started'!C23,0))),1)),"")</f>
        <v/>
      </c>
      <c r="J12" s="54">
        <f>IFERROR(IF(F12="","",TEXT('Getting Started'!C10+(H12-1)*7,"MMM D")&amp;" – "&amp;TEXT('Getting Started'!C10+I12*7,"MMM D")),"")</f>
        <v/>
      </c>
    </row>
    <row r="13" ht="18" customHeight="1">
      <c r="A13" s="53" t="n">
        <v>3</v>
      </c>
      <c r="B13" s="5" t="n"/>
      <c r="F13" s="32" t="n"/>
      <c r="G13" s="17">
        <f>IFERROR(SUM(F11:F13),"")</f>
        <v/>
      </c>
      <c r="H13" s="17">
        <f>IFERROR(IF(F13="","",FLOOR(G12/((IFERROR(B8,0)+IFERROR(G8,0))/(IFERROR('Getting Started'!C15,0)+IFERROR('Getting Started'!C23,0))),1)+1),"")</f>
        <v/>
      </c>
      <c r="I13" s="17">
        <f>IFERROR(IF(F13="","",CEILING(G13/((IFERROR(B8,0)+IFERROR(G8,0))/(IFERROR('Getting Started'!C15,0)+IFERROR('Getting Started'!C23,0))),1)),"")</f>
        <v/>
      </c>
      <c r="J13" s="54">
        <f>IFERROR(IF(F13="","",TEXT('Getting Started'!C10+(H13-1)*7,"MMM D")&amp;" – "&amp;TEXT('Getting Started'!C10+I13*7,"MMM D")),"")</f>
        <v/>
      </c>
    </row>
    <row r="14" ht="18" customHeight="1">
      <c r="A14" s="53" t="n">
        <v>4</v>
      </c>
      <c r="B14" s="18" t="n"/>
      <c r="F14" s="55" t="n"/>
      <c r="G14" s="17">
        <f>IFERROR(SUM(F11:F14),"")</f>
        <v/>
      </c>
      <c r="H14" s="17">
        <f>IFERROR(IF(F14="","",FLOOR(G13/((IFERROR(B8,0)+IFERROR(G8,0))/(IFERROR('Getting Started'!C15,0)+IFERROR('Getting Started'!C23,0))),1)+1),"")</f>
        <v/>
      </c>
      <c r="I14" s="17">
        <f>IFERROR(IF(F14="","",CEILING(G14/((IFERROR(B8,0)+IFERROR(G8,0))/(IFERROR('Getting Started'!C15,0)+IFERROR('Getting Started'!C23,0))),1)),"")</f>
        <v/>
      </c>
      <c r="J14" s="54">
        <f>IFERROR(IF(F14="","",TEXT('Getting Started'!C10+(H14-1)*7,"MMM D")&amp;" – "&amp;TEXT('Getting Started'!C10+I14*7,"MMM D")),"")</f>
        <v/>
      </c>
    </row>
    <row r="15" ht="18" customHeight="1">
      <c r="A15" s="53" t="n">
        <v>5</v>
      </c>
      <c r="B15" s="5" t="n"/>
      <c r="F15" s="32" t="n"/>
      <c r="G15" s="17">
        <f>IFERROR(SUM(F11:F15),"")</f>
        <v/>
      </c>
      <c r="H15" s="17">
        <f>IFERROR(IF(F15="","",FLOOR(G14/((IFERROR(B8,0)+IFERROR(G8,0))/(IFERROR('Getting Started'!C15,0)+IFERROR('Getting Started'!C23,0))),1)+1),"")</f>
        <v/>
      </c>
      <c r="I15" s="17">
        <f>IFERROR(IF(F15="","",CEILING(G15/((IFERROR(B8,0)+IFERROR(G8,0))/(IFERROR('Getting Started'!C15,0)+IFERROR('Getting Started'!C23,0))),1)),"")</f>
        <v/>
      </c>
      <c r="J15" s="54">
        <f>IFERROR(IF(F15="","",TEXT('Getting Started'!C10+(H15-1)*7,"MMM D")&amp;" – "&amp;TEXT('Getting Started'!C10+I15*7,"MMM D")),"")</f>
        <v/>
      </c>
    </row>
    <row r="16" ht="18" customHeight="1">
      <c r="A16" s="53" t="n">
        <v>6</v>
      </c>
      <c r="B16" s="18" t="n"/>
      <c r="F16" s="55" t="n"/>
      <c r="G16" s="17">
        <f>IFERROR(SUM(F11:F16),"")</f>
        <v/>
      </c>
      <c r="H16" s="17">
        <f>IFERROR(IF(F16="","",FLOOR(G15/((IFERROR(B8,0)+IFERROR(G8,0))/(IFERROR('Getting Started'!C15,0)+IFERROR('Getting Started'!C23,0))),1)+1),"")</f>
        <v/>
      </c>
      <c r="I16" s="17">
        <f>IFERROR(IF(F16="","",CEILING(G16/((IFERROR(B8,0)+IFERROR(G8,0))/(IFERROR('Getting Started'!C15,0)+IFERROR('Getting Started'!C23,0))),1)),"")</f>
        <v/>
      </c>
      <c r="J16" s="54">
        <f>IFERROR(IF(F16="","",TEXT('Getting Started'!C10+(H16-1)*7,"MMM D")&amp;" – "&amp;TEXT('Getting Started'!C10+I16*7,"MMM D")),"")</f>
        <v/>
      </c>
    </row>
    <row r="17" ht="20" customHeight="1">
      <c r="A17" s="56">
        <f>IFERROR(IF('Course Content'!I50="","",'Course Content'!I50),"")</f>
        <v/>
      </c>
    </row>
    <row r="18" ht="8" customHeight="1"/>
    <row r="19" ht="24" customHeight="1">
      <c r="A19" s="44" t="inlineStr">
        <is>
          <t xml:space="preserve">  MATH</t>
        </is>
      </c>
      <c r="E19" s="45">
        <f>IFERROR(IF('Course Content'!E51="","← enter on Course Content tab",'Course Content'!E51),"")</f>
        <v/>
      </c>
    </row>
    <row r="20" ht="22" customHeight="1">
      <c r="B20" s="46">
        <f>'Course Content'!G51</f>
        <v/>
      </c>
      <c r="C20" s="47">
        <f>IFERROR(IF(B20="","",ROUND(B20/'Getting Started'!C15,1)),"")</f>
        <v/>
      </c>
      <c r="D20" s="47">
        <f>IFERROR(IF(C20="","",ROUND(C20/'Getting Started'!C7,1)),"")</f>
        <v/>
      </c>
      <c r="E20" s="48">
        <f>IFERROR(IF(B20="","",TEXT('Getting Started'!C10+(B20/D20),"MMM D, YYYY")),"")</f>
        <v/>
      </c>
      <c r="F20" s="39" t="n"/>
      <c r="G20" s="49">
        <f>'Course Content'!H51</f>
        <v/>
      </c>
      <c r="H20" s="50">
        <f>IFERROR(IF(G20="","",ROUND(G20/'Getting Started'!C23,1)),"")</f>
        <v/>
      </c>
      <c r="I20" s="50">
        <f>IFERROR(IF(H20="","",ROUND(H20/'Getting Started'!C7,1)),"")</f>
        <v/>
      </c>
      <c r="J20" s="51">
        <f>IFERROR(IF(G20="","",TEXT('Getting Started'!C18+(G20/I20),"MMM D, YYYY")),"")</f>
        <v/>
      </c>
    </row>
    <row r="21" ht="16" customHeight="1">
      <c r="A21" s="52" t="inlineStr">
        <is>
          <t xml:space="preserve">  Component Breakdown  (optional — use for multi-volume curricula)</t>
        </is>
      </c>
    </row>
    <row r="22" ht="22" customHeight="1">
      <c r="A22" s="28" t="inlineStr">
        <is>
          <t>#</t>
        </is>
      </c>
      <c r="B22" s="28" t="inlineStr">
        <is>
          <t>Book / Component Title</t>
        </is>
      </c>
      <c r="F22" s="28" t="inlineStr">
        <is>
          <t>Units</t>
        </is>
      </c>
      <c r="G22" s="28" t="inlineStr">
        <is>
          <t>Cumul.</t>
        </is>
      </c>
      <c r="H22" s="28" t="inlineStr">
        <is>
          <t>Start
Week</t>
        </is>
      </c>
      <c r="I22" s="28" t="inlineStr">
        <is>
          <t>End
Week</t>
        </is>
      </c>
      <c r="J22" s="28" t="inlineStr">
        <is>
          <t>Est. Dates</t>
        </is>
      </c>
    </row>
    <row r="23" ht="18" customHeight="1">
      <c r="A23" s="53" t="n">
        <v>1</v>
      </c>
      <c r="B23" s="5" t="n"/>
      <c r="F23" s="32" t="n"/>
      <c r="G23" s="17">
        <f>IFERROR(SUM(F23:F23),"")</f>
        <v/>
      </c>
      <c r="H23" s="17">
        <f>IF(F23="","",1)</f>
        <v/>
      </c>
      <c r="I23" s="17">
        <f>IFERROR(IF(F23="","",CEILING(G23/((IFERROR(B20,0)+IFERROR(G20,0))/(IFERROR('Getting Started'!C15,0)+IFERROR('Getting Started'!C23,0))),1)),"")</f>
        <v/>
      </c>
      <c r="J23" s="54">
        <f>IFERROR(IF(F23="","",TEXT('Getting Started'!C10+(H23-1)*7,"MMM D")&amp;" – "&amp;TEXT('Getting Started'!C10+I23*7,"MMM D")),"")</f>
        <v/>
      </c>
    </row>
    <row r="24" ht="18" customHeight="1">
      <c r="A24" s="53" t="n">
        <v>2</v>
      </c>
      <c r="B24" s="18" t="n"/>
      <c r="F24" s="55" t="n"/>
      <c r="G24" s="17">
        <f>IFERROR(SUM(F23:F24),"")</f>
        <v/>
      </c>
      <c r="H24" s="17">
        <f>IFERROR(IF(F24="","",FLOOR(G23/((IFERROR(B20,0)+IFERROR(G20,0))/(IFERROR('Getting Started'!C15,0)+IFERROR('Getting Started'!C23,0))),1)+1),"")</f>
        <v/>
      </c>
      <c r="I24" s="17">
        <f>IFERROR(IF(F24="","",CEILING(G24/((IFERROR(B20,0)+IFERROR(G20,0))/(IFERROR('Getting Started'!C15,0)+IFERROR('Getting Started'!C23,0))),1)),"")</f>
        <v/>
      </c>
      <c r="J24" s="54">
        <f>IFERROR(IF(F24="","",TEXT('Getting Started'!C10+(H24-1)*7,"MMM D")&amp;" – "&amp;TEXT('Getting Started'!C10+I24*7,"MMM D")),"")</f>
        <v/>
      </c>
    </row>
    <row r="25" ht="18" customHeight="1">
      <c r="A25" s="53" t="n">
        <v>3</v>
      </c>
      <c r="B25" s="5" t="n"/>
      <c r="F25" s="32" t="n"/>
      <c r="G25" s="17">
        <f>IFERROR(SUM(F23:F25),"")</f>
        <v/>
      </c>
      <c r="H25" s="17">
        <f>IFERROR(IF(F25="","",FLOOR(G24/((IFERROR(B20,0)+IFERROR(G20,0))/(IFERROR('Getting Started'!C15,0)+IFERROR('Getting Started'!C23,0))),1)+1),"")</f>
        <v/>
      </c>
      <c r="I25" s="17">
        <f>IFERROR(IF(F25="","",CEILING(G25/((IFERROR(B20,0)+IFERROR(G20,0))/(IFERROR('Getting Started'!C15,0)+IFERROR('Getting Started'!C23,0))),1)),"")</f>
        <v/>
      </c>
      <c r="J25" s="54">
        <f>IFERROR(IF(F25="","",TEXT('Getting Started'!C10+(H25-1)*7,"MMM D")&amp;" – "&amp;TEXT('Getting Started'!C10+I25*7,"MMM D")),"")</f>
        <v/>
      </c>
    </row>
    <row r="26" ht="18" customHeight="1">
      <c r="A26" s="53" t="n">
        <v>4</v>
      </c>
      <c r="B26" s="18" t="n"/>
      <c r="F26" s="55" t="n"/>
      <c r="G26" s="17">
        <f>IFERROR(SUM(F23:F26),"")</f>
        <v/>
      </c>
      <c r="H26" s="17">
        <f>IFERROR(IF(F26="","",FLOOR(G25/((IFERROR(B20,0)+IFERROR(G20,0))/(IFERROR('Getting Started'!C15,0)+IFERROR('Getting Started'!C23,0))),1)+1),"")</f>
        <v/>
      </c>
      <c r="I26" s="17">
        <f>IFERROR(IF(F26="","",CEILING(G26/((IFERROR(B20,0)+IFERROR(G20,0))/(IFERROR('Getting Started'!C15,0)+IFERROR('Getting Started'!C23,0))),1)),"")</f>
        <v/>
      </c>
      <c r="J26" s="54">
        <f>IFERROR(IF(F26="","",TEXT('Getting Started'!C10+(H26-1)*7,"MMM D")&amp;" – "&amp;TEXT('Getting Started'!C10+I26*7,"MMM D")),"")</f>
        <v/>
      </c>
    </row>
    <row r="27" ht="18" customHeight="1">
      <c r="A27" s="53" t="n">
        <v>5</v>
      </c>
      <c r="B27" s="5" t="n"/>
      <c r="F27" s="32" t="n"/>
      <c r="G27" s="17">
        <f>IFERROR(SUM(F23:F27),"")</f>
        <v/>
      </c>
      <c r="H27" s="17">
        <f>IFERROR(IF(F27="","",FLOOR(G26/((IFERROR(B20,0)+IFERROR(G20,0))/(IFERROR('Getting Started'!C15,0)+IFERROR('Getting Started'!C23,0))),1)+1),"")</f>
        <v/>
      </c>
      <c r="I27" s="17">
        <f>IFERROR(IF(F27="","",CEILING(G27/((IFERROR(B20,0)+IFERROR(G20,0))/(IFERROR('Getting Started'!C15,0)+IFERROR('Getting Started'!C23,0))),1)),"")</f>
        <v/>
      </c>
      <c r="J27" s="54">
        <f>IFERROR(IF(F27="","",TEXT('Getting Started'!C10+(H27-1)*7,"MMM D")&amp;" – "&amp;TEXT('Getting Started'!C10+I27*7,"MMM D")),"")</f>
        <v/>
      </c>
    </row>
    <row r="28" ht="18" customHeight="1">
      <c r="A28" s="53" t="n">
        <v>6</v>
      </c>
      <c r="B28" s="18" t="n"/>
      <c r="F28" s="55" t="n"/>
      <c r="G28" s="17">
        <f>IFERROR(SUM(F23:F28),"")</f>
        <v/>
      </c>
      <c r="H28" s="17">
        <f>IFERROR(IF(F28="","",FLOOR(G27/((IFERROR(B20,0)+IFERROR(G20,0))/(IFERROR('Getting Started'!C15,0)+IFERROR('Getting Started'!C23,0))),1)+1),"")</f>
        <v/>
      </c>
      <c r="I28" s="17">
        <f>IFERROR(IF(F28="","",CEILING(G28/((IFERROR(B20,0)+IFERROR(G20,0))/(IFERROR('Getting Started'!C15,0)+IFERROR('Getting Started'!C23,0))),1)),"")</f>
        <v/>
      </c>
      <c r="J28" s="54">
        <f>IFERROR(IF(F28="","",TEXT('Getting Started'!C10+(H28-1)*7,"MMM D")&amp;" – "&amp;TEXT('Getting Started'!C10+I28*7,"MMM D")),"")</f>
        <v/>
      </c>
    </row>
    <row r="29" ht="20" customHeight="1">
      <c r="A29" s="56">
        <f>IFERROR(IF('Course Content'!I51="","",'Course Content'!I51),"")</f>
        <v/>
      </c>
    </row>
    <row r="30" ht="8" customHeight="1"/>
    <row r="31" ht="24" customHeight="1">
      <c r="A31" s="44" t="inlineStr">
        <is>
          <t xml:space="preserve">  ENGLISH / LANGUAGE ARTS</t>
        </is>
      </c>
      <c r="E31" s="45">
        <f>IFERROR(IF('Course Content'!E52="","← enter on Course Content tab",'Course Content'!E52),"")</f>
        <v/>
      </c>
    </row>
    <row r="32" ht="22" customHeight="1">
      <c r="B32" s="46">
        <f>'Course Content'!G52</f>
        <v/>
      </c>
      <c r="C32" s="47">
        <f>IFERROR(IF(B32="","",ROUND(B32/'Getting Started'!C15,1)),"")</f>
        <v/>
      </c>
      <c r="D32" s="47">
        <f>IFERROR(IF(C32="","",ROUND(C32/'Getting Started'!C7,1)),"")</f>
        <v/>
      </c>
      <c r="E32" s="48">
        <f>IFERROR(IF(B32="","",TEXT('Getting Started'!C10+(B32/D32),"MMM D, YYYY")),"")</f>
        <v/>
      </c>
      <c r="F32" s="39" t="n"/>
      <c r="G32" s="49">
        <f>'Course Content'!H52</f>
        <v/>
      </c>
      <c r="H32" s="50">
        <f>IFERROR(IF(G32="","",ROUND(G32/'Getting Started'!C23,1)),"")</f>
        <v/>
      </c>
      <c r="I32" s="50">
        <f>IFERROR(IF(H32="","",ROUND(H32/'Getting Started'!C7,1)),"")</f>
        <v/>
      </c>
      <c r="J32" s="51">
        <f>IFERROR(IF(G32="","",TEXT('Getting Started'!C18+(G32/I32),"MMM D, YYYY")),"")</f>
        <v/>
      </c>
    </row>
    <row r="33" ht="16" customHeight="1">
      <c r="A33" s="52" t="inlineStr">
        <is>
          <t xml:space="preserve">  Component Breakdown  (optional — use for multi-volume curricula)</t>
        </is>
      </c>
    </row>
    <row r="34" ht="22" customHeight="1">
      <c r="A34" s="28" t="inlineStr">
        <is>
          <t>#</t>
        </is>
      </c>
      <c r="B34" s="28" t="inlineStr">
        <is>
          <t>Book / Component Title</t>
        </is>
      </c>
      <c r="F34" s="28" t="inlineStr">
        <is>
          <t>Units</t>
        </is>
      </c>
      <c r="G34" s="28" t="inlineStr">
        <is>
          <t>Cumul.</t>
        </is>
      </c>
      <c r="H34" s="28" t="inlineStr">
        <is>
          <t>Start
Week</t>
        </is>
      </c>
      <c r="I34" s="28" t="inlineStr">
        <is>
          <t>End
Week</t>
        </is>
      </c>
      <c r="J34" s="28" t="inlineStr">
        <is>
          <t>Est. Dates</t>
        </is>
      </c>
    </row>
    <row r="35" ht="18" customHeight="1">
      <c r="A35" s="53" t="n">
        <v>1</v>
      </c>
      <c r="B35" s="5" t="n"/>
      <c r="F35" s="32" t="n"/>
      <c r="G35" s="17">
        <f>IFERROR(SUM(F35:F35),"")</f>
        <v/>
      </c>
      <c r="H35" s="17">
        <f>IF(F35="","",1)</f>
        <v/>
      </c>
      <c r="I35" s="17">
        <f>IFERROR(IF(F35="","",CEILING(G35/((IFERROR(B32,0)+IFERROR(G32,0))/(IFERROR('Getting Started'!C15,0)+IFERROR('Getting Started'!C23,0))),1)),"")</f>
        <v/>
      </c>
      <c r="J35" s="54">
        <f>IFERROR(IF(F35="","",TEXT('Getting Started'!C10+(H35-1)*7,"MMM D")&amp;" – "&amp;TEXT('Getting Started'!C10+I35*7,"MMM D")),"")</f>
        <v/>
      </c>
    </row>
    <row r="36" ht="18" customHeight="1">
      <c r="A36" s="53" t="n">
        <v>2</v>
      </c>
      <c r="B36" s="18" t="n"/>
      <c r="F36" s="55" t="n"/>
      <c r="G36" s="17">
        <f>IFERROR(SUM(F35:F36),"")</f>
        <v/>
      </c>
      <c r="H36" s="17">
        <f>IFERROR(IF(F36="","",FLOOR(G35/((IFERROR(B32,0)+IFERROR(G32,0))/(IFERROR('Getting Started'!C15,0)+IFERROR('Getting Started'!C23,0))),1)+1),"")</f>
        <v/>
      </c>
      <c r="I36" s="17">
        <f>IFERROR(IF(F36="","",CEILING(G36/((IFERROR(B32,0)+IFERROR(G32,0))/(IFERROR('Getting Started'!C15,0)+IFERROR('Getting Started'!C23,0))),1)),"")</f>
        <v/>
      </c>
      <c r="J36" s="54">
        <f>IFERROR(IF(F36="","",TEXT('Getting Started'!C10+(H36-1)*7,"MMM D")&amp;" – "&amp;TEXT('Getting Started'!C10+I36*7,"MMM D")),"")</f>
        <v/>
      </c>
    </row>
    <row r="37" ht="18" customHeight="1">
      <c r="A37" s="53" t="n">
        <v>3</v>
      </c>
      <c r="B37" s="5" t="n"/>
      <c r="F37" s="32" t="n"/>
      <c r="G37" s="17">
        <f>IFERROR(SUM(F35:F37),"")</f>
        <v/>
      </c>
      <c r="H37" s="17">
        <f>IFERROR(IF(F37="","",FLOOR(G36/((IFERROR(B32,0)+IFERROR(G32,0))/(IFERROR('Getting Started'!C15,0)+IFERROR('Getting Started'!C23,0))),1)+1),"")</f>
        <v/>
      </c>
      <c r="I37" s="17">
        <f>IFERROR(IF(F37="","",CEILING(G37/((IFERROR(B32,0)+IFERROR(G32,0))/(IFERROR('Getting Started'!C15,0)+IFERROR('Getting Started'!C23,0))),1)),"")</f>
        <v/>
      </c>
      <c r="J37" s="54">
        <f>IFERROR(IF(F37="","",TEXT('Getting Started'!C10+(H37-1)*7,"MMM D")&amp;" – "&amp;TEXT('Getting Started'!C10+I37*7,"MMM D")),"")</f>
        <v/>
      </c>
    </row>
    <row r="38" ht="18" customHeight="1">
      <c r="A38" s="53" t="n">
        <v>4</v>
      </c>
      <c r="B38" s="18" t="n"/>
      <c r="F38" s="55" t="n"/>
      <c r="G38" s="17">
        <f>IFERROR(SUM(F35:F38),"")</f>
        <v/>
      </c>
      <c r="H38" s="17">
        <f>IFERROR(IF(F38="","",FLOOR(G37/((IFERROR(B32,0)+IFERROR(G32,0))/(IFERROR('Getting Started'!C15,0)+IFERROR('Getting Started'!C23,0))),1)+1),"")</f>
        <v/>
      </c>
      <c r="I38" s="17">
        <f>IFERROR(IF(F38="","",CEILING(G38/((IFERROR(B32,0)+IFERROR(G32,0))/(IFERROR('Getting Started'!C15,0)+IFERROR('Getting Started'!C23,0))),1)),"")</f>
        <v/>
      </c>
      <c r="J38" s="54">
        <f>IFERROR(IF(F38="","",TEXT('Getting Started'!C10+(H38-1)*7,"MMM D")&amp;" – "&amp;TEXT('Getting Started'!C10+I38*7,"MMM D")),"")</f>
        <v/>
      </c>
    </row>
    <row r="39" ht="18" customHeight="1">
      <c r="A39" s="53" t="n">
        <v>5</v>
      </c>
      <c r="B39" s="5" t="n"/>
      <c r="F39" s="32" t="n"/>
      <c r="G39" s="17">
        <f>IFERROR(SUM(F35:F39),"")</f>
        <v/>
      </c>
      <c r="H39" s="17">
        <f>IFERROR(IF(F39="","",FLOOR(G38/((IFERROR(B32,0)+IFERROR(G32,0))/(IFERROR('Getting Started'!C15,0)+IFERROR('Getting Started'!C23,0))),1)+1),"")</f>
        <v/>
      </c>
      <c r="I39" s="17">
        <f>IFERROR(IF(F39="","",CEILING(G39/((IFERROR(B32,0)+IFERROR(G32,0))/(IFERROR('Getting Started'!C15,0)+IFERROR('Getting Started'!C23,0))),1)),"")</f>
        <v/>
      </c>
      <c r="J39" s="54">
        <f>IFERROR(IF(F39="","",TEXT('Getting Started'!C10+(H39-1)*7,"MMM D")&amp;" – "&amp;TEXT('Getting Started'!C10+I39*7,"MMM D")),"")</f>
        <v/>
      </c>
    </row>
    <row r="40" ht="18" customHeight="1">
      <c r="A40" s="53" t="n">
        <v>6</v>
      </c>
      <c r="B40" s="18" t="n"/>
      <c r="F40" s="55" t="n"/>
      <c r="G40" s="17">
        <f>IFERROR(SUM(F35:F40),"")</f>
        <v/>
      </c>
      <c r="H40" s="17">
        <f>IFERROR(IF(F40="","",FLOOR(G39/((IFERROR(B32,0)+IFERROR(G32,0))/(IFERROR('Getting Started'!C15,0)+IFERROR('Getting Started'!C23,0))),1)+1),"")</f>
        <v/>
      </c>
      <c r="I40" s="17">
        <f>IFERROR(IF(F40="","",CEILING(G40/((IFERROR(B32,0)+IFERROR(G32,0))/(IFERROR('Getting Started'!C15,0)+IFERROR('Getting Started'!C23,0))),1)),"")</f>
        <v/>
      </c>
      <c r="J40" s="54">
        <f>IFERROR(IF(F40="","",TEXT('Getting Started'!C10+(H40-1)*7,"MMM D")&amp;" – "&amp;TEXT('Getting Started'!C10+I40*7,"MMM D")),"")</f>
        <v/>
      </c>
    </row>
    <row r="41" ht="20" customHeight="1">
      <c r="A41" s="56">
        <f>IFERROR(IF('Course Content'!I52="","",'Course Content'!I52),"")</f>
        <v/>
      </c>
    </row>
    <row r="42" ht="8" customHeight="1"/>
    <row r="43" ht="24" customHeight="1">
      <c r="A43" s="44" t="inlineStr">
        <is>
          <t xml:space="preserve">  READING</t>
        </is>
      </c>
      <c r="E43" s="45">
        <f>IFERROR(IF('Course Content'!E53="","← enter on Course Content tab",'Course Content'!E53),"")</f>
        <v/>
      </c>
    </row>
    <row r="44" ht="22" customHeight="1">
      <c r="B44" s="46">
        <f>'Course Content'!G53</f>
        <v/>
      </c>
      <c r="C44" s="47">
        <f>IFERROR(IF(B44="","",ROUND(B44/'Getting Started'!C15,1)),"")</f>
        <v/>
      </c>
      <c r="D44" s="47">
        <f>IFERROR(IF(C44="","",ROUND(C44/'Getting Started'!C7,1)),"")</f>
        <v/>
      </c>
      <c r="E44" s="48">
        <f>IFERROR(IF(B44="","",TEXT('Getting Started'!C10+(B44/D44),"MMM D, YYYY")),"")</f>
        <v/>
      </c>
      <c r="F44" s="39" t="n"/>
      <c r="G44" s="49">
        <f>'Course Content'!H53</f>
        <v/>
      </c>
      <c r="H44" s="50">
        <f>IFERROR(IF(G44="","",ROUND(G44/'Getting Started'!C23,1)),"")</f>
        <v/>
      </c>
      <c r="I44" s="50">
        <f>IFERROR(IF(H44="","",ROUND(H44/'Getting Started'!C7,1)),"")</f>
        <v/>
      </c>
      <c r="J44" s="51">
        <f>IFERROR(IF(G44="","",TEXT('Getting Started'!C18+(G44/I44),"MMM D, YYYY")),"")</f>
        <v/>
      </c>
    </row>
    <row r="45" ht="16" customHeight="1">
      <c r="A45" s="52" t="inlineStr">
        <is>
          <t xml:space="preserve">  Component Breakdown  (optional — use for multi-volume curricula)</t>
        </is>
      </c>
    </row>
    <row r="46" ht="22" customHeight="1">
      <c r="A46" s="28" t="inlineStr">
        <is>
          <t>#</t>
        </is>
      </c>
      <c r="B46" s="28" t="inlineStr">
        <is>
          <t>Book / Component Title</t>
        </is>
      </c>
      <c r="F46" s="28" t="inlineStr">
        <is>
          <t>Units</t>
        </is>
      </c>
      <c r="G46" s="28" t="inlineStr">
        <is>
          <t>Cumul.</t>
        </is>
      </c>
      <c r="H46" s="28" t="inlineStr">
        <is>
          <t>Start
Week</t>
        </is>
      </c>
      <c r="I46" s="28" t="inlineStr">
        <is>
          <t>End
Week</t>
        </is>
      </c>
      <c r="J46" s="28" t="inlineStr">
        <is>
          <t>Est. Dates</t>
        </is>
      </c>
    </row>
    <row r="47" ht="18" customHeight="1">
      <c r="A47" s="53" t="n">
        <v>1</v>
      </c>
      <c r="B47" s="5" t="n"/>
      <c r="F47" s="32" t="n"/>
      <c r="G47" s="17">
        <f>IFERROR(SUM(F47:F47),"")</f>
        <v/>
      </c>
      <c r="H47" s="17">
        <f>IF(F47="","",1)</f>
        <v/>
      </c>
      <c r="I47" s="17">
        <f>IFERROR(IF(F47="","",CEILING(G47/((IFERROR(B44,0)+IFERROR(G44,0))/(IFERROR('Getting Started'!C15,0)+IFERROR('Getting Started'!C23,0))),1)),"")</f>
        <v/>
      </c>
      <c r="J47" s="54">
        <f>IFERROR(IF(F47="","",TEXT('Getting Started'!C10+(H47-1)*7,"MMM D")&amp;" – "&amp;TEXT('Getting Started'!C10+I47*7,"MMM D")),"")</f>
        <v/>
      </c>
    </row>
    <row r="48" ht="18" customHeight="1">
      <c r="A48" s="53" t="n">
        <v>2</v>
      </c>
      <c r="B48" s="18" t="n"/>
      <c r="F48" s="55" t="n"/>
      <c r="G48" s="17">
        <f>IFERROR(SUM(F47:F48),"")</f>
        <v/>
      </c>
      <c r="H48" s="17">
        <f>IFERROR(IF(F48="","",FLOOR(G47/((IFERROR(B44,0)+IFERROR(G44,0))/(IFERROR('Getting Started'!C15,0)+IFERROR('Getting Started'!C23,0))),1)+1),"")</f>
        <v/>
      </c>
      <c r="I48" s="17">
        <f>IFERROR(IF(F48="","",CEILING(G48/((IFERROR(B44,0)+IFERROR(G44,0))/(IFERROR('Getting Started'!C15,0)+IFERROR('Getting Started'!C23,0))),1)),"")</f>
        <v/>
      </c>
      <c r="J48" s="54">
        <f>IFERROR(IF(F48="","",TEXT('Getting Started'!C10+(H48-1)*7,"MMM D")&amp;" – "&amp;TEXT('Getting Started'!C10+I48*7,"MMM D")),"")</f>
        <v/>
      </c>
    </row>
    <row r="49" ht="18" customHeight="1">
      <c r="A49" s="53" t="n">
        <v>3</v>
      </c>
      <c r="B49" s="5" t="n"/>
      <c r="F49" s="32" t="n"/>
      <c r="G49" s="17">
        <f>IFERROR(SUM(F47:F49),"")</f>
        <v/>
      </c>
      <c r="H49" s="17">
        <f>IFERROR(IF(F49="","",FLOOR(G48/((IFERROR(B44,0)+IFERROR(G44,0))/(IFERROR('Getting Started'!C15,0)+IFERROR('Getting Started'!C23,0))),1)+1),"")</f>
        <v/>
      </c>
      <c r="I49" s="17">
        <f>IFERROR(IF(F49="","",CEILING(G49/((IFERROR(B44,0)+IFERROR(G44,0))/(IFERROR('Getting Started'!C15,0)+IFERROR('Getting Started'!C23,0))),1)),"")</f>
        <v/>
      </c>
      <c r="J49" s="54">
        <f>IFERROR(IF(F49="","",TEXT('Getting Started'!C10+(H49-1)*7,"MMM D")&amp;" – "&amp;TEXT('Getting Started'!C10+I49*7,"MMM D")),"")</f>
        <v/>
      </c>
    </row>
    <row r="50" ht="18" customHeight="1">
      <c r="A50" s="53" t="n">
        <v>4</v>
      </c>
      <c r="B50" s="18" t="n"/>
      <c r="F50" s="55" t="n"/>
      <c r="G50" s="17">
        <f>IFERROR(SUM(F47:F50),"")</f>
        <v/>
      </c>
      <c r="H50" s="17">
        <f>IFERROR(IF(F50="","",FLOOR(G49/((IFERROR(B44,0)+IFERROR(G44,0))/(IFERROR('Getting Started'!C15,0)+IFERROR('Getting Started'!C23,0))),1)+1),"")</f>
        <v/>
      </c>
      <c r="I50" s="17">
        <f>IFERROR(IF(F50="","",CEILING(G50/((IFERROR(B44,0)+IFERROR(G44,0))/(IFERROR('Getting Started'!C15,0)+IFERROR('Getting Started'!C23,0))),1)),"")</f>
        <v/>
      </c>
      <c r="J50" s="54">
        <f>IFERROR(IF(F50="","",TEXT('Getting Started'!C10+(H50-1)*7,"MMM D")&amp;" – "&amp;TEXT('Getting Started'!C10+I50*7,"MMM D")),"")</f>
        <v/>
      </c>
    </row>
    <row r="51" ht="18" customHeight="1">
      <c r="A51" s="53" t="n">
        <v>5</v>
      </c>
      <c r="B51" s="5" t="n"/>
      <c r="F51" s="32" t="n"/>
      <c r="G51" s="17">
        <f>IFERROR(SUM(F47:F51),"")</f>
        <v/>
      </c>
      <c r="H51" s="17">
        <f>IFERROR(IF(F51="","",FLOOR(G50/((IFERROR(B44,0)+IFERROR(G44,0))/(IFERROR('Getting Started'!C15,0)+IFERROR('Getting Started'!C23,0))),1)+1),"")</f>
        <v/>
      </c>
      <c r="I51" s="17">
        <f>IFERROR(IF(F51="","",CEILING(G51/((IFERROR(B44,0)+IFERROR(G44,0))/(IFERROR('Getting Started'!C15,0)+IFERROR('Getting Started'!C23,0))),1)),"")</f>
        <v/>
      </c>
      <c r="J51" s="54">
        <f>IFERROR(IF(F51="","",TEXT('Getting Started'!C10+(H51-1)*7,"MMM D")&amp;" – "&amp;TEXT('Getting Started'!C10+I51*7,"MMM D")),"")</f>
        <v/>
      </c>
    </row>
    <row r="52" ht="18" customHeight="1">
      <c r="A52" s="53" t="n">
        <v>6</v>
      </c>
      <c r="B52" s="18" t="n"/>
      <c r="F52" s="55" t="n"/>
      <c r="G52" s="17">
        <f>IFERROR(SUM(F47:F52),"")</f>
        <v/>
      </c>
      <c r="H52" s="17">
        <f>IFERROR(IF(F52="","",FLOOR(G51/((IFERROR(B44,0)+IFERROR(G44,0))/(IFERROR('Getting Started'!C15,0)+IFERROR('Getting Started'!C23,0))),1)+1),"")</f>
        <v/>
      </c>
      <c r="I52" s="17">
        <f>IFERROR(IF(F52="","",CEILING(G52/((IFERROR(B44,0)+IFERROR(G44,0))/(IFERROR('Getting Started'!C15,0)+IFERROR('Getting Started'!C23,0))),1)),"")</f>
        <v/>
      </c>
      <c r="J52" s="54">
        <f>IFERROR(IF(F52="","",TEXT('Getting Started'!C10+(H52-1)*7,"MMM D")&amp;" – "&amp;TEXT('Getting Started'!C10+I52*7,"MMM D")),"")</f>
        <v/>
      </c>
    </row>
    <row r="53" ht="20" customHeight="1">
      <c r="A53" s="56">
        <f>IFERROR(IF('Course Content'!I53="","",'Course Content'!I53),"")</f>
        <v/>
      </c>
    </row>
    <row r="54" ht="8" customHeight="1"/>
    <row r="55" ht="24" customHeight="1">
      <c r="A55" s="44" t="inlineStr">
        <is>
          <t xml:space="preserve">  WRITING / COMPOSITION</t>
        </is>
      </c>
      <c r="E55" s="45">
        <f>IFERROR(IF('Course Content'!E54="","← enter on Course Content tab",'Course Content'!E54),"")</f>
        <v/>
      </c>
    </row>
    <row r="56" ht="22" customHeight="1">
      <c r="B56" s="46">
        <f>'Course Content'!G54</f>
        <v/>
      </c>
      <c r="C56" s="47">
        <f>IFERROR(IF(B56="","",ROUND(B56/'Getting Started'!C15,1)),"")</f>
        <v/>
      </c>
      <c r="D56" s="47">
        <f>IFERROR(IF(C56="","",ROUND(C56/'Getting Started'!C7,1)),"")</f>
        <v/>
      </c>
      <c r="E56" s="48">
        <f>IFERROR(IF(B56="","",TEXT('Getting Started'!C10+(B56/D56),"MMM D, YYYY")),"")</f>
        <v/>
      </c>
      <c r="F56" s="39" t="n"/>
      <c r="G56" s="49">
        <f>'Course Content'!H54</f>
        <v/>
      </c>
      <c r="H56" s="50">
        <f>IFERROR(IF(G56="","",ROUND(G56/'Getting Started'!C23,1)),"")</f>
        <v/>
      </c>
      <c r="I56" s="50">
        <f>IFERROR(IF(H56="","",ROUND(H56/'Getting Started'!C7,1)),"")</f>
        <v/>
      </c>
      <c r="J56" s="51">
        <f>IFERROR(IF(G56="","",TEXT('Getting Started'!C18+(G56/I56),"MMM D, YYYY")),"")</f>
        <v/>
      </c>
    </row>
    <row r="57" ht="16" customHeight="1">
      <c r="A57" s="52" t="inlineStr">
        <is>
          <t xml:space="preserve">  Component Breakdown  (optional — use for multi-volume curricula)</t>
        </is>
      </c>
    </row>
    <row r="58" ht="22" customHeight="1">
      <c r="A58" s="28" t="inlineStr">
        <is>
          <t>#</t>
        </is>
      </c>
      <c r="B58" s="28" t="inlineStr">
        <is>
          <t>Book / Component Title</t>
        </is>
      </c>
      <c r="F58" s="28" t="inlineStr">
        <is>
          <t>Units</t>
        </is>
      </c>
      <c r="G58" s="28" t="inlineStr">
        <is>
          <t>Cumul.</t>
        </is>
      </c>
      <c r="H58" s="28" t="inlineStr">
        <is>
          <t>Start
Week</t>
        </is>
      </c>
      <c r="I58" s="28" t="inlineStr">
        <is>
          <t>End
Week</t>
        </is>
      </c>
      <c r="J58" s="28" t="inlineStr">
        <is>
          <t>Est. Dates</t>
        </is>
      </c>
    </row>
    <row r="59" ht="18" customHeight="1">
      <c r="A59" s="53" t="n">
        <v>1</v>
      </c>
      <c r="B59" s="5" t="n"/>
      <c r="F59" s="32" t="n"/>
      <c r="G59" s="17">
        <f>IFERROR(SUM(F59:F59),"")</f>
        <v/>
      </c>
      <c r="H59" s="17">
        <f>IF(F59="","",1)</f>
        <v/>
      </c>
      <c r="I59" s="17">
        <f>IFERROR(IF(F59="","",CEILING(G59/((IFERROR(B56,0)+IFERROR(G56,0))/(IFERROR('Getting Started'!C15,0)+IFERROR('Getting Started'!C23,0))),1)),"")</f>
        <v/>
      </c>
      <c r="J59" s="54">
        <f>IFERROR(IF(F59="","",TEXT('Getting Started'!C10+(H59-1)*7,"MMM D")&amp;" – "&amp;TEXT('Getting Started'!C10+I59*7,"MMM D")),"")</f>
        <v/>
      </c>
    </row>
    <row r="60" ht="18" customHeight="1">
      <c r="A60" s="53" t="n">
        <v>2</v>
      </c>
      <c r="B60" s="18" t="n"/>
      <c r="F60" s="55" t="n"/>
      <c r="G60" s="17">
        <f>IFERROR(SUM(F59:F60),"")</f>
        <v/>
      </c>
      <c r="H60" s="17">
        <f>IFERROR(IF(F60="","",FLOOR(G59/((IFERROR(B56,0)+IFERROR(G56,0))/(IFERROR('Getting Started'!C15,0)+IFERROR('Getting Started'!C23,0))),1)+1),"")</f>
        <v/>
      </c>
      <c r="I60" s="17">
        <f>IFERROR(IF(F60="","",CEILING(G60/((IFERROR(B56,0)+IFERROR(G56,0))/(IFERROR('Getting Started'!C15,0)+IFERROR('Getting Started'!C23,0))),1)),"")</f>
        <v/>
      </c>
      <c r="J60" s="54">
        <f>IFERROR(IF(F60="","",TEXT('Getting Started'!C10+(H60-1)*7,"MMM D")&amp;" – "&amp;TEXT('Getting Started'!C10+I60*7,"MMM D")),"")</f>
        <v/>
      </c>
    </row>
    <row r="61" ht="18" customHeight="1">
      <c r="A61" s="53" t="n">
        <v>3</v>
      </c>
      <c r="B61" s="5" t="n"/>
      <c r="F61" s="32" t="n"/>
      <c r="G61" s="17">
        <f>IFERROR(SUM(F59:F61),"")</f>
        <v/>
      </c>
      <c r="H61" s="17">
        <f>IFERROR(IF(F61="","",FLOOR(G60/((IFERROR(B56,0)+IFERROR(G56,0))/(IFERROR('Getting Started'!C15,0)+IFERROR('Getting Started'!C23,0))),1)+1),"")</f>
        <v/>
      </c>
      <c r="I61" s="17">
        <f>IFERROR(IF(F61="","",CEILING(G61/((IFERROR(B56,0)+IFERROR(G56,0))/(IFERROR('Getting Started'!C15,0)+IFERROR('Getting Started'!C23,0))),1)),"")</f>
        <v/>
      </c>
      <c r="J61" s="54">
        <f>IFERROR(IF(F61="","",TEXT('Getting Started'!C10+(H61-1)*7,"MMM D")&amp;" – "&amp;TEXT('Getting Started'!C10+I61*7,"MMM D")),"")</f>
        <v/>
      </c>
    </row>
    <row r="62" ht="18" customHeight="1">
      <c r="A62" s="53" t="n">
        <v>4</v>
      </c>
      <c r="B62" s="18" t="n"/>
      <c r="F62" s="55" t="n"/>
      <c r="G62" s="17">
        <f>IFERROR(SUM(F59:F62),"")</f>
        <v/>
      </c>
      <c r="H62" s="17">
        <f>IFERROR(IF(F62="","",FLOOR(G61/((IFERROR(B56,0)+IFERROR(G56,0))/(IFERROR('Getting Started'!C15,0)+IFERROR('Getting Started'!C23,0))),1)+1),"")</f>
        <v/>
      </c>
      <c r="I62" s="17">
        <f>IFERROR(IF(F62="","",CEILING(G62/((IFERROR(B56,0)+IFERROR(G56,0))/(IFERROR('Getting Started'!C15,0)+IFERROR('Getting Started'!C23,0))),1)),"")</f>
        <v/>
      </c>
      <c r="J62" s="54">
        <f>IFERROR(IF(F62="","",TEXT('Getting Started'!C10+(H62-1)*7,"MMM D")&amp;" – "&amp;TEXT('Getting Started'!C10+I62*7,"MMM D")),"")</f>
        <v/>
      </c>
    </row>
    <row r="63" ht="18" customHeight="1">
      <c r="A63" s="53" t="n">
        <v>5</v>
      </c>
      <c r="B63" s="5" t="n"/>
      <c r="F63" s="32" t="n"/>
      <c r="G63" s="17">
        <f>IFERROR(SUM(F59:F63),"")</f>
        <v/>
      </c>
      <c r="H63" s="17">
        <f>IFERROR(IF(F63="","",FLOOR(G62/((IFERROR(B56,0)+IFERROR(G56,0))/(IFERROR('Getting Started'!C15,0)+IFERROR('Getting Started'!C23,0))),1)+1),"")</f>
        <v/>
      </c>
      <c r="I63" s="17">
        <f>IFERROR(IF(F63="","",CEILING(G63/((IFERROR(B56,0)+IFERROR(G56,0))/(IFERROR('Getting Started'!C15,0)+IFERROR('Getting Started'!C23,0))),1)),"")</f>
        <v/>
      </c>
      <c r="J63" s="54">
        <f>IFERROR(IF(F63="","",TEXT('Getting Started'!C10+(H63-1)*7,"MMM D")&amp;" – "&amp;TEXT('Getting Started'!C10+I63*7,"MMM D")),"")</f>
        <v/>
      </c>
    </row>
    <row r="64" ht="18" customHeight="1">
      <c r="A64" s="53" t="n">
        <v>6</v>
      </c>
      <c r="B64" s="18" t="n"/>
      <c r="F64" s="55" t="n"/>
      <c r="G64" s="17">
        <f>IFERROR(SUM(F59:F64),"")</f>
        <v/>
      </c>
      <c r="H64" s="17">
        <f>IFERROR(IF(F64="","",FLOOR(G63/((IFERROR(B56,0)+IFERROR(G56,0))/(IFERROR('Getting Started'!C15,0)+IFERROR('Getting Started'!C23,0))),1)+1),"")</f>
        <v/>
      </c>
      <c r="I64" s="17">
        <f>IFERROR(IF(F64="","",CEILING(G64/((IFERROR(B56,0)+IFERROR(G56,0))/(IFERROR('Getting Started'!C15,0)+IFERROR('Getting Started'!C23,0))),1)),"")</f>
        <v/>
      </c>
      <c r="J64" s="54">
        <f>IFERROR(IF(F64="","",TEXT('Getting Started'!C10+(H64-1)*7,"MMM D")&amp;" – "&amp;TEXT('Getting Started'!C10+I64*7,"MMM D")),"")</f>
        <v/>
      </c>
    </row>
    <row r="65" ht="20" customHeight="1">
      <c r="A65" s="56">
        <f>IFERROR(IF('Course Content'!I54="","",'Course Content'!I54),"")</f>
        <v/>
      </c>
    </row>
    <row r="66" ht="8" customHeight="1"/>
    <row r="67" ht="24" customHeight="1">
      <c r="A67" s="44" t="inlineStr">
        <is>
          <t xml:space="preserve">  SCIENCE</t>
        </is>
      </c>
      <c r="E67" s="45">
        <f>IFERROR(IF('Course Content'!E55="","← enter on Course Content tab",'Course Content'!E55),"")</f>
        <v/>
      </c>
    </row>
    <row r="68" ht="22" customHeight="1">
      <c r="B68" s="46">
        <f>'Course Content'!G55</f>
        <v/>
      </c>
      <c r="C68" s="47">
        <f>IFERROR(IF(B68="","",ROUND(B68/'Getting Started'!C15,1)),"")</f>
        <v/>
      </c>
      <c r="D68" s="47">
        <f>IFERROR(IF(C68="","",ROUND(C68/'Getting Started'!C7,1)),"")</f>
        <v/>
      </c>
      <c r="E68" s="48">
        <f>IFERROR(IF(B68="","",TEXT('Getting Started'!C10+(B68/D68),"MMM D, YYYY")),"")</f>
        <v/>
      </c>
      <c r="F68" s="39" t="n"/>
      <c r="G68" s="49">
        <f>'Course Content'!H55</f>
        <v/>
      </c>
      <c r="H68" s="50">
        <f>IFERROR(IF(G68="","",ROUND(G68/'Getting Started'!C23,1)),"")</f>
        <v/>
      </c>
      <c r="I68" s="50">
        <f>IFERROR(IF(H68="","",ROUND(H68/'Getting Started'!C7,1)),"")</f>
        <v/>
      </c>
      <c r="J68" s="51">
        <f>IFERROR(IF(G68="","",TEXT('Getting Started'!C18+(G68/I68),"MMM D, YYYY")),"")</f>
        <v/>
      </c>
    </row>
    <row r="69" ht="16" customHeight="1">
      <c r="A69" s="52" t="inlineStr">
        <is>
          <t xml:space="preserve">  Component Breakdown  (optional — use for multi-volume curricula)</t>
        </is>
      </c>
    </row>
    <row r="70" ht="22" customHeight="1">
      <c r="A70" s="28" t="inlineStr">
        <is>
          <t>#</t>
        </is>
      </c>
      <c r="B70" s="28" t="inlineStr">
        <is>
          <t>Book / Component Title</t>
        </is>
      </c>
      <c r="F70" s="28" t="inlineStr">
        <is>
          <t>Units</t>
        </is>
      </c>
      <c r="G70" s="28" t="inlineStr">
        <is>
          <t>Cumul.</t>
        </is>
      </c>
      <c r="H70" s="28" t="inlineStr">
        <is>
          <t>Start
Week</t>
        </is>
      </c>
      <c r="I70" s="28" t="inlineStr">
        <is>
          <t>End
Week</t>
        </is>
      </c>
      <c r="J70" s="28" t="inlineStr">
        <is>
          <t>Est. Dates</t>
        </is>
      </c>
    </row>
    <row r="71" ht="18" customHeight="1">
      <c r="A71" s="53" t="n">
        <v>1</v>
      </c>
      <c r="B71" s="5" t="n"/>
      <c r="F71" s="32" t="n"/>
      <c r="G71" s="17">
        <f>IFERROR(SUM(F71:F71),"")</f>
        <v/>
      </c>
      <c r="H71" s="17">
        <f>IF(F71="","",1)</f>
        <v/>
      </c>
      <c r="I71" s="17">
        <f>IFERROR(IF(F71="","",CEILING(G71/((IFERROR(B68,0)+IFERROR(G68,0))/(IFERROR('Getting Started'!C15,0)+IFERROR('Getting Started'!C23,0))),1)),"")</f>
        <v/>
      </c>
      <c r="J71" s="54">
        <f>IFERROR(IF(F71="","",TEXT('Getting Started'!C10+(H71-1)*7,"MMM D")&amp;" – "&amp;TEXT('Getting Started'!C10+I71*7,"MMM D")),"")</f>
        <v/>
      </c>
    </row>
    <row r="72" ht="18" customHeight="1">
      <c r="A72" s="53" t="n">
        <v>2</v>
      </c>
      <c r="B72" s="18" t="n"/>
      <c r="F72" s="55" t="n"/>
      <c r="G72" s="17">
        <f>IFERROR(SUM(F71:F72),"")</f>
        <v/>
      </c>
      <c r="H72" s="17">
        <f>IFERROR(IF(F72="","",FLOOR(G71/((IFERROR(B68,0)+IFERROR(G68,0))/(IFERROR('Getting Started'!C15,0)+IFERROR('Getting Started'!C23,0))),1)+1),"")</f>
        <v/>
      </c>
      <c r="I72" s="17">
        <f>IFERROR(IF(F72="","",CEILING(G72/((IFERROR(B68,0)+IFERROR(G68,0))/(IFERROR('Getting Started'!C15,0)+IFERROR('Getting Started'!C23,0))),1)),"")</f>
        <v/>
      </c>
      <c r="J72" s="54">
        <f>IFERROR(IF(F72="","",TEXT('Getting Started'!C10+(H72-1)*7,"MMM D")&amp;" – "&amp;TEXT('Getting Started'!C10+I72*7,"MMM D")),"")</f>
        <v/>
      </c>
    </row>
    <row r="73" ht="18" customHeight="1">
      <c r="A73" s="53" t="n">
        <v>3</v>
      </c>
      <c r="B73" s="5" t="n"/>
      <c r="F73" s="32" t="n"/>
      <c r="G73" s="17">
        <f>IFERROR(SUM(F71:F73),"")</f>
        <v/>
      </c>
      <c r="H73" s="17">
        <f>IFERROR(IF(F73="","",FLOOR(G72/((IFERROR(B68,0)+IFERROR(G68,0))/(IFERROR('Getting Started'!C15,0)+IFERROR('Getting Started'!C23,0))),1)+1),"")</f>
        <v/>
      </c>
      <c r="I73" s="17">
        <f>IFERROR(IF(F73="","",CEILING(G73/((IFERROR(B68,0)+IFERROR(G68,0))/(IFERROR('Getting Started'!C15,0)+IFERROR('Getting Started'!C23,0))),1)),"")</f>
        <v/>
      </c>
      <c r="J73" s="54">
        <f>IFERROR(IF(F73="","",TEXT('Getting Started'!C10+(H73-1)*7,"MMM D")&amp;" – "&amp;TEXT('Getting Started'!C10+I73*7,"MMM D")),"")</f>
        <v/>
      </c>
    </row>
    <row r="74" ht="18" customHeight="1">
      <c r="A74" s="53" t="n">
        <v>4</v>
      </c>
      <c r="B74" s="18" t="n"/>
      <c r="F74" s="55" t="n"/>
      <c r="G74" s="17">
        <f>IFERROR(SUM(F71:F74),"")</f>
        <v/>
      </c>
      <c r="H74" s="17">
        <f>IFERROR(IF(F74="","",FLOOR(G73/((IFERROR(B68,0)+IFERROR(G68,0))/(IFERROR('Getting Started'!C15,0)+IFERROR('Getting Started'!C23,0))),1)+1),"")</f>
        <v/>
      </c>
      <c r="I74" s="17">
        <f>IFERROR(IF(F74="","",CEILING(G74/((IFERROR(B68,0)+IFERROR(G68,0))/(IFERROR('Getting Started'!C15,0)+IFERROR('Getting Started'!C23,0))),1)),"")</f>
        <v/>
      </c>
      <c r="J74" s="54">
        <f>IFERROR(IF(F74="","",TEXT('Getting Started'!C10+(H74-1)*7,"MMM D")&amp;" – "&amp;TEXT('Getting Started'!C10+I74*7,"MMM D")),"")</f>
        <v/>
      </c>
    </row>
    <row r="75" ht="18" customHeight="1">
      <c r="A75" s="53" t="n">
        <v>5</v>
      </c>
      <c r="B75" s="5" t="n"/>
      <c r="F75" s="32" t="n"/>
      <c r="G75" s="17">
        <f>IFERROR(SUM(F71:F75),"")</f>
        <v/>
      </c>
      <c r="H75" s="17">
        <f>IFERROR(IF(F75="","",FLOOR(G74/((IFERROR(B68,0)+IFERROR(G68,0))/(IFERROR('Getting Started'!C15,0)+IFERROR('Getting Started'!C23,0))),1)+1),"")</f>
        <v/>
      </c>
      <c r="I75" s="17">
        <f>IFERROR(IF(F75="","",CEILING(G75/((IFERROR(B68,0)+IFERROR(G68,0))/(IFERROR('Getting Started'!C15,0)+IFERROR('Getting Started'!C23,0))),1)),"")</f>
        <v/>
      </c>
      <c r="J75" s="54">
        <f>IFERROR(IF(F75="","",TEXT('Getting Started'!C10+(H75-1)*7,"MMM D")&amp;" – "&amp;TEXT('Getting Started'!C10+I75*7,"MMM D")),"")</f>
        <v/>
      </c>
    </row>
    <row r="76" ht="18" customHeight="1">
      <c r="A76" s="53" t="n">
        <v>6</v>
      </c>
      <c r="B76" s="18" t="n"/>
      <c r="F76" s="55" t="n"/>
      <c r="G76" s="17">
        <f>IFERROR(SUM(F71:F76),"")</f>
        <v/>
      </c>
      <c r="H76" s="17">
        <f>IFERROR(IF(F76="","",FLOOR(G75/((IFERROR(B68,0)+IFERROR(G68,0))/(IFERROR('Getting Started'!C15,0)+IFERROR('Getting Started'!C23,0))),1)+1),"")</f>
        <v/>
      </c>
      <c r="I76" s="17">
        <f>IFERROR(IF(F76="","",CEILING(G76/((IFERROR(B68,0)+IFERROR(G68,0))/(IFERROR('Getting Started'!C15,0)+IFERROR('Getting Started'!C23,0))),1)),"")</f>
        <v/>
      </c>
      <c r="J76" s="54">
        <f>IFERROR(IF(F76="","",TEXT('Getting Started'!C10+(H76-1)*7,"MMM D")&amp;" – "&amp;TEXT('Getting Started'!C10+I76*7,"MMM D")),"")</f>
        <v/>
      </c>
    </row>
    <row r="77" ht="20" customHeight="1">
      <c r="A77" s="56">
        <f>IFERROR(IF('Course Content'!I55="","",'Course Content'!I55),"")</f>
        <v/>
      </c>
    </row>
    <row r="78" ht="8" customHeight="1"/>
    <row r="79" ht="24" customHeight="1">
      <c r="A79" s="44" t="inlineStr">
        <is>
          <t xml:space="preserve">  SOCIAL STUDIES / HISTORY</t>
        </is>
      </c>
      <c r="E79" s="45">
        <f>IFERROR(IF('Course Content'!E56="","← enter on Course Content tab",'Course Content'!E56),"")</f>
        <v/>
      </c>
    </row>
    <row r="80" ht="22" customHeight="1">
      <c r="B80" s="46">
        <f>'Course Content'!G56</f>
        <v/>
      </c>
      <c r="C80" s="47">
        <f>IFERROR(IF(B80="","",ROUND(B80/'Getting Started'!C15,1)),"")</f>
        <v/>
      </c>
      <c r="D80" s="47">
        <f>IFERROR(IF(C80="","",ROUND(C80/'Getting Started'!C7,1)),"")</f>
        <v/>
      </c>
      <c r="E80" s="48">
        <f>IFERROR(IF(B80="","",TEXT('Getting Started'!C10+(B80/D80),"MMM D, YYYY")),"")</f>
        <v/>
      </c>
      <c r="F80" s="39" t="n"/>
      <c r="G80" s="49">
        <f>'Course Content'!H56</f>
        <v/>
      </c>
      <c r="H80" s="50">
        <f>IFERROR(IF(G80="","",ROUND(G80/'Getting Started'!C23,1)),"")</f>
        <v/>
      </c>
      <c r="I80" s="50">
        <f>IFERROR(IF(H80="","",ROUND(H80/'Getting Started'!C7,1)),"")</f>
        <v/>
      </c>
      <c r="J80" s="51">
        <f>IFERROR(IF(G80="","",TEXT('Getting Started'!C18+(G80/I80),"MMM D, YYYY")),"")</f>
        <v/>
      </c>
    </row>
    <row r="81" ht="16" customHeight="1">
      <c r="A81" s="52" t="inlineStr">
        <is>
          <t xml:space="preserve">  Component Breakdown  (optional — use for multi-volume curricula)</t>
        </is>
      </c>
    </row>
    <row r="82" ht="22" customHeight="1">
      <c r="A82" s="28" t="inlineStr">
        <is>
          <t>#</t>
        </is>
      </c>
      <c r="B82" s="28" t="inlineStr">
        <is>
          <t>Book / Component Title</t>
        </is>
      </c>
      <c r="F82" s="28" t="inlineStr">
        <is>
          <t>Units</t>
        </is>
      </c>
      <c r="G82" s="28" t="inlineStr">
        <is>
          <t>Cumul.</t>
        </is>
      </c>
      <c r="H82" s="28" t="inlineStr">
        <is>
          <t>Start
Week</t>
        </is>
      </c>
      <c r="I82" s="28" t="inlineStr">
        <is>
          <t>End
Week</t>
        </is>
      </c>
      <c r="J82" s="28" t="inlineStr">
        <is>
          <t>Est. Dates</t>
        </is>
      </c>
    </row>
    <row r="83" ht="18" customHeight="1">
      <c r="A83" s="53" t="n">
        <v>1</v>
      </c>
      <c r="B83" s="5" t="n"/>
      <c r="F83" s="32" t="n"/>
      <c r="G83" s="17">
        <f>IFERROR(SUM(F83:F83),"")</f>
        <v/>
      </c>
      <c r="H83" s="17">
        <f>IF(F83="","",1)</f>
        <v/>
      </c>
      <c r="I83" s="17">
        <f>IFERROR(IF(F83="","",CEILING(G83/((IFERROR(B80,0)+IFERROR(G80,0))/(IFERROR('Getting Started'!C15,0)+IFERROR('Getting Started'!C23,0))),1)),"")</f>
        <v/>
      </c>
      <c r="J83" s="54">
        <f>IFERROR(IF(F83="","",TEXT('Getting Started'!C10+(H83-1)*7,"MMM D")&amp;" – "&amp;TEXT('Getting Started'!C10+I83*7,"MMM D")),"")</f>
        <v/>
      </c>
    </row>
    <row r="84" ht="18" customHeight="1">
      <c r="A84" s="53" t="n">
        <v>2</v>
      </c>
      <c r="B84" s="18" t="n"/>
      <c r="F84" s="55" t="n"/>
      <c r="G84" s="17">
        <f>IFERROR(SUM(F83:F84),"")</f>
        <v/>
      </c>
      <c r="H84" s="17">
        <f>IFERROR(IF(F84="","",FLOOR(G83/((IFERROR(B80,0)+IFERROR(G80,0))/(IFERROR('Getting Started'!C15,0)+IFERROR('Getting Started'!C23,0))),1)+1),"")</f>
        <v/>
      </c>
      <c r="I84" s="17">
        <f>IFERROR(IF(F84="","",CEILING(G84/((IFERROR(B80,0)+IFERROR(G80,0))/(IFERROR('Getting Started'!C15,0)+IFERROR('Getting Started'!C23,0))),1)),"")</f>
        <v/>
      </c>
      <c r="J84" s="54">
        <f>IFERROR(IF(F84="","",TEXT('Getting Started'!C10+(H84-1)*7,"MMM D")&amp;" – "&amp;TEXT('Getting Started'!C10+I84*7,"MMM D")),"")</f>
        <v/>
      </c>
    </row>
    <row r="85" ht="18" customHeight="1">
      <c r="A85" s="53" t="n">
        <v>3</v>
      </c>
      <c r="B85" s="5" t="n"/>
      <c r="F85" s="32" t="n"/>
      <c r="G85" s="17">
        <f>IFERROR(SUM(F83:F85),"")</f>
        <v/>
      </c>
      <c r="H85" s="17">
        <f>IFERROR(IF(F85="","",FLOOR(G84/((IFERROR(B80,0)+IFERROR(G80,0))/(IFERROR('Getting Started'!C15,0)+IFERROR('Getting Started'!C23,0))),1)+1),"")</f>
        <v/>
      </c>
      <c r="I85" s="17">
        <f>IFERROR(IF(F85="","",CEILING(G85/((IFERROR(B80,0)+IFERROR(G80,0))/(IFERROR('Getting Started'!C15,0)+IFERROR('Getting Started'!C23,0))),1)),"")</f>
        <v/>
      </c>
      <c r="J85" s="54">
        <f>IFERROR(IF(F85="","",TEXT('Getting Started'!C10+(H85-1)*7,"MMM D")&amp;" – "&amp;TEXT('Getting Started'!C10+I85*7,"MMM D")),"")</f>
        <v/>
      </c>
    </row>
    <row r="86" ht="18" customHeight="1">
      <c r="A86" s="53" t="n">
        <v>4</v>
      </c>
      <c r="B86" s="18" t="n"/>
      <c r="F86" s="55" t="n"/>
      <c r="G86" s="17">
        <f>IFERROR(SUM(F83:F86),"")</f>
        <v/>
      </c>
      <c r="H86" s="17">
        <f>IFERROR(IF(F86="","",FLOOR(G85/((IFERROR(B80,0)+IFERROR(G80,0))/(IFERROR('Getting Started'!C15,0)+IFERROR('Getting Started'!C23,0))),1)+1),"")</f>
        <v/>
      </c>
      <c r="I86" s="17">
        <f>IFERROR(IF(F86="","",CEILING(G86/((IFERROR(B80,0)+IFERROR(G80,0))/(IFERROR('Getting Started'!C15,0)+IFERROR('Getting Started'!C23,0))),1)),"")</f>
        <v/>
      </c>
      <c r="J86" s="54">
        <f>IFERROR(IF(F86="","",TEXT('Getting Started'!C10+(H86-1)*7,"MMM D")&amp;" – "&amp;TEXT('Getting Started'!C10+I86*7,"MMM D")),"")</f>
        <v/>
      </c>
    </row>
    <row r="87" ht="18" customHeight="1">
      <c r="A87" s="53" t="n">
        <v>5</v>
      </c>
      <c r="B87" s="5" t="n"/>
      <c r="F87" s="32" t="n"/>
      <c r="G87" s="17">
        <f>IFERROR(SUM(F83:F87),"")</f>
        <v/>
      </c>
      <c r="H87" s="17">
        <f>IFERROR(IF(F87="","",FLOOR(G86/((IFERROR(B80,0)+IFERROR(G80,0))/(IFERROR('Getting Started'!C15,0)+IFERROR('Getting Started'!C23,0))),1)+1),"")</f>
        <v/>
      </c>
      <c r="I87" s="17">
        <f>IFERROR(IF(F87="","",CEILING(G87/((IFERROR(B80,0)+IFERROR(G80,0))/(IFERROR('Getting Started'!C15,0)+IFERROR('Getting Started'!C23,0))),1)),"")</f>
        <v/>
      </c>
      <c r="J87" s="54">
        <f>IFERROR(IF(F87="","",TEXT('Getting Started'!C10+(H87-1)*7,"MMM D")&amp;" – "&amp;TEXT('Getting Started'!C10+I87*7,"MMM D")),"")</f>
        <v/>
      </c>
    </row>
    <row r="88" ht="18" customHeight="1">
      <c r="A88" s="53" t="n">
        <v>6</v>
      </c>
      <c r="B88" s="18" t="n"/>
      <c r="F88" s="55" t="n"/>
      <c r="G88" s="17">
        <f>IFERROR(SUM(F83:F88),"")</f>
        <v/>
      </c>
      <c r="H88" s="17">
        <f>IFERROR(IF(F88="","",FLOOR(G87/((IFERROR(B80,0)+IFERROR(G80,0))/(IFERROR('Getting Started'!C15,0)+IFERROR('Getting Started'!C23,0))),1)+1),"")</f>
        <v/>
      </c>
      <c r="I88" s="17">
        <f>IFERROR(IF(F88="","",CEILING(G88/((IFERROR(B80,0)+IFERROR(G80,0))/(IFERROR('Getting Started'!C15,0)+IFERROR('Getting Started'!C23,0))),1)),"")</f>
        <v/>
      </c>
      <c r="J88" s="54">
        <f>IFERROR(IF(F88="","",TEXT('Getting Started'!C10+(H88-1)*7,"MMM D")&amp;" – "&amp;TEXT('Getting Started'!C10+I88*7,"MMM D")),"")</f>
        <v/>
      </c>
    </row>
    <row r="89" ht="20" customHeight="1">
      <c r="A89" s="56">
        <f>IFERROR(IF('Course Content'!I56="","",'Course Content'!I56),"")</f>
        <v/>
      </c>
    </row>
    <row r="90" ht="8" customHeight="1"/>
    <row r="91" ht="24" customHeight="1">
      <c r="A91" s="44" t="inlineStr">
        <is>
          <t xml:space="preserve">  HEALTH</t>
        </is>
      </c>
      <c r="E91" s="45">
        <f>IFERROR(IF('Course Content'!E57="","← enter on Course Content tab",'Course Content'!E57),"")</f>
        <v/>
      </c>
    </row>
    <row r="92" ht="22" customHeight="1">
      <c r="B92" s="46">
        <f>'Course Content'!G57</f>
        <v/>
      </c>
      <c r="C92" s="47">
        <f>IFERROR(IF(B92="","",ROUND(B92/'Getting Started'!C15,1)),"")</f>
        <v/>
      </c>
      <c r="D92" s="47">
        <f>IFERROR(IF(C92="","",ROUND(C92/'Getting Started'!C7,1)),"")</f>
        <v/>
      </c>
      <c r="E92" s="48">
        <f>IFERROR(IF(B92="","",TEXT('Getting Started'!C10+(B92/D92),"MMM D, YYYY")),"")</f>
        <v/>
      </c>
      <c r="F92" s="39" t="n"/>
      <c r="G92" s="49">
        <f>'Course Content'!H57</f>
        <v/>
      </c>
      <c r="H92" s="50">
        <f>IFERROR(IF(G92="","",ROUND(G92/'Getting Started'!C23,1)),"")</f>
        <v/>
      </c>
      <c r="I92" s="50">
        <f>IFERROR(IF(H92="","",ROUND(H92/'Getting Started'!C7,1)),"")</f>
        <v/>
      </c>
      <c r="J92" s="51">
        <f>IFERROR(IF(G92="","",TEXT('Getting Started'!C18+(G92/I92),"MMM D, YYYY")),"")</f>
        <v/>
      </c>
    </row>
    <row r="93" ht="16" customHeight="1">
      <c r="A93" s="52" t="inlineStr">
        <is>
          <t xml:space="preserve">  Component Breakdown  (optional — use for multi-volume curricula)</t>
        </is>
      </c>
    </row>
    <row r="94" ht="22" customHeight="1">
      <c r="A94" s="28" t="inlineStr">
        <is>
          <t>#</t>
        </is>
      </c>
      <c r="B94" s="28" t="inlineStr">
        <is>
          <t>Book / Component Title</t>
        </is>
      </c>
      <c r="F94" s="28" t="inlineStr">
        <is>
          <t>Units</t>
        </is>
      </c>
      <c r="G94" s="28" t="inlineStr">
        <is>
          <t>Cumul.</t>
        </is>
      </c>
      <c r="H94" s="28" t="inlineStr">
        <is>
          <t>Start
Week</t>
        </is>
      </c>
      <c r="I94" s="28" t="inlineStr">
        <is>
          <t>End
Week</t>
        </is>
      </c>
      <c r="J94" s="28" t="inlineStr">
        <is>
          <t>Est. Dates</t>
        </is>
      </c>
    </row>
    <row r="95" ht="18" customHeight="1">
      <c r="A95" s="53" t="n">
        <v>1</v>
      </c>
      <c r="B95" s="5" t="n"/>
      <c r="F95" s="32" t="n"/>
      <c r="G95" s="17">
        <f>IFERROR(SUM(F95:F95),"")</f>
        <v/>
      </c>
      <c r="H95" s="17">
        <f>IF(F95="","",1)</f>
        <v/>
      </c>
      <c r="I95" s="17">
        <f>IFERROR(IF(F95="","",CEILING(G95/((IFERROR(B92,0)+IFERROR(G92,0))/(IFERROR('Getting Started'!C15,0)+IFERROR('Getting Started'!C23,0))),1)),"")</f>
        <v/>
      </c>
      <c r="J95" s="54">
        <f>IFERROR(IF(F95="","",TEXT('Getting Started'!C10+(H95-1)*7,"MMM D")&amp;" – "&amp;TEXT('Getting Started'!C10+I95*7,"MMM D")),"")</f>
        <v/>
      </c>
    </row>
    <row r="96" ht="18" customHeight="1">
      <c r="A96" s="53" t="n">
        <v>2</v>
      </c>
      <c r="B96" s="18" t="n"/>
      <c r="F96" s="55" t="n"/>
      <c r="G96" s="17">
        <f>IFERROR(SUM(F95:F96),"")</f>
        <v/>
      </c>
      <c r="H96" s="17">
        <f>IFERROR(IF(F96="","",FLOOR(G95/((IFERROR(B92,0)+IFERROR(G92,0))/(IFERROR('Getting Started'!C15,0)+IFERROR('Getting Started'!C23,0))),1)+1),"")</f>
        <v/>
      </c>
      <c r="I96" s="17">
        <f>IFERROR(IF(F96="","",CEILING(G96/((IFERROR(B92,0)+IFERROR(G92,0))/(IFERROR('Getting Started'!C15,0)+IFERROR('Getting Started'!C23,0))),1)),"")</f>
        <v/>
      </c>
      <c r="J96" s="54">
        <f>IFERROR(IF(F96="","",TEXT('Getting Started'!C10+(H96-1)*7,"MMM D")&amp;" – "&amp;TEXT('Getting Started'!C10+I96*7,"MMM D")),"")</f>
        <v/>
      </c>
    </row>
    <row r="97" ht="18" customHeight="1">
      <c r="A97" s="53" t="n">
        <v>3</v>
      </c>
      <c r="B97" s="5" t="n"/>
      <c r="F97" s="32" t="n"/>
      <c r="G97" s="17">
        <f>IFERROR(SUM(F95:F97),"")</f>
        <v/>
      </c>
      <c r="H97" s="17">
        <f>IFERROR(IF(F97="","",FLOOR(G96/((IFERROR(B92,0)+IFERROR(G92,0))/(IFERROR('Getting Started'!C15,0)+IFERROR('Getting Started'!C23,0))),1)+1),"")</f>
        <v/>
      </c>
      <c r="I97" s="17">
        <f>IFERROR(IF(F97="","",CEILING(G97/((IFERROR(B92,0)+IFERROR(G92,0))/(IFERROR('Getting Started'!C15,0)+IFERROR('Getting Started'!C23,0))),1)),"")</f>
        <v/>
      </c>
      <c r="J97" s="54">
        <f>IFERROR(IF(F97="","",TEXT('Getting Started'!C10+(H97-1)*7,"MMM D")&amp;" – "&amp;TEXT('Getting Started'!C10+I97*7,"MMM D")),"")</f>
        <v/>
      </c>
    </row>
    <row r="98" ht="18" customHeight="1">
      <c r="A98" s="53" t="n">
        <v>4</v>
      </c>
      <c r="B98" s="18" t="n"/>
      <c r="F98" s="55" t="n"/>
      <c r="G98" s="17">
        <f>IFERROR(SUM(F95:F98),"")</f>
        <v/>
      </c>
      <c r="H98" s="17">
        <f>IFERROR(IF(F98="","",FLOOR(G97/((IFERROR(B92,0)+IFERROR(G92,0))/(IFERROR('Getting Started'!C15,0)+IFERROR('Getting Started'!C23,0))),1)+1),"")</f>
        <v/>
      </c>
      <c r="I98" s="17">
        <f>IFERROR(IF(F98="","",CEILING(G98/((IFERROR(B92,0)+IFERROR(G92,0))/(IFERROR('Getting Started'!C15,0)+IFERROR('Getting Started'!C23,0))),1)),"")</f>
        <v/>
      </c>
      <c r="J98" s="54">
        <f>IFERROR(IF(F98="","",TEXT('Getting Started'!C10+(H98-1)*7,"MMM D")&amp;" – "&amp;TEXT('Getting Started'!C10+I98*7,"MMM D")),"")</f>
        <v/>
      </c>
    </row>
    <row r="99" ht="18" customHeight="1">
      <c r="A99" s="53" t="n">
        <v>5</v>
      </c>
      <c r="B99" s="5" t="n"/>
      <c r="F99" s="32" t="n"/>
      <c r="G99" s="17">
        <f>IFERROR(SUM(F95:F99),"")</f>
        <v/>
      </c>
      <c r="H99" s="17">
        <f>IFERROR(IF(F99="","",FLOOR(G98/((IFERROR(B92,0)+IFERROR(G92,0))/(IFERROR('Getting Started'!C15,0)+IFERROR('Getting Started'!C23,0))),1)+1),"")</f>
        <v/>
      </c>
      <c r="I99" s="17">
        <f>IFERROR(IF(F99="","",CEILING(G99/((IFERROR(B92,0)+IFERROR(G92,0))/(IFERROR('Getting Started'!C15,0)+IFERROR('Getting Started'!C23,0))),1)),"")</f>
        <v/>
      </c>
      <c r="J99" s="54">
        <f>IFERROR(IF(F99="","",TEXT('Getting Started'!C10+(H99-1)*7,"MMM D")&amp;" – "&amp;TEXT('Getting Started'!C10+I99*7,"MMM D")),"")</f>
        <v/>
      </c>
    </row>
    <row r="100" ht="18" customHeight="1">
      <c r="A100" s="53" t="n">
        <v>6</v>
      </c>
      <c r="B100" s="18" t="n"/>
      <c r="F100" s="55" t="n"/>
      <c r="G100" s="17">
        <f>IFERROR(SUM(F95:F100),"")</f>
        <v/>
      </c>
      <c r="H100" s="17">
        <f>IFERROR(IF(F100="","",FLOOR(G99/((IFERROR(B92,0)+IFERROR(G92,0))/(IFERROR('Getting Started'!C15,0)+IFERROR('Getting Started'!C23,0))),1)+1),"")</f>
        <v/>
      </c>
      <c r="I100" s="17">
        <f>IFERROR(IF(F100="","",CEILING(G100/((IFERROR(B92,0)+IFERROR(G92,0))/(IFERROR('Getting Started'!C15,0)+IFERROR('Getting Started'!C23,0))),1)),"")</f>
        <v/>
      </c>
      <c r="J100" s="54">
        <f>IFERROR(IF(F100="","",TEXT('Getting Started'!C10+(H100-1)*7,"MMM D")&amp;" – "&amp;TEXT('Getting Started'!C10+I100*7,"MMM D")),"")</f>
        <v/>
      </c>
    </row>
    <row r="101" ht="20" customHeight="1">
      <c r="A101" s="56">
        <f>IFERROR(IF('Course Content'!I57="","",'Course Content'!I57),"")</f>
        <v/>
      </c>
    </row>
    <row r="102" ht="8" customHeight="1"/>
    <row r="103" ht="24" customHeight="1">
      <c r="A103" s="44" t="inlineStr">
        <is>
          <t xml:space="preserve">  PHYSICAL EDUCATION</t>
        </is>
      </c>
      <c r="E103" s="45">
        <f>IFERROR(IF('Course Content'!E58="","← enter on Course Content tab",'Course Content'!E58),"")</f>
        <v/>
      </c>
    </row>
    <row r="104" ht="22" customHeight="1">
      <c r="B104" s="46">
        <f>'Course Content'!G58</f>
        <v/>
      </c>
      <c r="C104" s="47">
        <f>IFERROR(IF(B104="","",ROUND(B104/'Getting Started'!C15,1)),"")</f>
        <v/>
      </c>
      <c r="D104" s="47">
        <f>IFERROR(IF(C104="","",ROUND(C104/'Getting Started'!C7,1)),"")</f>
        <v/>
      </c>
      <c r="E104" s="48">
        <f>IFERROR(IF(B104="","",TEXT('Getting Started'!C10+(B104/D104),"MMM D, YYYY")),"")</f>
        <v/>
      </c>
      <c r="F104" s="39" t="n"/>
      <c r="G104" s="49">
        <f>'Course Content'!H58</f>
        <v/>
      </c>
      <c r="H104" s="50">
        <f>IFERROR(IF(G104="","",ROUND(G104/'Getting Started'!C23,1)),"")</f>
        <v/>
      </c>
      <c r="I104" s="50">
        <f>IFERROR(IF(H104="","",ROUND(H104/'Getting Started'!C7,1)),"")</f>
        <v/>
      </c>
      <c r="J104" s="51">
        <f>IFERROR(IF(G104="","",TEXT('Getting Started'!C18+(G104/I104),"MMM D, YYYY")),"")</f>
        <v/>
      </c>
    </row>
    <row r="105" ht="16" customHeight="1">
      <c r="A105" s="52" t="inlineStr">
        <is>
          <t xml:space="preserve">  Component Breakdown  (optional — use for multi-volume curricula)</t>
        </is>
      </c>
    </row>
    <row r="106" ht="22" customHeight="1">
      <c r="A106" s="28" t="inlineStr">
        <is>
          <t>#</t>
        </is>
      </c>
      <c r="B106" s="28" t="inlineStr">
        <is>
          <t>Book / Component Title</t>
        </is>
      </c>
      <c r="F106" s="28" t="inlineStr">
        <is>
          <t>Units</t>
        </is>
      </c>
      <c r="G106" s="28" t="inlineStr">
        <is>
          <t>Cumul.</t>
        </is>
      </c>
      <c r="H106" s="28" t="inlineStr">
        <is>
          <t>Start
Week</t>
        </is>
      </c>
      <c r="I106" s="28" t="inlineStr">
        <is>
          <t>End
Week</t>
        </is>
      </c>
      <c r="J106" s="28" t="inlineStr">
        <is>
          <t>Est. Dates</t>
        </is>
      </c>
    </row>
    <row r="107" ht="18" customHeight="1">
      <c r="A107" s="53" t="n">
        <v>1</v>
      </c>
      <c r="B107" s="5" t="n"/>
      <c r="F107" s="32" t="n"/>
      <c r="G107" s="17">
        <f>IFERROR(SUM(F107:F107),"")</f>
        <v/>
      </c>
      <c r="H107" s="17">
        <f>IF(F107="","",1)</f>
        <v/>
      </c>
      <c r="I107" s="17">
        <f>IFERROR(IF(F107="","",CEILING(G107/((IFERROR(B104,0)+IFERROR(G104,0))/(IFERROR('Getting Started'!C15,0)+IFERROR('Getting Started'!C23,0))),1)),"")</f>
        <v/>
      </c>
      <c r="J107" s="54">
        <f>IFERROR(IF(F107="","",TEXT('Getting Started'!C10+(H107-1)*7,"MMM D")&amp;" – "&amp;TEXT('Getting Started'!C10+I107*7,"MMM D")),"")</f>
        <v/>
      </c>
    </row>
    <row r="108" ht="18" customHeight="1">
      <c r="A108" s="53" t="n">
        <v>2</v>
      </c>
      <c r="B108" s="18" t="n"/>
      <c r="F108" s="55" t="n"/>
      <c r="G108" s="17">
        <f>IFERROR(SUM(F107:F108),"")</f>
        <v/>
      </c>
      <c r="H108" s="17">
        <f>IFERROR(IF(F108="","",FLOOR(G107/((IFERROR(B104,0)+IFERROR(G104,0))/(IFERROR('Getting Started'!C15,0)+IFERROR('Getting Started'!C23,0))),1)+1),"")</f>
        <v/>
      </c>
      <c r="I108" s="17">
        <f>IFERROR(IF(F108="","",CEILING(G108/((IFERROR(B104,0)+IFERROR(G104,0))/(IFERROR('Getting Started'!C15,0)+IFERROR('Getting Started'!C23,0))),1)),"")</f>
        <v/>
      </c>
      <c r="J108" s="54">
        <f>IFERROR(IF(F108="","",TEXT('Getting Started'!C10+(H108-1)*7,"MMM D")&amp;" – "&amp;TEXT('Getting Started'!C10+I108*7,"MMM D")),"")</f>
        <v/>
      </c>
    </row>
    <row r="109" ht="18" customHeight="1">
      <c r="A109" s="53" t="n">
        <v>3</v>
      </c>
      <c r="B109" s="5" t="n"/>
      <c r="F109" s="32" t="n"/>
      <c r="G109" s="17">
        <f>IFERROR(SUM(F107:F109),"")</f>
        <v/>
      </c>
      <c r="H109" s="17">
        <f>IFERROR(IF(F109="","",FLOOR(G108/((IFERROR(B104,0)+IFERROR(G104,0))/(IFERROR('Getting Started'!C15,0)+IFERROR('Getting Started'!C23,0))),1)+1),"")</f>
        <v/>
      </c>
      <c r="I109" s="17">
        <f>IFERROR(IF(F109="","",CEILING(G109/((IFERROR(B104,0)+IFERROR(G104,0))/(IFERROR('Getting Started'!C15,0)+IFERROR('Getting Started'!C23,0))),1)),"")</f>
        <v/>
      </c>
      <c r="J109" s="54">
        <f>IFERROR(IF(F109="","",TEXT('Getting Started'!C10+(H109-1)*7,"MMM D")&amp;" – "&amp;TEXT('Getting Started'!C10+I109*7,"MMM D")),"")</f>
        <v/>
      </c>
    </row>
    <row r="110" ht="18" customHeight="1">
      <c r="A110" s="53" t="n">
        <v>4</v>
      </c>
      <c r="B110" s="18" t="n"/>
      <c r="F110" s="55" t="n"/>
      <c r="G110" s="17">
        <f>IFERROR(SUM(F107:F110),"")</f>
        <v/>
      </c>
      <c r="H110" s="17">
        <f>IFERROR(IF(F110="","",FLOOR(G109/((IFERROR(B104,0)+IFERROR(G104,0))/(IFERROR('Getting Started'!C15,0)+IFERROR('Getting Started'!C23,0))),1)+1),"")</f>
        <v/>
      </c>
      <c r="I110" s="17">
        <f>IFERROR(IF(F110="","",CEILING(G110/((IFERROR(B104,0)+IFERROR(G104,0))/(IFERROR('Getting Started'!C15,0)+IFERROR('Getting Started'!C23,0))),1)),"")</f>
        <v/>
      </c>
      <c r="J110" s="54">
        <f>IFERROR(IF(F110="","",TEXT('Getting Started'!C10+(H110-1)*7,"MMM D")&amp;" – "&amp;TEXT('Getting Started'!C10+I110*7,"MMM D")),"")</f>
        <v/>
      </c>
    </row>
    <row r="111" ht="18" customHeight="1">
      <c r="A111" s="53" t="n">
        <v>5</v>
      </c>
      <c r="B111" s="5" t="n"/>
      <c r="F111" s="32" t="n"/>
      <c r="G111" s="17">
        <f>IFERROR(SUM(F107:F111),"")</f>
        <v/>
      </c>
      <c r="H111" s="17">
        <f>IFERROR(IF(F111="","",FLOOR(G110/((IFERROR(B104,0)+IFERROR(G104,0))/(IFERROR('Getting Started'!C15,0)+IFERROR('Getting Started'!C23,0))),1)+1),"")</f>
        <v/>
      </c>
      <c r="I111" s="17">
        <f>IFERROR(IF(F111="","",CEILING(G111/((IFERROR(B104,0)+IFERROR(G104,0))/(IFERROR('Getting Started'!C15,0)+IFERROR('Getting Started'!C23,0))),1)),"")</f>
        <v/>
      </c>
      <c r="J111" s="54">
        <f>IFERROR(IF(F111="","",TEXT('Getting Started'!C10+(H111-1)*7,"MMM D")&amp;" – "&amp;TEXT('Getting Started'!C10+I111*7,"MMM D")),"")</f>
        <v/>
      </c>
    </row>
    <row r="112" ht="18" customHeight="1">
      <c r="A112" s="53" t="n">
        <v>6</v>
      </c>
      <c r="B112" s="18" t="n"/>
      <c r="F112" s="55" t="n"/>
      <c r="G112" s="17">
        <f>IFERROR(SUM(F107:F112),"")</f>
        <v/>
      </c>
      <c r="H112" s="17">
        <f>IFERROR(IF(F112="","",FLOOR(G111/((IFERROR(B104,0)+IFERROR(G104,0))/(IFERROR('Getting Started'!C15,0)+IFERROR('Getting Started'!C23,0))),1)+1),"")</f>
        <v/>
      </c>
      <c r="I112" s="17">
        <f>IFERROR(IF(F112="","",CEILING(G112/((IFERROR(B104,0)+IFERROR(G104,0))/(IFERROR('Getting Started'!C15,0)+IFERROR('Getting Started'!C23,0))),1)),"")</f>
        <v/>
      </c>
      <c r="J112" s="54">
        <f>IFERROR(IF(F112="","",TEXT('Getting Started'!C10+(H112-1)*7,"MMM D")&amp;" – "&amp;TEXT('Getting Started'!C10+I112*7,"MMM D")),"")</f>
        <v/>
      </c>
    </row>
    <row r="113" ht="20" customHeight="1">
      <c r="A113" s="56">
        <f>IFERROR(IF('Course Content'!I58="","",'Course Content'!I58),"")</f>
        <v/>
      </c>
    </row>
    <row r="114" ht="8" customHeight="1"/>
    <row r="115" ht="24" customHeight="1">
      <c r="A115" s="44" t="inlineStr">
        <is>
          <t xml:space="preserve">  ART / MUSIC</t>
        </is>
      </c>
      <c r="E115" s="45">
        <f>IFERROR(IF('Course Content'!E59="","← enter on Course Content tab",'Course Content'!E59),"")</f>
        <v/>
      </c>
    </row>
    <row r="116" ht="22" customHeight="1">
      <c r="B116" s="46">
        <f>'Course Content'!G59</f>
        <v/>
      </c>
      <c r="C116" s="47">
        <f>IFERROR(IF(B116="","",ROUND(B116/'Getting Started'!C15,1)),"")</f>
        <v/>
      </c>
      <c r="D116" s="47">
        <f>IFERROR(IF(C116="","",ROUND(C116/'Getting Started'!C7,1)),"")</f>
        <v/>
      </c>
      <c r="E116" s="48">
        <f>IFERROR(IF(B116="","",TEXT('Getting Started'!C10+(B116/D116),"MMM D, YYYY")),"")</f>
        <v/>
      </c>
      <c r="F116" s="39" t="n"/>
      <c r="G116" s="49">
        <f>'Course Content'!H59</f>
        <v/>
      </c>
      <c r="H116" s="50">
        <f>IFERROR(IF(G116="","",ROUND(G116/'Getting Started'!C23,1)),"")</f>
        <v/>
      </c>
      <c r="I116" s="50">
        <f>IFERROR(IF(H116="","",ROUND(H116/'Getting Started'!C7,1)),"")</f>
        <v/>
      </c>
      <c r="J116" s="51">
        <f>IFERROR(IF(G116="","",TEXT('Getting Started'!C18+(G116/I116),"MMM D, YYYY")),"")</f>
        <v/>
      </c>
    </row>
    <row r="117" ht="16" customHeight="1">
      <c r="A117" s="52" t="inlineStr">
        <is>
          <t xml:space="preserve">  Component Breakdown  (optional — use for multi-volume curricula)</t>
        </is>
      </c>
    </row>
    <row r="118" ht="22" customHeight="1">
      <c r="A118" s="28" t="inlineStr">
        <is>
          <t>#</t>
        </is>
      </c>
      <c r="B118" s="28" t="inlineStr">
        <is>
          <t>Book / Component Title</t>
        </is>
      </c>
      <c r="F118" s="28" t="inlineStr">
        <is>
          <t>Units</t>
        </is>
      </c>
      <c r="G118" s="28" t="inlineStr">
        <is>
          <t>Cumul.</t>
        </is>
      </c>
      <c r="H118" s="28" t="inlineStr">
        <is>
          <t>Start
Week</t>
        </is>
      </c>
      <c r="I118" s="28" t="inlineStr">
        <is>
          <t>End
Week</t>
        </is>
      </c>
      <c r="J118" s="28" t="inlineStr">
        <is>
          <t>Est. Dates</t>
        </is>
      </c>
    </row>
    <row r="119" ht="18" customHeight="1">
      <c r="A119" s="53" t="n">
        <v>1</v>
      </c>
      <c r="B119" s="5" t="n"/>
      <c r="F119" s="32" t="n"/>
      <c r="G119" s="17">
        <f>IFERROR(SUM(F119:F119),"")</f>
        <v/>
      </c>
      <c r="H119" s="17">
        <f>IF(F119="","",1)</f>
        <v/>
      </c>
      <c r="I119" s="17">
        <f>IFERROR(IF(F119="","",CEILING(G119/((IFERROR(B116,0)+IFERROR(G116,0))/(IFERROR('Getting Started'!C15,0)+IFERROR('Getting Started'!C23,0))),1)),"")</f>
        <v/>
      </c>
      <c r="J119" s="54">
        <f>IFERROR(IF(F119="","",TEXT('Getting Started'!C10+(H119-1)*7,"MMM D")&amp;" – "&amp;TEXT('Getting Started'!C10+I119*7,"MMM D")),"")</f>
        <v/>
      </c>
    </row>
    <row r="120" ht="18" customHeight="1">
      <c r="A120" s="53" t="n">
        <v>2</v>
      </c>
      <c r="B120" s="18" t="n"/>
      <c r="F120" s="55" t="n"/>
      <c r="G120" s="17">
        <f>IFERROR(SUM(F119:F120),"")</f>
        <v/>
      </c>
      <c r="H120" s="17">
        <f>IFERROR(IF(F120="","",FLOOR(G119/((IFERROR(B116,0)+IFERROR(G116,0))/(IFERROR('Getting Started'!C15,0)+IFERROR('Getting Started'!C23,0))),1)+1),"")</f>
        <v/>
      </c>
      <c r="I120" s="17">
        <f>IFERROR(IF(F120="","",CEILING(G120/((IFERROR(B116,0)+IFERROR(G116,0))/(IFERROR('Getting Started'!C15,0)+IFERROR('Getting Started'!C23,0))),1)),"")</f>
        <v/>
      </c>
      <c r="J120" s="54">
        <f>IFERROR(IF(F120="","",TEXT('Getting Started'!C10+(H120-1)*7,"MMM D")&amp;" – "&amp;TEXT('Getting Started'!C10+I120*7,"MMM D")),"")</f>
        <v/>
      </c>
    </row>
    <row r="121" ht="18" customHeight="1">
      <c r="A121" s="53" t="n">
        <v>3</v>
      </c>
      <c r="B121" s="5" t="n"/>
      <c r="F121" s="32" t="n"/>
      <c r="G121" s="17">
        <f>IFERROR(SUM(F119:F121),"")</f>
        <v/>
      </c>
      <c r="H121" s="17">
        <f>IFERROR(IF(F121="","",FLOOR(G120/((IFERROR(B116,0)+IFERROR(G116,0))/(IFERROR('Getting Started'!C15,0)+IFERROR('Getting Started'!C23,0))),1)+1),"")</f>
        <v/>
      </c>
      <c r="I121" s="17">
        <f>IFERROR(IF(F121="","",CEILING(G121/((IFERROR(B116,0)+IFERROR(G116,0))/(IFERROR('Getting Started'!C15,0)+IFERROR('Getting Started'!C23,0))),1)),"")</f>
        <v/>
      </c>
      <c r="J121" s="54">
        <f>IFERROR(IF(F121="","",TEXT('Getting Started'!C10+(H121-1)*7,"MMM D")&amp;" – "&amp;TEXT('Getting Started'!C10+I121*7,"MMM D")),"")</f>
        <v/>
      </c>
    </row>
    <row r="122" ht="18" customHeight="1">
      <c r="A122" s="53" t="n">
        <v>4</v>
      </c>
      <c r="B122" s="18" t="n"/>
      <c r="F122" s="55" t="n"/>
      <c r="G122" s="17">
        <f>IFERROR(SUM(F119:F122),"")</f>
        <v/>
      </c>
      <c r="H122" s="17">
        <f>IFERROR(IF(F122="","",FLOOR(G121/((IFERROR(B116,0)+IFERROR(G116,0))/(IFERROR('Getting Started'!C15,0)+IFERROR('Getting Started'!C23,0))),1)+1),"")</f>
        <v/>
      </c>
      <c r="I122" s="17">
        <f>IFERROR(IF(F122="","",CEILING(G122/((IFERROR(B116,0)+IFERROR(G116,0))/(IFERROR('Getting Started'!C15,0)+IFERROR('Getting Started'!C23,0))),1)),"")</f>
        <v/>
      </c>
      <c r="J122" s="54">
        <f>IFERROR(IF(F122="","",TEXT('Getting Started'!C10+(H122-1)*7,"MMM D")&amp;" – "&amp;TEXT('Getting Started'!C10+I122*7,"MMM D")),"")</f>
        <v/>
      </c>
    </row>
    <row r="123" ht="18" customHeight="1">
      <c r="A123" s="53" t="n">
        <v>5</v>
      </c>
      <c r="B123" s="5" t="n"/>
      <c r="F123" s="32" t="n"/>
      <c r="G123" s="17">
        <f>IFERROR(SUM(F119:F123),"")</f>
        <v/>
      </c>
      <c r="H123" s="17">
        <f>IFERROR(IF(F123="","",FLOOR(G122/((IFERROR(B116,0)+IFERROR(G116,0))/(IFERROR('Getting Started'!C15,0)+IFERROR('Getting Started'!C23,0))),1)+1),"")</f>
        <v/>
      </c>
      <c r="I123" s="17">
        <f>IFERROR(IF(F123="","",CEILING(G123/((IFERROR(B116,0)+IFERROR(G116,0))/(IFERROR('Getting Started'!C15,0)+IFERROR('Getting Started'!C23,0))),1)),"")</f>
        <v/>
      </c>
      <c r="J123" s="54">
        <f>IFERROR(IF(F123="","",TEXT('Getting Started'!C10+(H123-1)*7,"MMM D")&amp;" – "&amp;TEXT('Getting Started'!C10+I123*7,"MMM D")),"")</f>
        <v/>
      </c>
    </row>
    <row r="124" ht="18" customHeight="1">
      <c r="A124" s="53" t="n">
        <v>6</v>
      </c>
      <c r="B124" s="18" t="n"/>
      <c r="F124" s="55" t="n"/>
      <c r="G124" s="17">
        <f>IFERROR(SUM(F119:F124),"")</f>
        <v/>
      </c>
      <c r="H124" s="17">
        <f>IFERROR(IF(F124="","",FLOOR(G123/((IFERROR(B116,0)+IFERROR(G116,0))/(IFERROR('Getting Started'!C15,0)+IFERROR('Getting Started'!C23,0))),1)+1),"")</f>
        <v/>
      </c>
      <c r="I124" s="17">
        <f>IFERROR(IF(F124="","",CEILING(G124/((IFERROR(B116,0)+IFERROR(G116,0))/(IFERROR('Getting Started'!C15,0)+IFERROR('Getting Started'!C23,0))),1)),"")</f>
        <v/>
      </c>
      <c r="J124" s="54">
        <f>IFERROR(IF(F124="","",TEXT('Getting Started'!C10+(H124-1)*7,"MMM D")&amp;" – "&amp;TEXT('Getting Started'!C10+I124*7,"MMM D")),"")</f>
        <v/>
      </c>
    </row>
    <row r="125" ht="20" customHeight="1">
      <c r="A125" s="56">
        <f>IFERROR(IF('Course Content'!I59="","",'Course Content'!I59),"")</f>
        <v/>
      </c>
    </row>
    <row r="126" ht="8" customHeight="1"/>
    <row r="127" ht="24" customHeight="1">
      <c r="A127" s="44">
        <f>IF('Course Content'!D60="","  ELECTIVE / OTHER 1","  "&amp;UPPER('Course Content'!D60))</f>
        <v/>
      </c>
      <c r="E127" s="45">
        <f>IFERROR(IF('Course Content'!E60="","← enter on Course Content tab",'Course Content'!E60),"")</f>
        <v/>
      </c>
    </row>
    <row r="128" ht="22" customHeight="1">
      <c r="B128" s="46">
        <f>'Course Content'!G60</f>
        <v/>
      </c>
      <c r="C128" s="47">
        <f>IFERROR(IF(B128="","",ROUND(B128/'Getting Started'!C15,1)),"")</f>
        <v/>
      </c>
      <c r="D128" s="47">
        <f>IFERROR(IF(C128="","",ROUND(C128/'Getting Started'!C7,1)),"")</f>
        <v/>
      </c>
      <c r="E128" s="48">
        <f>IFERROR(IF(B128="","",TEXT('Getting Started'!C10+(B128/D128),"MMM D, YYYY")),"")</f>
        <v/>
      </c>
      <c r="F128" s="39" t="n"/>
      <c r="G128" s="49">
        <f>'Course Content'!H60</f>
        <v/>
      </c>
      <c r="H128" s="50">
        <f>IFERROR(IF(G128="","",ROUND(G128/'Getting Started'!C23,1)),"")</f>
        <v/>
      </c>
      <c r="I128" s="50">
        <f>IFERROR(IF(H128="","",ROUND(H128/'Getting Started'!C7,1)),"")</f>
        <v/>
      </c>
      <c r="J128" s="51">
        <f>IFERROR(IF(G128="","",TEXT('Getting Started'!C18+(G128/I128),"MMM D, YYYY")),"")</f>
        <v/>
      </c>
    </row>
    <row r="129" ht="16" customHeight="1">
      <c r="A129" s="52" t="inlineStr">
        <is>
          <t xml:space="preserve">  Component Breakdown  (optional — use for multi-volume curricula)</t>
        </is>
      </c>
    </row>
    <row r="130" ht="22" customHeight="1">
      <c r="A130" s="28" t="inlineStr">
        <is>
          <t>#</t>
        </is>
      </c>
      <c r="B130" s="28" t="inlineStr">
        <is>
          <t>Book / Component Title</t>
        </is>
      </c>
      <c r="F130" s="28" t="inlineStr">
        <is>
          <t>Units</t>
        </is>
      </c>
      <c r="G130" s="28" t="inlineStr">
        <is>
          <t>Cumul.</t>
        </is>
      </c>
      <c r="H130" s="28" t="inlineStr">
        <is>
          <t>Start
Week</t>
        </is>
      </c>
      <c r="I130" s="28" t="inlineStr">
        <is>
          <t>End
Week</t>
        </is>
      </c>
      <c r="J130" s="28" t="inlineStr">
        <is>
          <t>Est. Dates</t>
        </is>
      </c>
    </row>
    <row r="131" ht="18" customHeight="1">
      <c r="A131" s="53" t="n">
        <v>1</v>
      </c>
      <c r="B131" s="5" t="n"/>
      <c r="F131" s="32" t="n"/>
      <c r="G131" s="17">
        <f>IFERROR(SUM(F131:F131),"")</f>
        <v/>
      </c>
      <c r="H131" s="17">
        <f>IF(F131="","",1)</f>
        <v/>
      </c>
      <c r="I131" s="17">
        <f>IFERROR(IF(F131="","",CEILING(G131/((IFERROR(B128,0)+IFERROR(G128,0))/(IFERROR('Getting Started'!C15,0)+IFERROR('Getting Started'!C23,0))),1)),"")</f>
        <v/>
      </c>
      <c r="J131" s="54">
        <f>IFERROR(IF(F131="","",TEXT('Getting Started'!C10+(H131-1)*7,"MMM D")&amp;" – "&amp;TEXT('Getting Started'!C10+I131*7,"MMM D")),"")</f>
        <v/>
      </c>
    </row>
    <row r="132" ht="18" customHeight="1">
      <c r="A132" s="53" t="n">
        <v>2</v>
      </c>
      <c r="B132" s="18" t="n"/>
      <c r="F132" s="55" t="n"/>
      <c r="G132" s="17">
        <f>IFERROR(SUM(F131:F132),"")</f>
        <v/>
      </c>
      <c r="H132" s="17">
        <f>IFERROR(IF(F132="","",FLOOR(G131/((IFERROR(B128,0)+IFERROR(G128,0))/(IFERROR('Getting Started'!C15,0)+IFERROR('Getting Started'!C23,0))),1)+1),"")</f>
        <v/>
      </c>
      <c r="I132" s="17">
        <f>IFERROR(IF(F132="","",CEILING(G132/((IFERROR(B128,0)+IFERROR(G128,0))/(IFERROR('Getting Started'!C15,0)+IFERROR('Getting Started'!C23,0))),1)),"")</f>
        <v/>
      </c>
      <c r="J132" s="54">
        <f>IFERROR(IF(F132="","",TEXT('Getting Started'!C10+(H132-1)*7,"MMM D")&amp;" – "&amp;TEXT('Getting Started'!C10+I132*7,"MMM D")),"")</f>
        <v/>
      </c>
    </row>
    <row r="133" ht="18" customHeight="1">
      <c r="A133" s="53" t="n">
        <v>3</v>
      </c>
      <c r="B133" s="5" t="n"/>
      <c r="F133" s="32" t="n"/>
      <c r="G133" s="17">
        <f>IFERROR(SUM(F131:F133),"")</f>
        <v/>
      </c>
      <c r="H133" s="17">
        <f>IFERROR(IF(F133="","",FLOOR(G132/((IFERROR(B128,0)+IFERROR(G128,0))/(IFERROR('Getting Started'!C15,0)+IFERROR('Getting Started'!C23,0))),1)+1),"")</f>
        <v/>
      </c>
      <c r="I133" s="17">
        <f>IFERROR(IF(F133="","",CEILING(G133/((IFERROR(B128,0)+IFERROR(G128,0))/(IFERROR('Getting Started'!C15,0)+IFERROR('Getting Started'!C23,0))),1)),"")</f>
        <v/>
      </c>
      <c r="J133" s="54">
        <f>IFERROR(IF(F133="","",TEXT('Getting Started'!C10+(H133-1)*7,"MMM D")&amp;" – "&amp;TEXT('Getting Started'!C10+I133*7,"MMM D")),"")</f>
        <v/>
      </c>
    </row>
    <row r="134" ht="18" customHeight="1">
      <c r="A134" s="53" t="n">
        <v>4</v>
      </c>
      <c r="B134" s="18" t="n"/>
      <c r="F134" s="55" t="n"/>
      <c r="G134" s="17">
        <f>IFERROR(SUM(F131:F134),"")</f>
        <v/>
      </c>
      <c r="H134" s="17">
        <f>IFERROR(IF(F134="","",FLOOR(G133/((IFERROR(B128,0)+IFERROR(G128,0))/(IFERROR('Getting Started'!C15,0)+IFERROR('Getting Started'!C23,0))),1)+1),"")</f>
        <v/>
      </c>
      <c r="I134" s="17">
        <f>IFERROR(IF(F134="","",CEILING(G134/((IFERROR(B128,0)+IFERROR(G128,0))/(IFERROR('Getting Started'!C15,0)+IFERROR('Getting Started'!C23,0))),1)),"")</f>
        <v/>
      </c>
      <c r="J134" s="54">
        <f>IFERROR(IF(F134="","",TEXT('Getting Started'!C10+(H134-1)*7,"MMM D")&amp;" – "&amp;TEXT('Getting Started'!C10+I134*7,"MMM D")),"")</f>
        <v/>
      </c>
    </row>
    <row r="135" ht="18" customHeight="1">
      <c r="A135" s="53" t="n">
        <v>5</v>
      </c>
      <c r="B135" s="5" t="n"/>
      <c r="F135" s="32" t="n"/>
      <c r="G135" s="17">
        <f>IFERROR(SUM(F131:F135),"")</f>
        <v/>
      </c>
      <c r="H135" s="17">
        <f>IFERROR(IF(F135="","",FLOOR(G134/((IFERROR(B128,0)+IFERROR(G128,0))/(IFERROR('Getting Started'!C15,0)+IFERROR('Getting Started'!C23,0))),1)+1),"")</f>
        <v/>
      </c>
      <c r="I135" s="17">
        <f>IFERROR(IF(F135="","",CEILING(G135/((IFERROR(B128,0)+IFERROR(G128,0))/(IFERROR('Getting Started'!C15,0)+IFERROR('Getting Started'!C23,0))),1)),"")</f>
        <v/>
      </c>
      <c r="J135" s="54">
        <f>IFERROR(IF(F135="","",TEXT('Getting Started'!C10+(H135-1)*7,"MMM D")&amp;" – "&amp;TEXT('Getting Started'!C10+I135*7,"MMM D")),"")</f>
        <v/>
      </c>
    </row>
    <row r="136" ht="18" customHeight="1">
      <c r="A136" s="53" t="n">
        <v>6</v>
      </c>
      <c r="B136" s="18" t="n"/>
      <c r="F136" s="55" t="n"/>
      <c r="G136" s="17">
        <f>IFERROR(SUM(F131:F136),"")</f>
        <v/>
      </c>
      <c r="H136" s="17">
        <f>IFERROR(IF(F136="","",FLOOR(G135/((IFERROR(B128,0)+IFERROR(G128,0))/(IFERROR('Getting Started'!C15,0)+IFERROR('Getting Started'!C23,0))),1)+1),"")</f>
        <v/>
      </c>
      <c r="I136" s="17">
        <f>IFERROR(IF(F136="","",CEILING(G136/((IFERROR(B128,0)+IFERROR(G128,0))/(IFERROR('Getting Started'!C15,0)+IFERROR('Getting Started'!C23,0))),1)),"")</f>
        <v/>
      </c>
      <c r="J136" s="54">
        <f>IFERROR(IF(F136="","",TEXT('Getting Started'!C10+(H136-1)*7,"MMM D")&amp;" – "&amp;TEXT('Getting Started'!C10+I136*7,"MMM D")),"")</f>
        <v/>
      </c>
    </row>
    <row r="137" ht="20" customHeight="1">
      <c r="A137" s="56">
        <f>IFERROR(IF('Course Content'!I60="","",'Course Content'!I60),"")</f>
        <v/>
      </c>
    </row>
    <row r="138" ht="8" customHeight="1"/>
    <row r="139" ht="24" customHeight="1">
      <c r="A139" s="44">
        <f>IF('Course Content'!D61="","  ELECTIVE / OTHER 2","  "&amp;UPPER('Course Content'!D61))</f>
        <v/>
      </c>
      <c r="E139" s="45">
        <f>IFERROR(IF('Course Content'!E61="","← enter on Course Content tab",'Course Content'!E61),"")</f>
        <v/>
      </c>
    </row>
    <row r="140" ht="22" customHeight="1">
      <c r="B140" s="46">
        <f>'Course Content'!G61</f>
        <v/>
      </c>
      <c r="C140" s="47">
        <f>IFERROR(IF(B140="","",ROUND(B140/'Getting Started'!C15,1)),"")</f>
        <v/>
      </c>
      <c r="D140" s="47">
        <f>IFERROR(IF(C140="","",ROUND(C140/'Getting Started'!C7,1)),"")</f>
        <v/>
      </c>
      <c r="E140" s="48">
        <f>IFERROR(IF(B140="","",TEXT('Getting Started'!C10+(B140/D140),"MMM D, YYYY")),"")</f>
        <v/>
      </c>
      <c r="F140" s="39" t="n"/>
      <c r="G140" s="49">
        <f>'Course Content'!H61</f>
        <v/>
      </c>
      <c r="H140" s="50">
        <f>IFERROR(IF(G140="","",ROUND(G140/'Getting Started'!C23,1)),"")</f>
        <v/>
      </c>
      <c r="I140" s="50">
        <f>IFERROR(IF(H140="","",ROUND(H140/'Getting Started'!C7,1)),"")</f>
        <v/>
      </c>
      <c r="J140" s="51">
        <f>IFERROR(IF(G140="","",TEXT('Getting Started'!C18+(G140/I140),"MMM D, YYYY")),"")</f>
        <v/>
      </c>
    </row>
    <row r="141" ht="16" customHeight="1">
      <c r="A141" s="52" t="inlineStr">
        <is>
          <t xml:space="preserve">  Component Breakdown  (optional — use for multi-volume curricula)</t>
        </is>
      </c>
    </row>
    <row r="142" ht="22" customHeight="1">
      <c r="A142" s="28" t="inlineStr">
        <is>
          <t>#</t>
        </is>
      </c>
      <c r="B142" s="28" t="inlineStr">
        <is>
          <t>Book / Component Title</t>
        </is>
      </c>
      <c r="F142" s="28" t="inlineStr">
        <is>
          <t>Units</t>
        </is>
      </c>
      <c r="G142" s="28" t="inlineStr">
        <is>
          <t>Cumul.</t>
        </is>
      </c>
      <c r="H142" s="28" t="inlineStr">
        <is>
          <t>Start
Week</t>
        </is>
      </c>
      <c r="I142" s="28" t="inlineStr">
        <is>
          <t>End
Week</t>
        </is>
      </c>
      <c r="J142" s="28" t="inlineStr">
        <is>
          <t>Est. Dates</t>
        </is>
      </c>
    </row>
    <row r="143" ht="18" customHeight="1">
      <c r="A143" s="53" t="n">
        <v>1</v>
      </c>
      <c r="B143" s="5" t="n"/>
      <c r="F143" s="32" t="n"/>
      <c r="G143" s="17">
        <f>IFERROR(SUM(F143:F143),"")</f>
        <v/>
      </c>
      <c r="H143" s="17">
        <f>IF(F143="","",1)</f>
        <v/>
      </c>
      <c r="I143" s="17">
        <f>IFERROR(IF(F143="","",CEILING(G143/((IFERROR(B140,0)+IFERROR(G140,0))/(IFERROR('Getting Started'!C15,0)+IFERROR('Getting Started'!C23,0))),1)),"")</f>
        <v/>
      </c>
      <c r="J143" s="54">
        <f>IFERROR(IF(F143="","",TEXT('Getting Started'!C10+(H143-1)*7,"MMM D")&amp;" – "&amp;TEXT('Getting Started'!C10+I143*7,"MMM D")),"")</f>
        <v/>
      </c>
    </row>
    <row r="144" ht="18" customHeight="1">
      <c r="A144" s="53" t="n">
        <v>2</v>
      </c>
      <c r="B144" s="18" t="n"/>
      <c r="F144" s="55" t="n"/>
      <c r="G144" s="17">
        <f>IFERROR(SUM(F143:F144),"")</f>
        <v/>
      </c>
      <c r="H144" s="17">
        <f>IFERROR(IF(F144="","",FLOOR(G143/((IFERROR(B140,0)+IFERROR(G140,0))/(IFERROR('Getting Started'!C15,0)+IFERROR('Getting Started'!C23,0))),1)+1),"")</f>
        <v/>
      </c>
      <c r="I144" s="17">
        <f>IFERROR(IF(F144="","",CEILING(G144/((IFERROR(B140,0)+IFERROR(G140,0))/(IFERROR('Getting Started'!C15,0)+IFERROR('Getting Started'!C23,0))),1)),"")</f>
        <v/>
      </c>
      <c r="J144" s="54">
        <f>IFERROR(IF(F144="","",TEXT('Getting Started'!C10+(H144-1)*7,"MMM D")&amp;" – "&amp;TEXT('Getting Started'!C10+I144*7,"MMM D")),"")</f>
        <v/>
      </c>
    </row>
    <row r="145" ht="18" customHeight="1">
      <c r="A145" s="53" t="n">
        <v>3</v>
      </c>
      <c r="B145" s="5" t="n"/>
      <c r="F145" s="32" t="n"/>
      <c r="G145" s="17">
        <f>IFERROR(SUM(F143:F145),"")</f>
        <v/>
      </c>
      <c r="H145" s="17">
        <f>IFERROR(IF(F145="","",FLOOR(G144/((IFERROR(B140,0)+IFERROR(G140,0))/(IFERROR('Getting Started'!C15,0)+IFERROR('Getting Started'!C23,0))),1)+1),"")</f>
        <v/>
      </c>
      <c r="I145" s="17">
        <f>IFERROR(IF(F145="","",CEILING(G145/((IFERROR(B140,0)+IFERROR(G140,0))/(IFERROR('Getting Started'!C15,0)+IFERROR('Getting Started'!C23,0))),1)),"")</f>
        <v/>
      </c>
      <c r="J145" s="54">
        <f>IFERROR(IF(F145="","",TEXT('Getting Started'!C10+(H145-1)*7,"MMM D")&amp;" – "&amp;TEXT('Getting Started'!C10+I145*7,"MMM D")),"")</f>
        <v/>
      </c>
    </row>
    <row r="146" ht="18" customHeight="1">
      <c r="A146" s="53" t="n">
        <v>4</v>
      </c>
      <c r="B146" s="18" t="n"/>
      <c r="F146" s="55" t="n"/>
      <c r="G146" s="17">
        <f>IFERROR(SUM(F143:F146),"")</f>
        <v/>
      </c>
      <c r="H146" s="17">
        <f>IFERROR(IF(F146="","",FLOOR(G145/((IFERROR(B140,0)+IFERROR(G140,0))/(IFERROR('Getting Started'!C15,0)+IFERROR('Getting Started'!C23,0))),1)+1),"")</f>
        <v/>
      </c>
      <c r="I146" s="17">
        <f>IFERROR(IF(F146="","",CEILING(G146/((IFERROR(B140,0)+IFERROR(G140,0))/(IFERROR('Getting Started'!C15,0)+IFERROR('Getting Started'!C23,0))),1)),"")</f>
        <v/>
      </c>
      <c r="J146" s="54">
        <f>IFERROR(IF(F146="","",TEXT('Getting Started'!C10+(H146-1)*7,"MMM D")&amp;" – "&amp;TEXT('Getting Started'!C10+I146*7,"MMM D")),"")</f>
        <v/>
      </c>
    </row>
    <row r="147" ht="18" customHeight="1">
      <c r="A147" s="53" t="n">
        <v>5</v>
      </c>
      <c r="B147" s="5" t="n"/>
      <c r="F147" s="32" t="n"/>
      <c r="G147" s="17">
        <f>IFERROR(SUM(F143:F147),"")</f>
        <v/>
      </c>
      <c r="H147" s="17">
        <f>IFERROR(IF(F147="","",FLOOR(G146/((IFERROR(B140,0)+IFERROR(G140,0))/(IFERROR('Getting Started'!C15,0)+IFERROR('Getting Started'!C23,0))),1)+1),"")</f>
        <v/>
      </c>
      <c r="I147" s="17">
        <f>IFERROR(IF(F147="","",CEILING(G147/((IFERROR(B140,0)+IFERROR(G140,0))/(IFERROR('Getting Started'!C15,0)+IFERROR('Getting Started'!C23,0))),1)),"")</f>
        <v/>
      </c>
      <c r="J147" s="54">
        <f>IFERROR(IF(F147="","",TEXT('Getting Started'!C10+(H147-1)*7,"MMM D")&amp;" – "&amp;TEXT('Getting Started'!C10+I147*7,"MMM D")),"")</f>
        <v/>
      </c>
    </row>
    <row r="148" ht="18" customHeight="1">
      <c r="A148" s="53" t="n">
        <v>6</v>
      </c>
      <c r="B148" s="18" t="n"/>
      <c r="F148" s="55" t="n"/>
      <c r="G148" s="17">
        <f>IFERROR(SUM(F143:F148),"")</f>
        <v/>
      </c>
      <c r="H148" s="17">
        <f>IFERROR(IF(F148="","",FLOOR(G147/((IFERROR(B140,0)+IFERROR(G140,0))/(IFERROR('Getting Started'!C15,0)+IFERROR('Getting Started'!C23,0))),1)+1),"")</f>
        <v/>
      </c>
      <c r="I148" s="17">
        <f>IFERROR(IF(F148="","",CEILING(G148/((IFERROR(B140,0)+IFERROR(G140,0))/(IFERROR('Getting Started'!C15,0)+IFERROR('Getting Started'!C23,0))),1)),"")</f>
        <v/>
      </c>
      <c r="J148" s="54">
        <f>IFERROR(IF(F148="","",TEXT('Getting Started'!C10+(H148-1)*7,"MMM D")&amp;" – "&amp;TEXT('Getting Started'!C10+I148*7,"MMM D")),"")</f>
        <v/>
      </c>
    </row>
    <row r="149" ht="20" customHeight="1">
      <c r="A149" s="56">
        <f>IFERROR(IF('Course Content'!I61="","",'Course Content'!I61),"")</f>
        <v/>
      </c>
    </row>
    <row r="150" ht="8" customHeight="1"/>
    <row r="151" ht="24" customHeight="1">
      <c r="A151" s="44">
        <f>IF('Course Content'!D62="","  ELECTIVE / OTHER 3","  "&amp;UPPER('Course Content'!D62))</f>
        <v/>
      </c>
      <c r="E151" s="45">
        <f>IFERROR(IF('Course Content'!E62="","← enter on Course Content tab",'Course Content'!E62),"")</f>
        <v/>
      </c>
    </row>
    <row r="152" ht="22" customHeight="1">
      <c r="B152" s="46">
        <f>'Course Content'!G62</f>
        <v/>
      </c>
      <c r="C152" s="47">
        <f>IFERROR(IF(B152="","",ROUND(B152/'Getting Started'!C15,1)),"")</f>
        <v/>
      </c>
      <c r="D152" s="47">
        <f>IFERROR(IF(C152="","",ROUND(C152/'Getting Started'!C7,1)),"")</f>
        <v/>
      </c>
      <c r="E152" s="48">
        <f>IFERROR(IF(B152="","",TEXT('Getting Started'!C10+(B152/D152),"MMM D, YYYY")),"")</f>
        <v/>
      </c>
      <c r="F152" s="39" t="n"/>
      <c r="G152" s="49">
        <f>'Course Content'!H62</f>
        <v/>
      </c>
      <c r="H152" s="50">
        <f>IFERROR(IF(G152="","",ROUND(G152/'Getting Started'!C23,1)),"")</f>
        <v/>
      </c>
      <c r="I152" s="50">
        <f>IFERROR(IF(H152="","",ROUND(H152/'Getting Started'!C7,1)),"")</f>
        <v/>
      </c>
      <c r="J152" s="51">
        <f>IFERROR(IF(G152="","",TEXT('Getting Started'!C18+(G152/I152),"MMM D, YYYY")),"")</f>
        <v/>
      </c>
    </row>
    <row r="153" ht="16" customHeight="1">
      <c r="A153" s="52" t="inlineStr">
        <is>
          <t xml:space="preserve">  Component Breakdown  (optional — use for multi-volume curricula)</t>
        </is>
      </c>
    </row>
    <row r="154" ht="22" customHeight="1">
      <c r="A154" s="28" t="inlineStr">
        <is>
          <t>#</t>
        </is>
      </c>
      <c r="B154" s="28" t="inlineStr">
        <is>
          <t>Book / Component Title</t>
        </is>
      </c>
      <c r="F154" s="28" t="inlineStr">
        <is>
          <t>Units</t>
        </is>
      </c>
      <c r="G154" s="28" t="inlineStr">
        <is>
          <t>Cumul.</t>
        </is>
      </c>
      <c r="H154" s="28" t="inlineStr">
        <is>
          <t>Start
Week</t>
        </is>
      </c>
      <c r="I154" s="28" t="inlineStr">
        <is>
          <t>End
Week</t>
        </is>
      </c>
      <c r="J154" s="28" t="inlineStr">
        <is>
          <t>Est. Dates</t>
        </is>
      </c>
    </row>
    <row r="155" ht="18" customHeight="1">
      <c r="A155" s="53" t="n">
        <v>1</v>
      </c>
      <c r="B155" s="5" t="n"/>
      <c r="F155" s="32" t="n"/>
      <c r="G155" s="17">
        <f>IFERROR(SUM(F155:F155),"")</f>
        <v/>
      </c>
      <c r="H155" s="17">
        <f>IF(F155="","",1)</f>
        <v/>
      </c>
      <c r="I155" s="17">
        <f>IFERROR(IF(F155="","",CEILING(G155/((IFERROR(B152,0)+IFERROR(G152,0))/(IFERROR('Getting Started'!C15,0)+IFERROR('Getting Started'!C23,0))),1)),"")</f>
        <v/>
      </c>
      <c r="J155" s="54">
        <f>IFERROR(IF(F155="","",TEXT('Getting Started'!C10+(H155-1)*7,"MMM D")&amp;" – "&amp;TEXT('Getting Started'!C10+I155*7,"MMM D")),"")</f>
        <v/>
      </c>
    </row>
    <row r="156" ht="18" customHeight="1">
      <c r="A156" s="53" t="n">
        <v>2</v>
      </c>
      <c r="B156" s="18" t="n"/>
      <c r="F156" s="55" t="n"/>
      <c r="G156" s="17">
        <f>IFERROR(SUM(F155:F156),"")</f>
        <v/>
      </c>
      <c r="H156" s="17">
        <f>IFERROR(IF(F156="","",FLOOR(G155/((IFERROR(B152,0)+IFERROR(G152,0))/(IFERROR('Getting Started'!C15,0)+IFERROR('Getting Started'!C23,0))),1)+1),"")</f>
        <v/>
      </c>
      <c r="I156" s="17">
        <f>IFERROR(IF(F156="","",CEILING(G156/((IFERROR(B152,0)+IFERROR(G152,0))/(IFERROR('Getting Started'!C15,0)+IFERROR('Getting Started'!C23,0))),1)),"")</f>
        <v/>
      </c>
      <c r="J156" s="54">
        <f>IFERROR(IF(F156="","",TEXT('Getting Started'!C10+(H156-1)*7,"MMM D")&amp;" – "&amp;TEXT('Getting Started'!C10+I156*7,"MMM D")),"")</f>
        <v/>
      </c>
    </row>
    <row r="157" ht="18" customHeight="1">
      <c r="A157" s="53" t="n">
        <v>3</v>
      </c>
      <c r="B157" s="5" t="n"/>
      <c r="F157" s="32" t="n"/>
      <c r="G157" s="17">
        <f>IFERROR(SUM(F155:F157),"")</f>
        <v/>
      </c>
      <c r="H157" s="17">
        <f>IFERROR(IF(F157="","",FLOOR(G156/((IFERROR(B152,0)+IFERROR(G152,0))/(IFERROR('Getting Started'!C15,0)+IFERROR('Getting Started'!C23,0))),1)+1),"")</f>
        <v/>
      </c>
      <c r="I157" s="17">
        <f>IFERROR(IF(F157="","",CEILING(G157/((IFERROR(B152,0)+IFERROR(G152,0))/(IFERROR('Getting Started'!C15,0)+IFERROR('Getting Started'!C23,0))),1)),"")</f>
        <v/>
      </c>
      <c r="J157" s="54">
        <f>IFERROR(IF(F157="","",TEXT('Getting Started'!C10+(H157-1)*7,"MMM D")&amp;" – "&amp;TEXT('Getting Started'!C10+I157*7,"MMM D")),"")</f>
        <v/>
      </c>
    </row>
    <row r="158" ht="18" customHeight="1">
      <c r="A158" s="53" t="n">
        <v>4</v>
      </c>
      <c r="B158" s="18" t="n"/>
      <c r="F158" s="55" t="n"/>
      <c r="G158" s="17">
        <f>IFERROR(SUM(F155:F158),"")</f>
        <v/>
      </c>
      <c r="H158" s="17">
        <f>IFERROR(IF(F158="","",FLOOR(G157/((IFERROR(B152,0)+IFERROR(G152,0))/(IFERROR('Getting Started'!C15,0)+IFERROR('Getting Started'!C23,0))),1)+1),"")</f>
        <v/>
      </c>
      <c r="I158" s="17">
        <f>IFERROR(IF(F158="","",CEILING(G158/((IFERROR(B152,0)+IFERROR(G152,0))/(IFERROR('Getting Started'!C15,0)+IFERROR('Getting Started'!C23,0))),1)),"")</f>
        <v/>
      </c>
      <c r="J158" s="54">
        <f>IFERROR(IF(F158="","",TEXT('Getting Started'!C10+(H158-1)*7,"MMM D")&amp;" – "&amp;TEXT('Getting Started'!C10+I158*7,"MMM D")),"")</f>
        <v/>
      </c>
    </row>
    <row r="159" ht="18" customHeight="1">
      <c r="A159" s="53" t="n">
        <v>5</v>
      </c>
      <c r="B159" s="5" t="n"/>
      <c r="F159" s="32" t="n"/>
      <c r="G159" s="17">
        <f>IFERROR(SUM(F155:F159),"")</f>
        <v/>
      </c>
      <c r="H159" s="17">
        <f>IFERROR(IF(F159="","",FLOOR(G158/((IFERROR(B152,0)+IFERROR(G152,0))/(IFERROR('Getting Started'!C15,0)+IFERROR('Getting Started'!C23,0))),1)+1),"")</f>
        <v/>
      </c>
      <c r="I159" s="17">
        <f>IFERROR(IF(F159="","",CEILING(G159/((IFERROR(B152,0)+IFERROR(G152,0))/(IFERROR('Getting Started'!C15,0)+IFERROR('Getting Started'!C23,0))),1)),"")</f>
        <v/>
      </c>
      <c r="J159" s="54">
        <f>IFERROR(IF(F159="","",TEXT('Getting Started'!C10+(H159-1)*7,"MMM D")&amp;" – "&amp;TEXT('Getting Started'!C10+I159*7,"MMM D")),"")</f>
        <v/>
      </c>
    </row>
    <row r="160" ht="18" customHeight="1">
      <c r="A160" s="53" t="n">
        <v>6</v>
      </c>
      <c r="B160" s="18" t="n"/>
      <c r="F160" s="55" t="n"/>
      <c r="G160" s="17">
        <f>IFERROR(SUM(F155:F160),"")</f>
        <v/>
      </c>
      <c r="H160" s="17">
        <f>IFERROR(IF(F160="","",FLOOR(G159/((IFERROR(B152,0)+IFERROR(G152,0))/(IFERROR('Getting Started'!C15,0)+IFERROR('Getting Started'!C23,0))),1)+1),"")</f>
        <v/>
      </c>
      <c r="I160" s="17">
        <f>IFERROR(IF(F160="","",CEILING(G160/((IFERROR(B152,0)+IFERROR(G152,0))/(IFERROR('Getting Started'!C15,0)+IFERROR('Getting Started'!C23,0))),1)),"")</f>
        <v/>
      </c>
      <c r="J160" s="54">
        <f>IFERROR(IF(F160="","",TEXT('Getting Started'!C10+(H160-1)*7,"MMM D")&amp;" – "&amp;TEXT('Getting Started'!C10+I160*7,"MMM D")),"")</f>
        <v/>
      </c>
    </row>
    <row r="161" ht="20" customHeight="1">
      <c r="A161" s="56">
        <f>IFERROR(IF('Course Content'!I62="","",'Course Content'!I62),"")</f>
        <v/>
      </c>
    </row>
    <row r="162" ht="8" customHeight="1"/>
    <row r="163" ht="24" customHeight="1">
      <c r="A163" s="44">
        <f>IF('Course Content'!D63="","  ELECTIVE / OTHER 4","  "&amp;UPPER('Course Content'!D63))</f>
        <v/>
      </c>
      <c r="E163" s="45">
        <f>IFERROR(IF('Course Content'!E63="","← enter on Course Content tab",'Course Content'!E63),"")</f>
        <v/>
      </c>
    </row>
    <row r="164" ht="22" customHeight="1">
      <c r="B164" s="46">
        <f>'Course Content'!G63</f>
        <v/>
      </c>
      <c r="C164" s="47">
        <f>IFERROR(IF(B164="","",ROUND(B164/'Getting Started'!C15,1)),"")</f>
        <v/>
      </c>
      <c r="D164" s="47">
        <f>IFERROR(IF(C164="","",ROUND(C164/'Getting Started'!C7,1)),"")</f>
        <v/>
      </c>
      <c r="E164" s="48">
        <f>IFERROR(IF(B164="","",TEXT('Getting Started'!C10+(B164/D164),"MMM D, YYYY")),"")</f>
        <v/>
      </c>
      <c r="F164" s="39" t="n"/>
      <c r="G164" s="49">
        <f>'Course Content'!H63</f>
        <v/>
      </c>
      <c r="H164" s="50">
        <f>IFERROR(IF(G164="","",ROUND(G164/'Getting Started'!C23,1)),"")</f>
        <v/>
      </c>
      <c r="I164" s="50">
        <f>IFERROR(IF(H164="","",ROUND(H164/'Getting Started'!C7,1)),"")</f>
        <v/>
      </c>
      <c r="J164" s="51">
        <f>IFERROR(IF(G164="","",TEXT('Getting Started'!C18+(G164/I164),"MMM D, YYYY")),"")</f>
        <v/>
      </c>
    </row>
    <row r="165" ht="16" customHeight="1">
      <c r="A165" s="52" t="inlineStr">
        <is>
          <t xml:space="preserve">  Component Breakdown  (optional — use for multi-volume curricula)</t>
        </is>
      </c>
    </row>
    <row r="166" ht="22" customHeight="1">
      <c r="A166" s="28" t="inlineStr">
        <is>
          <t>#</t>
        </is>
      </c>
      <c r="B166" s="28" t="inlineStr">
        <is>
          <t>Book / Component Title</t>
        </is>
      </c>
      <c r="F166" s="28" t="inlineStr">
        <is>
          <t>Units</t>
        </is>
      </c>
      <c r="G166" s="28" t="inlineStr">
        <is>
          <t>Cumul.</t>
        </is>
      </c>
      <c r="H166" s="28" t="inlineStr">
        <is>
          <t>Start
Week</t>
        </is>
      </c>
      <c r="I166" s="28" t="inlineStr">
        <is>
          <t>End
Week</t>
        </is>
      </c>
      <c r="J166" s="28" t="inlineStr">
        <is>
          <t>Est. Dates</t>
        </is>
      </c>
    </row>
    <row r="167" ht="18" customHeight="1">
      <c r="A167" s="53" t="n">
        <v>1</v>
      </c>
      <c r="B167" s="5" t="n"/>
      <c r="F167" s="32" t="n"/>
      <c r="G167" s="17">
        <f>IFERROR(SUM(F167:F167),"")</f>
        <v/>
      </c>
      <c r="H167" s="17">
        <f>IF(F167="","",1)</f>
        <v/>
      </c>
      <c r="I167" s="17">
        <f>IFERROR(IF(F167="","",CEILING(G167/((IFERROR(B164,0)+IFERROR(G164,0))/(IFERROR('Getting Started'!C15,0)+IFERROR('Getting Started'!C23,0))),1)),"")</f>
        <v/>
      </c>
      <c r="J167" s="54">
        <f>IFERROR(IF(F167="","",TEXT('Getting Started'!C10+(H167-1)*7,"MMM D")&amp;" – "&amp;TEXT('Getting Started'!C10+I167*7,"MMM D")),"")</f>
        <v/>
      </c>
    </row>
    <row r="168" ht="18" customHeight="1">
      <c r="A168" s="53" t="n">
        <v>2</v>
      </c>
      <c r="B168" s="18" t="n"/>
      <c r="F168" s="55" t="n"/>
      <c r="G168" s="17">
        <f>IFERROR(SUM(F167:F168),"")</f>
        <v/>
      </c>
      <c r="H168" s="17">
        <f>IFERROR(IF(F168="","",FLOOR(G167/((IFERROR(B164,0)+IFERROR(G164,0))/(IFERROR('Getting Started'!C15,0)+IFERROR('Getting Started'!C23,0))),1)+1),"")</f>
        <v/>
      </c>
      <c r="I168" s="17">
        <f>IFERROR(IF(F168="","",CEILING(G168/((IFERROR(B164,0)+IFERROR(G164,0))/(IFERROR('Getting Started'!C15,0)+IFERROR('Getting Started'!C23,0))),1)),"")</f>
        <v/>
      </c>
      <c r="J168" s="54">
        <f>IFERROR(IF(F168="","",TEXT('Getting Started'!C10+(H168-1)*7,"MMM D")&amp;" – "&amp;TEXT('Getting Started'!C10+I168*7,"MMM D")),"")</f>
        <v/>
      </c>
    </row>
    <row r="169" ht="18" customHeight="1">
      <c r="A169" s="53" t="n">
        <v>3</v>
      </c>
      <c r="B169" s="5" t="n"/>
      <c r="F169" s="32" t="n"/>
      <c r="G169" s="17">
        <f>IFERROR(SUM(F167:F169),"")</f>
        <v/>
      </c>
      <c r="H169" s="17">
        <f>IFERROR(IF(F169="","",FLOOR(G168/((IFERROR(B164,0)+IFERROR(G164,0))/(IFERROR('Getting Started'!C15,0)+IFERROR('Getting Started'!C23,0))),1)+1),"")</f>
        <v/>
      </c>
      <c r="I169" s="17">
        <f>IFERROR(IF(F169="","",CEILING(G169/((IFERROR(B164,0)+IFERROR(G164,0))/(IFERROR('Getting Started'!C15,0)+IFERROR('Getting Started'!C23,0))),1)),"")</f>
        <v/>
      </c>
      <c r="J169" s="54">
        <f>IFERROR(IF(F169="","",TEXT('Getting Started'!C10+(H169-1)*7,"MMM D")&amp;" – "&amp;TEXT('Getting Started'!C10+I169*7,"MMM D")),"")</f>
        <v/>
      </c>
    </row>
    <row r="170" ht="18" customHeight="1">
      <c r="A170" s="53" t="n">
        <v>4</v>
      </c>
      <c r="B170" s="18" t="n"/>
      <c r="F170" s="55" t="n"/>
      <c r="G170" s="17">
        <f>IFERROR(SUM(F167:F170),"")</f>
        <v/>
      </c>
      <c r="H170" s="17">
        <f>IFERROR(IF(F170="","",FLOOR(G169/((IFERROR(B164,0)+IFERROR(G164,0))/(IFERROR('Getting Started'!C15,0)+IFERROR('Getting Started'!C23,0))),1)+1),"")</f>
        <v/>
      </c>
      <c r="I170" s="17">
        <f>IFERROR(IF(F170="","",CEILING(G170/((IFERROR(B164,0)+IFERROR(G164,0))/(IFERROR('Getting Started'!C15,0)+IFERROR('Getting Started'!C23,0))),1)),"")</f>
        <v/>
      </c>
      <c r="J170" s="54">
        <f>IFERROR(IF(F170="","",TEXT('Getting Started'!C10+(H170-1)*7,"MMM D")&amp;" – "&amp;TEXT('Getting Started'!C10+I170*7,"MMM D")),"")</f>
        <v/>
      </c>
    </row>
    <row r="171" ht="18" customHeight="1">
      <c r="A171" s="53" t="n">
        <v>5</v>
      </c>
      <c r="B171" s="5" t="n"/>
      <c r="F171" s="32" t="n"/>
      <c r="G171" s="17">
        <f>IFERROR(SUM(F167:F171),"")</f>
        <v/>
      </c>
      <c r="H171" s="17">
        <f>IFERROR(IF(F171="","",FLOOR(G170/((IFERROR(B164,0)+IFERROR(G164,0))/(IFERROR('Getting Started'!C15,0)+IFERROR('Getting Started'!C23,0))),1)+1),"")</f>
        <v/>
      </c>
      <c r="I171" s="17">
        <f>IFERROR(IF(F171="","",CEILING(G171/((IFERROR(B164,0)+IFERROR(G164,0))/(IFERROR('Getting Started'!C15,0)+IFERROR('Getting Started'!C23,0))),1)),"")</f>
        <v/>
      </c>
      <c r="J171" s="54">
        <f>IFERROR(IF(F171="","",TEXT('Getting Started'!C10+(H171-1)*7,"MMM D")&amp;" – "&amp;TEXT('Getting Started'!C10+I171*7,"MMM D")),"")</f>
        <v/>
      </c>
    </row>
    <row r="172" ht="18" customHeight="1">
      <c r="A172" s="53" t="n">
        <v>6</v>
      </c>
      <c r="B172" s="18" t="n"/>
      <c r="F172" s="55" t="n"/>
      <c r="G172" s="17">
        <f>IFERROR(SUM(F167:F172),"")</f>
        <v/>
      </c>
      <c r="H172" s="17">
        <f>IFERROR(IF(F172="","",FLOOR(G171/((IFERROR(B164,0)+IFERROR(G164,0))/(IFERROR('Getting Started'!C15,0)+IFERROR('Getting Started'!C23,0))),1)+1),"")</f>
        <v/>
      </c>
      <c r="I172" s="17">
        <f>IFERROR(IF(F172="","",CEILING(G172/((IFERROR(B164,0)+IFERROR(G164,0))/(IFERROR('Getting Started'!C15,0)+IFERROR('Getting Started'!C23,0))),1)),"")</f>
        <v/>
      </c>
      <c r="J172" s="54">
        <f>IFERROR(IF(F172="","",TEXT('Getting Started'!C10+(H172-1)*7,"MMM D")&amp;" – "&amp;TEXT('Getting Started'!C10+I172*7,"MMM D")),"")</f>
        <v/>
      </c>
    </row>
    <row r="173" ht="20" customHeight="1">
      <c r="A173" s="56">
        <f>IFERROR(IF('Course Content'!I63="","",'Course Content'!I63),"")</f>
        <v/>
      </c>
    </row>
    <row r="174" ht="8" customHeight="1"/>
  </sheetData>
  <mergeCells count="158">
    <mergeCell ref="B146:E146"/>
    <mergeCell ref="E19:J19"/>
    <mergeCell ref="B74:E74"/>
    <mergeCell ref="G4:J4"/>
    <mergeCell ref="A165:J165"/>
    <mergeCell ref="B123:E123"/>
    <mergeCell ref="B36:E36"/>
    <mergeCell ref="B76:E76"/>
    <mergeCell ref="B110:E110"/>
    <mergeCell ref="A93:J93"/>
    <mergeCell ref="A31:D31"/>
    <mergeCell ref="A173:J173"/>
    <mergeCell ref="B100:E100"/>
    <mergeCell ref="A77:J77"/>
    <mergeCell ref="B109:E109"/>
    <mergeCell ref="B47:E47"/>
    <mergeCell ref="B22:E22"/>
    <mergeCell ref="B155:E155"/>
    <mergeCell ref="B12:E12"/>
    <mergeCell ref="B86:E86"/>
    <mergeCell ref="A69:J69"/>
    <mergeCell ref="A7:D7"/>
    <mergeCell ref="B39:E39"/>
    <mergeCell ref="E139:J139"/>
    <mergeCell ref="B14:E14"/>
    <mergeCell ref="B136:E136"/>
    <mergeCell ref="B23:E23"/>
    <mergeCell ref="B13:E13"/>
    <mergeCell ref="A163:D163"/>
    <mergeCell ref="B38:E38"/>
    <mergeCell ref="B112:E112"/>
    <mergeCell ref="E79:J79"/>
    <mergeCell ref="B87:E87"/>
    <mergeCell ref="B40:E40"/>
    <mergeCell ref="B49:E49"/>
    <mergeCell ref="B64:E64"/>
    <mergeCell ref="A29:J29"/>
    <mergeCell ref="A81:J81"/>
    <mergeCell ref="A19:D19"/>
    <mergeCell ref="B51:E51"/>
    <mergeCell ref="A161:J161"/>
    <mergeCell ref="B63:E63"/>
    <mergeCell ref="B26:E26"/>
    <mergeCell ref="B154:E154"/>
    <mergeCell ref="B35:E35"/>
    <mergeCell ref="B50:E50"/>
    <mergeCell ref="B106:E106"/>
    <mergeCell ref="A127:D127"/>
    <mergeCell ref="E163:J163"/>
    <mergeCell ref="B16:E16"/>
    <mergeCell ref="B25:E25"/>
    <mergeCell ref="B156:E156"/>
    <mergeCell ref="E91:J91"/>
    <mergeCell ref="B131:E131"/>
    <mergeCell ref="B27:E27"/>
    <mergeCell ref="A79:D79"/>
    <mergeCell ref="E115:J115"/>
    <mergeCell ref="B130:E130"/>
    <mergeCell ref="B11:E11"/>
    <mergeCell ref="B61:E61"/>
    <mergeCell ref="A4:E4"/>
    <mergeCell ref="B132:E132"/>
    <mergeCell ref="B166:E166"/>
    <mergeCell ref="A149:J149"/>
    <mergeCell ref="B119:E119"/>
    <mergeCell ref="E127:J127"/>
    <mergeCell ref="A139:D139"/>
    <mergeCell ref="B37:E37"/>
    <mergeCell ref="A2:J2"/>
    <mergeCell ref="B168:E168"/>
    <mergeCell ref="B84:E84"/>
    <mergeCell ref="B118:E118"/>
    <mergeCell ref="A141:J141"/>
    <mergeCell ref="A91:D91"/>
    <mergeCell ref="B158:E158"/>
    <mergeCell ref="B15:E15"/>
    <mergeCell ref="B142:E142"/>
    <mergeCell ref="B24:E24"/>
    <mergeCell ref="A125:J125"/>
    <mergeCell ref="B95:E95"/>
    <mergeCell ref="A115:D115"/>
    <mergeCell ref="B160:E160"/>
    <mergeCell ref="B169:E169"/>
    <mergeCell ref="B144:E144"/>
    <mergeCell ref="B97:E97"/>
    <mergeCell ref="B72:E72"/>
    <mergeCell ref="B134:E134"/>
    <mergeCell ref="B121:E121"/>
    <mergeCell ref="A103:D103"/>
    <mergeCell ref="B122:E122"/>
    <mergeCell ref="B71:E71"/>
    <mergeCell ref="B58:E58"/>
    <mergeCell ref="B52:E52"/>
    <mergeCell ref="A153:J153"/>
    <mergeCell ref="B120:E120"/>
    <mergeCell ref="A137:J137"/>
    <mergeCell ref="B107:E107"/>
    <mergeCell ref="A41:J41"/>
    <mergeCell ref="B60:E60"/>
    <mergeCell ref="E151:J151"/>
    <mergeCell ref="B170:E170"/>
    <mergeCell ref="E55:J55"/>
    <mergeCell ref="B148:E148"/>
    <mergeCell ref="B157:E157"/>
    <mergeCell ref="E67:J67"/>
    <mergeCell ref="B171:E171"/>
    <mergeCell ref="A101:J101"/>
    <mergeCell ref="B34:E34"/>
    <mergeCell ref="B172:E172"/>
    <mergeCell ref="B28:E28"/>
    <mergeCell ref="B99:E99"/>
    <mergeCell ref="A33:J33"/>
    <mergeCell ref="B108:E108"/>
    <mergeCell ref="E103:J103"/>
    <mergeCell ref="B83:E83"/>
    <mergeCell ref="A17:J17"/>
    <mergeCell ref="B143:E143"/>
    <mergeCell ref="A53:J53"/>
    <mergeCell ref="E31:J31"/>
    <mergeCell ref="B124:E124"/>
    <mergeCell ref="A43:D43"/>
    <mergeCell ref="B133:E133"/>
    <mergeCell ref="B85:E85"/>
    <mergeCell ref="B94:E94"/>
    <mergeCell ref="A117:J117"/>
    <mergeCell ref="A67:D67"/>
    <mergeCell ref="B75:E75"/>
    <mergeCell ref="A9:J9"/>
    <mergeCell ref="B135:E135"/>
    <mergeCell ref="B62:E62"/>
    <mergeCell ref="B59:E59"/>
    <mergeCell ref="B46:E46"/>
    <mergeCell ref="B159:E159"/>
    <mergeCell ref="E7:J7"/>
    <mergeCell ref="A1:J1"/>
    <mergeCell ref="A45:J45"/>
    <mergeCell ref="B96:E96"/>
    <mergeCell ref="B167:E167"/>
    <mergeCell ref="B70:E70"/>
    <mergeCell ref="B48:E48"/>
    <mergeCell ref="A65:J65"/>
    <mergeCell ref="E43:J43"/>
    <mergeCell ref="B111:E111"/>
    <mergeCell ref="B145:E145"/>
    <mergeCell ref="B98:E98"/>
    <mergeCell ref="A89:J89"/>
    <mergeCell ref="B73:E73"/>
    <mergeCell ref="B88:E88"/>
    <mergeCell ref="B82:E82"/>
    <mergeCell ref="A21:J21"/>
    <mergeCell ref="A55:D55"/>
    <mergeCell ref="A105:J105"/>
    <mergeCell ref="B147:E147"/>
    <mergeCell ref="A57:J57"/>
    <mergeCell ref="A113:J113"/>
    <mergeCell ref="A151:D151"/>
    <mergeCell ref="B10:E10"/>
    <mergeCell ref="A129:J129"/>
  </mergeCells>
  <pageMargins left="0.75" right="0.75" top="1" bottom="1" header="0.5" footer="0.5"/>
</worksheet>
</file>

<file path=xl/worksheets/sheet7.xml><?xml version="1.0" encoding="utf-8"?>
<worksheet xmlns="http://schemas.openxmlformats.org/spreadsheetml/2006/main">
  <sheetPr>
    <tabColor rgb="005C8A8A"/>
    <outlinePr summaryBelow="1" summaryRight="1"/>
    <pageSetUpPr/>
  </sheetPr>
  <dimension ref="A1:J173"/>
  <sheetViews>
    <sheetView workbookViewId="0">
      <pane ySplit="6" topLeftCell="A7"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8" customWidth="1" min="5" max="5"/>
    <col width="4" customWidth="1" min="6" max="6"/>
    <col width="14" customWidth="1" min="7" max="7"/>
    <col width="14" customWidth="1" min="8" max="8"/>
    <col width="14" customWidth="1" min="9" max="9"/>
    <col width="18" customWidth="1" min="10" max="10"/>
  </cols>
  <sheetData>
    <row r="1" ht="40" customHeight="1">
      <c r="A1" s="1">
        <f>IF('Getting Started'!B33="","Student 5",'Getting Started'!B33)</f>
        <v/>
      </c>
    </row>
    <row r="2" ht="22" customHeight="1">
      <c r="A2" s="37">
        <f>IFERROR("Grade: "&amp;'Getting Started'!F33&amp;"   ·   School Year: "&amp;'Getting Started'!C6,"")</f>
        <v/>
      </c>
    </row>
    <row r="3" ht="8" customHeight="1"/>
    <row r="4" ht="22" customHeight="1">
      <c r="A4" s="38">
        <f>IFERROR("SEMESTER 1   "&amp;TEXT('Getting Started'!C10,"MMM D")&amp;" – "&amp;TEXT('Getting Started'!C11,"MMM D, YYYY")&amp;"   ("&amp;'Getting Started'!C15&amp;" wks)","SEMESTER 1")</f>
        <v/>
      </c>
      <c r="F4" s="39" t="n"/>
      <c r="G4" s="40">
        <f>IFERROR("SEMESTER 2   "&amp;TEXT('Getting Started'!C18,"MMM D")&amp;" – "&amp;TEXT('Getting Started'!C19,"MMM D, YYYY")&amp;"   ("&amp;'Getting Started'!C23&amp;" wks)","SEMESTER 2")</f>
        <v/>
      </c>
    </row>
    <row r="5" ht="24" customHeight="1">
      <c r="A5" s="28" t="inlineStr">
        <is>
          <t>Subject  /  Curriculum</t>
        </is>
      </c>
      <c r="B5" s="41" t="inlineStr">
        <is>
          <t>Sem 1
Units</t>
        </is>
      </c>
      <c r="C5" s="41" t="inlineStr">
        <is>
          <t>/ Week</t>
        </is>
      </c>
      <c r="D5" s="41" t="inlineStr">
        <is>
          <t>/ Day</t>
        </is>
      </c>
      <c r="E5" s="41" t="inlineStr">
        <is>
          <t>Est. End</t>
        </is>
      </c>
      <c r="F5" s="42" t="inlineStr"/>
      <c r="G5" s="43" t="inlineStr">
        <is>
          <t>Sem 2
Units</t>
        </is>
      </c>
      <c r="H5" s="43" t="inlineStr">
        <is>
          <t>/ Week</t>
        </is>
      </c>
      <c r="I5" s="43" t="inlineStr">
        <is>
          <t>/ Day</t>
        </is>
      </c>
      <c r="J5" s="43" t="inlineStr">
        <is>
          <t>Est. End</t>
        </is>
      </c>
    </row>
    <row r="6" ht="8" customHeight="1"/>
    <row r="7" ht="24" customHeight="1">
      <c r="A7" s="44" t="inlineStr">
        <is>
          <t xml:space="preserve">  BIBLE</t>
        </is>
      </c>
      <c r="E7" s="45">
        <f>IFERROR(IF('Course Content'!E64="","← enter on Course Content tab",'Course Content'!E64),"")</f>
        <v/>
      </c>
    </row>
    <row r="8" ht="22" customHeight="1">
      <c r="B8" s="46">
        <f>'Course Content'!G64</f>
        <v/>
      </c>
      <c r="C8" s="47">
        <f>IFERROR(IF(B8="","",ROUND(B8/'Getting Started'!C15,1)),"")</f>
        <v/>
      </c>
      <c r="D8" s="47">
        <f>IFERROR(IF(C8="","",ROUND(C8/'Getting Started'!C7,1)),"")</f>
        <v/>
      </c>
      <c r="E8" s="48">
        <f>IFERROR(IF(B8="","",TEXT('Getting Started'!C10+(B8/D8),"MMM D, YYYY")),"")</f>
        <v/>
      </c>
      <c r="F8" s="39" t="n"/>
      <c r="G8" s="49">
        <f>'Course Content'!H64</f>
        <v/>
      </c>
      <c r="H8" s="50">
        <f>IFERROR(IF(G8="","",ROUND(G8/'Getting Started'!C23,1)),"")</f>
        <v/>
      </c>
      <c r="I8" s="50">
        <f>IFERROR(IF(H8="","",ROUND(H8/'Getting Started'!C7,1)),"")</f>
        <v/>
      </c>
      <c r="J8" s="51">
        <f>IFERROR(IF(G8="","",TEXT('Getting Started'!C18+(G8/I8),"MMM D, YYYY")),"")</f>
        <v/>
      </c>
    </row>
    <row r="9" ht="16" customHeight="1">
      <c r="A9" s="52" t="inlineStr">
        <is>
          <t xml:space="preserve">  Component Breakdown  (optional — use for multi-volume curricula)</t>
        </is>
      </c>
    </row>
    <row r="10" ht="22" customHeight="1">
      <c r="A10" s="28" t="inlineStr">
        <is>
          <t>#</t>
        </is>
      </c>
      <c r="B10" s="28" t="inlineStr">
        <is>
          <t>Book / Component Title</t>
        </is>
      </c>
      <c r="F10" s="28" t="inlineStr">
        <is>
          <t>Units</t>
        </is>
      </c>
      <c r="G10" s="28" t="inlineStr">
        <is>
          <t>Cumul.</t>
        </is>
      </c>
      <c r="H10" s="28" t="inlineStr">
        <is>
          <t>Start
Week</t>
        </is>
      </c>
      <c r="I10" s="28" t="inlineStr">
        <is>
          <t>End
Week</t>
        </is>
      </c>
      <c r="J10" s="28" t="inlineStr">
        <is>
          <t>Est. Dates</t>
        </is>
      </c>
    </row>
    <row r="11" ht="18" customHeight="1">
      <c r="A11" s="53" t="n">
        <v>1</v>
      </c>
      <c r="B11" s="5" t="n"/>
      <c r="F11" s="32" t="n"/>
      <c r="G11" s="17">
        <f>IFERROR(SUM(F11:F11),"")</f>
        <v/>
      </c>
      <c r="H11" s="17">
        <f>IF(F11="","",1)</f>
        <v/>
      </c>
      <c r="I11" s="17">
        <f>IFERROR(IF(F11="","",CEILING(G11/((IFERROR(B8,0)+IFERROR(G8,0))/(IFERROR('Getting Started'!C15,0)+IFERROR('Getting Started'!C23,0))),1)),"")</f>
        <v/>
      </c>
      <c r="J11" s="54">
        <f>IFERROR(IF(F11="","",TEXT('Getting Started'!C10+(H11-1)*7,"MMM D")&amp;" – "&amp;TEXT('Getting Started'!C10+I11*7,"MMM D")),"")</f>
        <v/>
      </c>
    </row>
    <row r="12" ht="18" customHeight="1">
      <c r="A12" s="53" t="n">
        <v>2</v>
      </c>
      <c r="B12" s="18" t="n"/>
      <c r="F12" s="55" t="n"/>
      <c r="G12" s="17">
        <f>IFERROR(SUM(F11:F12),"")</f>
        <v/>
      </c>
      <c r="H12" s="17">
        <f>IFERROR(IF(F12="","",FLOOR(G11/((IFERROR(B8,0)+IFERROR(G8,0))/(IFERROR('Getting Started'!C15,0)+IFERROR('Getting Started'!C23,0))),1)+1),"")</f>
        <v/>
      </c>
      <c r="I12" s="17">
        <f>IFERROR(IF(F12="","",CEILING(G12/((IFERROR(B8,0)+IFERROR(G8,0))/(IFERROR('Getting Started'!C15,0)+IFERROR('Getting Started'!C23,0))),1)),"")</f>
        <v/>
      </c>
      <c r="J12" s="54">
        <f>IFERROR(IF(F12="","",TEXT('Getting Started'!C10+(H12-1)*7,"MMM D")&amp;" – "&amp;TEXT('Getting Started'!C10+I12*7,"MMM D")),"")</f>
        <v/>
      </c>
    </row>
    <row r="13" ht="18" customHeight="1">
      <c r="A13" s="53" t="n">
        <v>3</v>
      </c>
      <c r="B13" s="5" t="n"/>
      <c r="F13" s="32" t="n"/>
      <c r="G13" s="17">
        <f>IFERROR(SUM(F11:F13),"")</f>
        <v/>
      </c>
      <c r="H13" s="17">
        <f>IFERROR(IF(F13="","",FLOOR(G12/((IFERROR(B8,0)+IFERROR(G8,0))/(IFERROR('Getting Started'!C15,0)+IFERROR('Getting Started'!C23,0))),1)+1),"")</f>
        <v/>
      </c>
      <c r="I13" s="17">
        <f>IFERROR(IF(F13="","",CEILING(G13/((IFERROR(B8,0)+IFERROR(G8,0))/(IFERROR('Getting Started'!C15,0)+IFERROR('Getting Started'!C23,0))),1)),"")</f>
        <v/>
      </c>
      <c r="J13" s="54">
        <f>IFERROR(IF(F13="","",TEXT('Getting Started'!C10+(H13-1)*7,"MMM D")&amp;" – "&amp;TEXT('Getting Started'!C10+I13*7,"MMM D")),"")</f>
        <v/>
      </c>
    </row>
    <row r="14" ht="18" customHeight="1">
      <c r="A14" s="53" t="n">
        <v>4</v>
      </c>
      <c r="B14" s="18" t="n"/>
      <c r="F14" s="55" t="n"/>
      <c r="G14" s="17">
        <f>IFERROR(SUM(F11:F14),"")</f>
        <v/>
      </c>
      <c r="H14" s="17">
        <f>IFERROR(IF(F14="","",FLOOR(G13/((IFERROR(B8,0)+IFERROR(G8,0))/(IFERROR('Getting Started'!C15,0)+IFERROR('Getting Started'!C23,0))),1)+1),"")</f>
        <v/>
      </c>
      <c r="I14" s="17">
        <f>IFERROR(IF(F14="","",CEILING(G14/((IFERROR(B8,0)+IFERROR(G8,0))/(IFERROR('Getting Started'!C15,0)+IFERROR('Getting Started'!C23,0))),1)),"")</f>
        <v/>
      </c>
      <c r="J14" s="54">
        <f>IFERROR(IF(F14="","",TEXT('Getting Started'!C10+(H14-1)*7,"MMM D")&amp;" – "&amp;TEXT('Getting Started'!C10+I14*7,"MMM D")),"")</f>
        <v/>
      </c>
    </row>
    <row r="15" ht="18" customHeight="1">
      <c r="A15" s="53" t="n">
        <v>5</v>
      </c>
      <c r="B15" s="5" t="n"/>
      <c r="F15" s="32" t="n"/>
      <c r="G15" s="17">
        <f>IFERROR(SUM(F11:F15),"")</f>
        <v/>
      </c>
      <c r="H15" s="17">
        <f>IFERROR(IF(F15="","",FLOOR(G14/((IFERROR(B8,0)+IFERROR(G8,0))/(IFERROR('Getting Started'!C15,0)+IFERROR('Getting Started'!C23,0))),1)+1),"")</f>
        <v/>
      </c>
      <c r="I15" s="17">
        <f>IFERROR(IF(F15="","",CEILING(G15/((IFERROR(B8,0)+IFERROR(G8,0))/(IFERROR('Getting Started'!C15,0)+IFERROR('Getting Started'!C23,0))),1)),"")</f>
        <v/>
      </c>
      <c r="J15" s="54">
        <f>IFERROR(IF(F15="","",TEXT('Getting Started'!C10+(H15-1)*7,"MMM D")&amp;" – "&amp;TEXT('Getting Started'!C10+I15*7,"MMM D")),"")</f>
        <v/>
      </c>
    </row>
    <row r="16" ht="18" customHeight="1">
      <c r="A16" s="53" t="n">
        <v>6</v>
      </c>
      <c r="B16" s="18" t="n"/>
      <c r="F16" s="55" t="n"/>
      <c r="G16" s="17">
        <f>IFERROR(SUM(F11:F16),"")</f>
        <v/>
      </c>
      <c r="H16" s="17">
        <f>IFERROR(IF(F16="","",FLOOR(G15/((IFERROR(B8,0)+IFERROR(G8,0))/(IFERROR('Getting Started'!C15,0)+IFERROR('Getting Started'!C23,0))),1)+1),"")</f>
        <v/>
      </c>
      <c r="I16" s="17">
        <f>IFERROR(IF(F16="","",CEILING(G16/((IFERROR(B8,0)+IFERROR(G8,0))/(IFERROR('Getting Started'!C15,0)+IFERROR('Getting Started'!C23,0))),1)),"")</f>
        <v/>
      </c>
      <c r="J16" s="54">
        <f>IFERROR(IF(F16="","",TEXT('Getting Started'!C10+(H16-1)*7,"MMM D")&amp;" – "&amp;TEXT('Getting Started'!C10+I16*7,"MMM D")),"")</f>
        <v/>
      </c>
    </row>
    <row r="17" ht="20" customHeight="1">
      <c r="A17" s="56">
        <f>IFERROR(IF('Course Content'!I64="","",'Course Content'!I64),"")</f>
        <v/>
      </c>
    </row>
    <row r="18" ht="8" customHeight="1"/>
    <row r="19" ht="24" customHeight="1">
      <c r="A19" s="44" t="inlineStr">
        <is>
          <t xml:space="preserve">  MATH</t>
        </is>
      </c>
      <c r="E19" s="45">
        <f>IFERROR(IF('Course Content'!E65="","← enter on Course Content tab",'Course Content'!E65),"")</f>
        <v/>
      </c>
    </row>
    <row r="20" ht="22" customHeight="1">
      <c r="B20" s="46">
        <f>'Course Content'!G65</f>
        <v/>
      </c>
      <c r="C20" s="47">
        <f>IFERROR(IF(B20="","",ROUND(B20/'Getting Started'!C15,1)),"")</f>
        <v/>
      </c>
      <c r="D20" s="47">
        <f>IFERROR(IF(C20="","",ROUND(C20/'Getting Started'!C7,1)),"")</f>
        <v/>
      </c>
      <c r="E20" s="48">
        <f>IFERROR(IF(B20="","",TEXT('Getting Started'!C10+(B20/D20),"MMM D, YYYY")),"")</f>
        <v/>
      </c>
      <c r="F20" s="39" t="n"/>
      <c r="G20" s="49">
        <f>'Course Content'!H65</f>
        <v/>
      </c>
      <c r="H20" s="50">
        <f>IFERROR(IF(G20="","",ROUND(G20/'Getting Started'!C23,1)),"")</f>
        <v/>
      </c>
      <c r="I20" s="50">
        <f>IFERROR(IF(H20="","",ROUND(H20/'Getting Started'!C7,1)),"")</f>
        <v/>
      </c>
      <c r="J20" s="51">
        <f>IFERROR(IF(G20="","",TEXT('Getting Started'!C18+(G20/I20),"MMM D, YYYY")),"")</f>
        <v/>
      </c>
    </row>
    <row r="21" ht="16" customHeight="1">
      <c r="A21" s="52" t="inlineStr">
        <is>
          <t xml:space="preserve">  Component Breakdown  (optional — use for multi-volume curricula)</t>
        </is>
      </c>
    </row>
    <row r="22" ht="22" customHeight="1">
      <c r="A22" s="28" t="inlineStr">
        <is>
          <t>#</t>
        </is>
      </c>
      <c r="B22" s="28" t="inlineStr">
        <is>
          <t>Book / Component Title</t>
        </is>
      </c>
      <c r="F22" s="28" t="inlineStr">
        <is>
          <t>Units</t>
        </is>
      </c>
      <c r="G22" s="28" t="inlineStr">
        <is>
          <t>Cumul.</t>
        </is>
      </c>
      <c r="H22" s="28" t="inlineStr">
        <is>
          <t>Start
Week</t>
        </is>
      </c>
      <c r="I22" s="28" t="inlineStr">
        <is>
          <t>End
Week</t>
        </is>
      </c>
      <c r="J22" s="28" t="inlineStr">
        <is>
          <t>Est. Dates</t>
        </is>
      </c>
    </row>
    <row r="23" ht="18" customHeight="1">
      <c r="A23" s="53" t="n">
        <v>1</v>
      </c>
      <c r="B23" s="5" t="n"/>
      <c r="F23" s="32" t="n"/>
      <c r="G23" s="17">
        <f>IFERROR(SUM(F23:F23),"")</f>
        <v/>
      </c>
      <c r="H23" s="17">
        <f>IF(F23="","",1)</f>
        <v/>
      </c>
      <c r="I23" s="17">
        <f>IFERROR(IF(F23="","",CEILING(G23/((IFERROR(B20,0)+IFERROR(G20,0))/(IFERROR('Getting Started'!C15,0)+IFERROR('Getting Started'!C23,0))),1)),"")</f>
        <v/>
      </c>
      <c r="J23" s="54">
        <f>IFERROR(IF(F23="","",TEXT('Getting Started'!C10+(H23-1)*7,"MMM D")&amp;" – "&amp;TEXT('Getting Started'!C10+I23*7,"MMM D")),"")</f>
        <v/>
      </c>
    </row>
    <row r="24" ht="18" customHeight="1">
      <c r="A24" s="53" t="n">
        <v>2</v>
      </c>
      <c r="B24" s="18" t="n"/>
      <c r="F24" s="55" t="n"/>
      <c r="G24" s="17">
        <f>IFERROR(SUM(F23:F24),"")</f>
        <v/>
      </c>
      <c r="H24" s="17">
        <f>IFERROR(IF(F24="","",FLOOR(G23/((IFERROR(B20,0)+IFERROR(G20,0))/(IFERROR('Getting Started'!C15,0)+IFERROR('Getting Started'!C23,0))),1)+1),"")</f>
        <v/>
      </c>
      <c r="I24" s="17">
        <f>IFERROR(IF(F24="","",CEILING(G24/((IFERROR(B20,0)+IFERROR(G20,0))/(IFERROR('Getting Started'!C15,0)+IFERROR('Getting Started'!C23,0))),1)),"")</f>
        <v/>
      </c>
      <c r="J24" s="54">
        <f>IFERROR(IF(F24="","",TEXT('Getting Started'!C10+(H24-1)*7,"MMM D")&amp;" – "&amp;TEXT('Getting Started'!C10+I24*7,"MMM D")),"")</f>
        <v/>
      </c>
    </row>
    <row r="25" ht="18" customHeight="1">
      <c r="A25" s="53" t="n">
        <v>3</v>
      </c>
      <c r="B25" s="5" t="n"/>
      <c r="F25" s="32" t="n"/>
      <c r="G25" s="17">
        <f>IFERROR(SUM(F23:F25),"")</f>
        <v/>
      </c>
      <c r="H25" s="17">
        <f>IFERROR(IF(F25="","",FLOOR(G24/((IFERROR(B20,0)+IFERROR(G20,0))/(IFERROR('Getting Started'!C15,0)+IFERROR('Getting Started'!C23,0))),1)+1),"")</f>
        <v/>
      </c>
      <c r="I25" s="17">
        <f>IFERROR(IF(F25="","",CEILING(G25/((IFERROR(B20,0)+IFERROR(G20,0))/(IFERROR('Getting Started'!C15,0)+IFERROR('Getting Started'!C23,0))),1)),"")</f>
        <v/>
      </c>
      <c r="J25" s="54">
        <f>IFERROR(IF(F25="","",TEXT('Getting Started'!C10+(H25-1)*7,"MMM D")&amp;" – "&amp;TEXT('Getting Started'!C10+I25*7,"MMM D")),"")</f>
        <v/>
      </c>
    </row>
    <row r="26" ht="18" customHeight="1">
      <c r="A26" s="53" t="n">
        <v>4</v>
      </c>
      <c r="B26" s="18" t="n"/>
      <c r="F26" s="55" t="n"/>
      <c r="G26" s="17">
        <f>IFERROR(SUM(F23:F26),"")</f>
        <v/>
      </c>
      <c r="H26" s="17">
        <f>IFERROR(IF(F26="","",FLOOR(G25/((IFERROR(B20,0)+IFERROR(G20,0))/(IFERROR('Getting Started'!C15,0)+IFERROR('Getting Started'!C23,0))),1)+1),"")</f>
        <v/>
      </c>
      <c r="I26" s="17">
        <f>IFERROR(IF(F26="","",CEILING(G26/((IFERROR(B20,0)+IFERROR(G20,0))/(IFERROR('Getting Started'!C15,0)+IFERROR('Getting Started'!C23,0))),1)),"")</f>
        <v/>
      </c>
      <c r="J26" s="54">
        <f>IFERROR(IF(F26="","",TEXT('Getting Started'!C10+(H26-1)*7,"MMM D")&amp;" – "&amp;TEXT('Getting Started'!C10+I26*7,"MMM D")),"")</f>
        <v/>
      </c>
    </row>
    <row r="27" ht="18" customHeight="1">
      <c r="A27" s="53" t="n">
        <v>5</v>
      </c>
      <c r="B27" s="5" t="n"/>
      <c r="F27" s="32" t="n"/>
      <c r="G27" s="17">
        <f>IFERROR(SUM(F23:F27),"")</f>
        <v/>
      </c>
      <c r="H27" s="17">
        <f>IFERROR(IF(F27="","",FLOOR(G26/((IFERROR(B20,0)+IFERROR(G20,0))/(IFERROR('Getting Started'!C15,0)+IFERROR('Getting Started'!C23,0))),1)+1),"")</f>
        <v/>
      </c>
      <c r="I27" s="17">
        <f>IFERROR(IF(F27="","",CEILING(G27/((IFERROR(B20,0)+IFERROR(G20,0))/(IFERROR('Getting Started'!C15,0)+IFERROR('Getting Started'!C23,0))),1)),"")</f>
        <v/>
      </c>
      <c r="J27" s="54">
        <f>IFERROR(IF(F27="","",TEXT('Getting Started'!C10+(H27-1)*7,"MMM D")&amp;" – "&amp;TEXT('Getting Started'!C10+I27*7,"MMM D")),"")</f>
        <v/>
      </c>
    </row>
    <row r="28" ht="18" customHeight="1">
      <c r="A28" s="53" t="n">
        <v>6</v>
      </c>
      <c r="B28" s="18" t="n"/>
      <c r="F28" s="55" t="n"/>
      <c r="G28" s="17">
        <f>IFERROR(SUM(F23:F28),"")</f>
        <v/>
      </c>
      <c r="H28" s="17">
        <f>IFERROR(IF(F28="","",FLOOR(G27/((IFERROR(B20,0)+IFERROR(G20,0))/(IFERROR('Getting Started'!C15,0)+IFERROR('Getting Started'!C23,0))),1)+1),"")</f>
        <v/>
      </c>
      <c r="I28" s="17">
        <f>IFERROR(IF(F28="","",CEILING(G28/((IFERROR(B20,0)+IFERROR(G20,0))/(IFERROR('Getting Started'!C15,0)+IFERROR('Getting Started'!C23,0))),1)),"")</f>
        <v/>
      </c>
      <c r="J28" s="54">
        <f>IFERROR(IF(F28="","",TEXT('Getting Started'!C10+(H28-1)*7,"MMM D")&amp;" – "&amp;TEXT('Getting Started'!C10+I28*7,"MMM D")),"")</f>
        <v/>
      </c>
    </row>
    <row r="29" ht="20" customHeight="1">
      <c r="A29" s="56">
        <f>IFERROR(IF('Course Content'!I65="","",'Course Content'!I65),"")</f>
        <v/>
      </c>
    </row>
    <row r="30" ht="8" customHeight="1"/>
    <row r="31" ht="24" customHeight="1">
      <c r="A31" s="44" t="inlineStr">
        <is>
          <t xml:space="preserve">  ENGLISH / LANGUAGE ARTS</t>
        </is>
      </c>
      <c r="E31" s="45">
        <f>IFERROR(IF('Course Content'!E66="","← enter on Course Content tab",'Course Content'!E66),"")</f>
        <v/>
      </c>
    </row>
    <row r="32" ht="22" customHeight="1">
      <c r="B32" s="46">
        <f>'Course Content'!G66</f>
        <v/>
      </c>
      <c r="C32" s="47">
        <f>IFERROR(IF(B32="","",ROUND(B32/'Getting Started'!C15,1)),"")</f>
        <v/>
      </c>
      <c r="D32" s="47">
        <f>IFERROR(IF(C32="","",ROUND(C32/'Getting Started'!C7,1)),"")</f>
        <v/>
      </c>
      <c r="E32" s="48">
        <f>IFERROR(IF(B32="","",TEXT('Getting Started'!C10+(B32/D32),"MMM D, YYYY")),"")</f>
        <v/>
      </c>
      <c r="F32" s="39" t="n"/>
      <c r="G32" s="49">
        <f>'Course Content'!H66</f>
        <v/>
      </c>
      <c r="H32" s="50">
        <f>IFERROR(IF(G32="","",ROUND(G32/'Getting Started'!C23,1)),"")</f>
        <v/>
      </c>
      <c r="I32" s="50">
        <f>IFERROR(IF(H32="","",ROUND(H32/'Getting Started'!C7,1)),"")</f>
        <v/>
      </c>
      <c r="J32" s="51">
        <f>IFERROR(IF(G32="","",TEXT('Getting Started'!C18+(G32/I32),"MMM D, YYYY")),"")</f>
        <v/>
      </c>
    </row>
    <row r="33" ht="16" customHeight="1">
      <c r="A33" s="52" t="inlineStr">
        <is>
          <t xml:space="preserve">  Component Breakdown  (optional — use for multi-volume curricula)</t>
        </is>
      </c>
    </row>
    <row r="34" ht="22" customHeight="1">
      <c r="A34" s="28" t="inlineStr">
        <is>
          <t>#</t>
        </is>
      </c>
      <c r="B34" s="28" t="inlineStr">
        <is>
          <t>Book / Component Title</t>
        </is>
      </c>
      <c r="F34" s="28" t="inlineStr">
        <is>
          <t>Units</t>
        </is>
      </c>
      <c r="G34" s="28" t="inlineStr">
        <is>
          <t>Cumul.</t>
        </is>
      </c>
      <c r="H34" s="28" t="inlineStr">
        <is>
          <t>Start
Week</t>
        </is>
      </c>
      <c r="I34" s="28" t="inlineStr">
        <is>
          <t>End
Week</t>
        </is>
      </c>
      <c r="J34" s="28" t="inlineStr">
        <is>
          <t>Est. Dates</t>
        </is>
      </c>
    </row>
    <row r="35" ht="18" customHeight="1">
      <c r="A35" s="53" t="n">
        <v>1</v>
      </c>
      <c r="B35" s="5" t="n"/>
      <c r="F35" s="32" t="n"/>
      <c r="G35" s="17">
        <f>IFERROR(SUM(F35:F35),"")</f>
        <v/>
      </c>
      <c r="H35" s="17">
        <f>IF(F35="","",1)</f>
        <v/>
      </c>
      <c r="I35" s="17">
        <f>IFERROR(IF(F35="","",CEILING(G35/((IFERROR(B32,0)+IFERROR(G32,0))/(IFERROR('Getting Started'!C15,0)+IFERROR('Getting Started'!C23,0))),1)),"")</f>
        <v/>
      </c>
      <c r="J35" s="54">
        <f>IFERROR(IF(F35="","",TEXT('Getting Started'!C10+(H35-1)*7,"MMM D")&amp;" – "&amp;TEXT('Getting Started'!C10+I35*7,"MMM D")),"")</f>
        <v/>
      </c>
    </row>
    <row r="36" ht="18" customHeight="1">
      <c r="A36" s="53" t="n">
        <v>2</v>
      </c>
      <c r="B36" s="18" t="n"/>
      <c r="F36" s="55" t="n"/>
      <c r="G36" s="17">
        <f>IFERROR(SUM(F35:F36),"")</f>
        <v/>
      </c>
      <c r="H36" s="17">
        <f>IFERROR(IF(F36="","",FLOOR(G35/((IFERROR(B32,0)+IFERROR(G32,0))/(IFERROR('Getting Started'!C15,0)+IFERROR('Getting Started'!C23,0))),1)+1),"")</f>
        <v/>
      </c>
      <c r="I36" s="17">
        <f>IFERROR(IF(F36="","",CEILING(G36/((IFERROR(B32,0)+IFERROR(G32,0))/(IFERROR('Getting Started'!C15,0)+IFERROR('Getting Started'!C23,0))),1)),"")</f>
        <v/>
      </c>
      <c r="J36" s="54">
        <f>IFERROR(IF(F36="","",TEXT('Getting Started'!C10+(H36-1)*7,"MMM D")&amp;" – "&amp;TEXT('Getting Started'!C10+I36*7,"MMM D")),"")</f>
        <v/>
      </c>
    </row>
    <row r="37" ht="18" customHeight="1">
      <c r="A37" s="53" t="n">
        <v>3</v>
      </c>
      <c r="B37" s="5" t="n"/>
      <c r="F37" s="32" t="n"/>
      <c r="G37" s="17">
        <f>IFERROR(SUM(F35:F37),"")</f>
        <v/>
      </c>
      <c r="H37" s="17">
        <f>IFERROR(IF(F37="","",FLOOR(G36/((IFERROR(B32,0)+IFERROR(G32,0))/(IFERROR('Getting Started'!C15,0)+IFERROR('Getting Started'!C23,0))),1)+1),"")</f>
        <v/>
      </c>
      <c r="I37" s="17">
        <f>IFERROR(IF(F37="","",CEILING(G37/((IFERROR(B32,0)+IFERROR(G32,0))/(IFERROR('Getting Started'!C15,0)+IFERROR('Getting Started'!C23,0))),1)),"")</f>
        <v/>
      </c>
      <c r="J37" s="54">
        <f>IFERROR(IF(F37="","",TEXT('Getting Started'!C10+(H37-1)*7,"MMM D")&amp;" – "&amp;TEXT('Getting Started'!C10+I37*7,"MMM D")),"")</f>
        <v/>
      </c>
    </row>
    <row r="38" ht="18" customHeight="1">
      <c r="A38" s="53" t="n">
        <v>4</v>
      </c>
      <c r="B38" s="18" t="n"/>
      <c r="F38" s="55" t="n"/>
      <c r="G38" s="17">
        <f>IFERROR(SUM(F35:F38),"")</f>
        <v/>
      </c>
      <c r="H38" s="17">
        <f>IFERROR(IF(F38="","",FLOOR(G37/((IFERROR(B32,0)+IFERROR(G32,0))/(IFERROR('Getting Started'!C15,0)+IFERROR('Getting Started'!C23,0))),1)+1),"")</f>
        <v/>
      </c>
      <c r="I38" s="17">
        <f>IFERROR(IF(F38="","",CEILING(G38/((IFERROR(B32,0)+IFERROR(G32,0))/(IFERROR('Getting Started'!C15,0)+IFERROR('Getting Started'!C23,0))),1)),"")</f>
        <v/>
      </c>
      <c r="J38" s="54">
        <f>IFERROR(IF(F38="","",TEXT('Getting Started'!C10+(H38-1)*7,"MMM D")&amp;" – "&amp;TEXT('Getting Started'!C10+I38*7,"MMM D")),"")</f>
        <v/>
      </c>
    </row>
    <row r="39" ht="18" customHeight="1">
      <c r="A39" s="53" t="n">
        <v>5</v>
      </c>
      <c r="B39" s="5" t="n"/>
      <c r="F39" s="32" t="n"/>
      <c r="G39" s="17">
        <f>IFERROR(SUM(F35:F39),"")</f>
        <v/>
      </c>
      <c r="H39" s="17">
        <f>IFERROR(IF(F39="","",FLOOR(G38/((IFERROR(B32,0)+IFERROR(G32,0))/(IFERROR('Getting Started'!C15,0)+IFERROR('Getting Started'!C23,0))),1)+1),"")</f>
        <v/>
      </c>
      <c r="I39" s="17">
        <f>IFERROR(IF(F39="","",CEILING(G39/((IFERROR(B32,0)+IFERROR(G32,0))/(IFERROR('Getting Started'!C15,0)+IFERROR('Getting Started'!C23,0))),1)),"")</f>
        <v/>
      </c>
      <c r="J39" s="54">
        <f>IFERROR(IF(F39="","",TEXT('Getting Started'!C10+(H39-1)*7,"MMM D")&amp;" – "&amp;TEXT('Getting Started'!C10+I39*7,"MMM D")),"")</f>
        <v/>
      </c>
    </row>
    <row r="40" ht="18" customHeight="1">
      <c r="A40" s="53" t="n">
        <v>6</v>
      </c>
      <c r="B40" s="18" t="n"/>
      <c r="F40" s="55" t="n"/>
      <c r="G40" s="17">
        <f>IFERROR(SUM(F35:F40),"")</f>
        <v/>
      </c>
      <c r="H40" s="17">
        <f>IFERROR(IF(F40="","",FLOOR(G39/((IFERROR(B32,0)+IFERROR(G32,0))/(IFERROR('Getting Started'!C15,0)+IFERROR('Getting Started'!C23,0))),1)+1),"")</f>
        <v/>
      </c>
      <c r="I40" s="17">
        <f>IFERROR(IF(F40="","",CEILING(G40/((IFERROR(B32,0)+IFERROR(G32,0))/(IFERROR('Getting Started'!C15,0)+IFERROR('Getting Started'!C23,0))),1)),"")</f>
        <v/>
      </c>
      <c r="J40" s="54">
        <f>IFERROR(IF(F40="","",TEXT('Getting Started'!C10+(H40-1)*7,"MMM D")&amp;" – "&amp;TEXT('Getting Started'!C10+I40*7,"MMM D")),"")</f>
        <v/>
      </c>
    </row>
    <row r="41" ht="20" customHeight="1">
      <c r="A41" s="56">
        <f>IFERROR(IF('Course Content'!I66="","",'Course Content'!I66),"")</f>
        <v/>
      </c>
    </row>
    <row r="42" ht="8" customHeight="1"/>
    <row r="43" ht="24" customHeight="1">
      <c r="A43" s="44" t="inlineStr">
        <is>
          <t xml:space="preserve">  READING</t>
        </is>
      </c>
      <c r="E43" s="45">
        <f>IFERROR(IF('Course Content'!E67="","← enter on Course Content tab",'Course Content'!E67),"")</f>
        <v/>
      </c>
    </row>
    <row r="44" ht="22" customHeight="1">
      <c r="B44" s="46">
        <f>'Course Content'!G67</f>
        <v/>
      </c>
      <c r="C44" s="47">
        <f>IFERROR(IF(B44="","",ROUND(B44/'Getting Started'!C15,1)),"")</f>
        <v/>
      </c>
      <c r="D44" s="47">
        <f>IFERROR(IF(C44="","",ROUND(C44/'Getting Started'!C7,1)),"")</f>
        <v/>
      </c>
      <c r="E44" s="48">
        <f>IFERROR(IF(B44="","",TEXT('Getting Started'!C10+(B44/D44),"MMM D, YYYY")),"")</f>
        <v/>
      </c>
      <c r="F44" s="39" t="n"/>
      <c r="G44" s="49">
        <f>'Course Content'!H67</f>
        <v/>
      </c>
      <c r="H44" s="50">
        <f>IFERROR(IF(G44="","",ROUND(G44/'Getting Started'!C23,1)),"")</f>
        <v/>
      </c>
      <c r="I44" s="50">
        <f>IFERROR(IF(H44="","",ROUND(H44/'Getting Started'!C7,1)),"")</f>
        <v/>
      </c>
      <c r="J44" s="51">
        <f>IFERROR(IF(G44="","",TEXT('Getting Started'!C18+(G44/I44),"MMM D, YYYY")),"")</f>
        <v/>
      </c>
    </row>
    <row r="45" ht="16" customHeight="1">
      <c r="A45" s="52" t="inlineStr">
        <is>
          <t xml:space="preserve">  Component Breakdown  (optional — use for multi-volume curricula)</t>
        </is>
      </c>
    </row>
    <row r="46" ht="22" customHeight="1">
      <c r="A46" s="28" t="inlineStr">
        <is>
          <t>#</t>
        </is>
      </c>
      <c r="B46" s="28" t="inlineStr">
        <is>
          <t>Book / Component Title</t>
        </is>
      </c>
      <c r="F46" s="28" t="inlineStr">
        <is>
          <t>Units</t>
        </is>
      </c>
      <c r="G46" s="28" t="inlineStr">
        <is>
          <t>Cumul.</t>
        </is>
      </c>
      <c r="H46" s="28" t="inlineStr">
        <is>
          <t>Start
Week</t>
        </is>
      </c>
      <c r="I46" s="28" t="inlineStr">
        <is>
          <t>End
Week</t>
        </is>
      </c>
      <c r="J46" s="28" t="inlineStr">
        <is>
          <t>Est. Dates</t>
        </is>
      </c>
    </row>
    <row r="47" ht="18" customHeight="1">
      <c r="A47" s="53" t="n">
        <v>1</v>
      </c>
      <c r="B47" s="5" t="n"/>
      <c r="F47" s="32" t="n"/>
      <c r="G47" s="17">
        <f>IFERROR(SUM(F47:F47),"")</f>
        <v/>
      </c>
      <c r="H47" s="17">
        <f>IF(F47="","",1)</f>
        <v/>
      </c>
      <c r="I47" s="17">
        <f>IFERROR(IF(F47="","",CEILING(G47/((IFERROR(B44,0)+IFERROR(G44,0))/(IFERROR('Getting Started'!C15,0)+IFERROR('Getting Started'!C23,0))),1)),"")</f>
        <v/>
      </c>
      <c r="J47" s="54">
        <f>IFERROR(IF(F47="","",TEXT('Getting Started'!C10+(H47-1)*7,"MMM D")&amp;" – "&amp;TEXT('Getting Started'!C10+I47*7,"MMM D")),"")</f>
        <v/>
      </c>
    </row>
    <row r="48" ht="18" customHeight="1">
      <c r="A48" s="53" t="n">
        <v>2</v>
      </c>
      <c r="B48" s="18" t="n"/>
      <c r="F48" s="55" t="n"/>
      <c r="G48" s="17">
        <f>IFERROR(SUM(F47:F48),"")</f>
        <v/>
      </c>
      <c r="H48" s="17">
        <f>IFERROR(IF(F48="","",FLOOR(G47/((IFERROR(B44,0)+IFERROR(G44,0))/(IFERROR('Getting Started'!C15,0)+IFERROR('Getting Started'!C23,0))),1)+1),"")</f>
        <v/>
      </c>
      <c r="I48" s="17">
        <f>IFERROR(IF(F48="","",CEILING(G48/((IFERROR(B44,0)+IFERROR(G44,0))/(IFERROR('Getting Started'!C15,0)+IFERROR('Getting Started'!C23,0))),1)),"")</f>
        <v/>
      </c>
      <c r="J48" s="54">
        <f>IFERROR(IF(F48="","",TEXT('Getting Started'!C10+(H48-1)*7,"MMM D")&amp;" – "&amp;TEXT('Getting Started'!C10+I48*7,"MMM D")),"")</f>
        <v/>
      </c>
    </row>
    <row r="49" ht="18" customHeight="1">
      <c r="A49" s="53" t="n">
        <v>3</v>
      </c>
      <c r="B49" s="5" t="n"/>
      <c r="F49" s="32" t="n"/>
      <c r="G49" s="17">
        <f>IFERROR(SUM(F47:F49),"")</f>
        <v/>
      </c>
      <c r="H49" s="17">
        <f>IFERROR(IF(F49="","",FLOOR(G48/((IFERROR(B44,0)+IFERROR(G44,0))/(IFERROR('Getting Started'!C15,0)+IFERROR('Getting Started'!C23,0))),1)+1),"")</f>
        <v/>
      </c>
      <c r="I49" s="17">
        <f>IFERROR(IF(F49="","",CEILING(G49/((IFERROR(B44,0)+IFERROR(G44,0))/(IFERROR('Getting Started'!C15,0)+IFERROR('Getting Started'!C23,0))),1)),"")</f>
        <v/>
      </c>
      <c r="J49" s="54">
        <f>IFERROR(IF(F49="","",TEXT('Getting Started'!C10+(H49-1)*7,"MMM D")&amp;" – "&amp;TEXT('Getting Started'!C10+I49*7,"MMM D")),"")</f>
        <v/>
      </c>
    </row>
    <row r="50" ht="18" customHeight="1">
      <c r="A50" s="53" t="n">
        <v>4</v>
      </c>
      <c r="B50" s="18" t="n"/>
      <c r="F50" s="55" t="n"/>
      <c r="G50" s="17">
        <f>IFERROR(SUM(F47:F50),"")</f>
        <v/>
      </c>
      <c r="H50" s="17">
        <f>IFERROR(IF(F50="","",FLOOR(G49/((IFERROR(B44,0)+IFERROR(G44,0))/(IFERROR('Getting Started'!C15,0)+IFERROR('Getting Started'!C23,0))),1)+1),"")</f>
        <v/>
      </c>
      <c r="I50" s="17">
        <f>IFERROR(IF(F50="","",CEILING(G50/((IFERROR(B44,0)+IFERROR(G44,0))/(IFERROR('Getting Started'!C15,0)+IFERROR('Getting Started'!C23,0))),1)),"")</f>
        <v/>
      </c>
      <c r="J50" s="54">
        <f>IFERROR(IF(F50="","",TEXT('Getting Started'!C10+(H50-1)*7,"MMM D")&amp;" – "&amp;TEXT('Getting Started'!C10+I50*7,"MMM D")),"")</f>
        <v/>
      </c>
    </row>
    <row r="51" ht="18" customHeight="1">
      <c r="A51" s="53" t="n">
        <v>5</v>
      </c>
      <c r="B51" s="5" t="n"/>
      <c r="F51" s="32" t="n"/>
      <c r="G51" s="17">
        <f>IFERROR(SUM(F47:F51),"")</f>
        <v/>
      </c>
      <c r="H51" s="17">
        <f>IFERROR(IF(F51="","",FLOOR(G50/((IFERROR(B44,0)+IFERROR(G44,0))/(IFERROR('Getting Started'!C15,0)+IFERROR('Getting Started'!C23,0))),1)+1),"")</f>
        <v/>
      </c>
      <c r="I51" s="17">
        <f>IFERROR(IF(F51="","",CEILING(G51/((IFERROR(B44,0)+IFERROR(G44,0))/(IFERROR('Getting Started'!C15,0)+IFERROR('Getting Started'!C23,0))),1)),"")</f>
        <v/>
      </c>
      <c r="J51" s="54">
        <f>IFERROR(IF(F51="","",TEXT('Getting Started'!C10+(H51-1)*7,"MMM D")&amp;" – "&amp;TEXT('Getting Started'!C10+I51*7,"MMM D")),"")</f>
        <v/>
      </c>
    </row>
    <row r="52" ht="18" customHeight="1">
      <c r="A52" s="53" t="n">
        <v>6</v>
      </c>
      <c r="B52" s="18" t="n"/>
      <c r="F52" s="55" t="n"/>
      <c r="G52" s="17">
        <f>IFERROR(SUM(F47:F52),"")</f>
        <v/>
      </c>
      <c r="H52" s="17">
        <f>IFERROR(IF(F52="","",FLOOR(G51/((IFERROR(B44,0)+IFERROR(G44,0))/(IFERROR('Getting Started'!C15,0)+IFERROR('Getting Started'!C23,0))),1)+1),"")</f>
        <v/>
      </c>
      <c r="I52" s="17">
        <f>IFERROR(IF(F52="","",CEILING(G52/((IFERROR(B44,0)+IFERROR(G44,0))/(IFERROR('Getting Started'!C15,0)+IFERROR('Getting Started'!C23,0))),1)),"")</f>
        <v/>
      </c>
      <c r="J52" s="54">
        <f>IFERROR(IF(F52="","",TEXT('Getting Started'!C10+(H52-1)*7,"MMM D")&amp;" – "&amp;TEXT('Getting Started'!C10+I52*7,"MMM D")),"")</f>
        <v/>
      </c>
    </row>
    <row r="53" ht="20" customHeight="1">
      <c r="A53" s="56">
        <f>IFERROR(IF('Course Content'!I67="","",'Course Content'!I67),"")</f>
        <v/>
      </c>
    </row>
    <row r="54" ht="8" customHeight="1"/>
    <row r="55" ht="24" customHeight="1">
      <c r="A55" s="44" t="inlineStr">
        <is>
          <t xml:space="preserve">  WRITING / COMPOSITION</t>
        </is>
      </c>
      <c r="E55" s="45">
        <f>IFERROR(IF('Course Content'!E68="","← enter on Course Content tab",'Course Content'!E68),"")</f>
        <v/>
      </c>
    </row>
    <row r="56" ht="22" customHeight="1">
      <c r="B56" s="46">
        <f>'Course Content'!G68</f>
        <v/>
      </c>
      <c r="C56" s="47">
        <f>IFERROR(IF(B56="","",ROUND(B56/'Getting Started'!C15,1)),"")</f>
        <v/>
      </c>
      <c r="D56" s="47">
        <f>IFERROR(IF(C56="","",ROUND(C56/'Getting Started'!C7,1)),"")</f>
        <v/>
      </c>
      <c r="E56" s="48">
        <f>IFERROR(IF(B56="","",TEXT('Getting Started'!C10+(B56/D56),"MMM D, YYYY")),"")</f>
        <v/>
      </c>
      <c r="F56" s="39" t="n"/>
      <c r="G56" s="49">
        <f>'Course Content'!H68</f>
        <v/>
      </c>
      <c r="H56" s="50">
        <f>IFERROR(IF(G56="","",ROUND(G56/'Getting Started'!C23,1)),"")</f>
        <v/>
      </c>
      <c r="I56" s="50">
        <f>IFERROR(IF(H56="","",ROUND(H56/'Getting Started'!C7,1)),"")</f>
        <v/>
      </c>
      <c r="J56" s="51">
        <f>IFERROR(IF(G56="","",TEXT('Getting Started'!C18+(G56/I56),"MMM D, YYYY")),"")</f>
        <v/>
      </c>
    </row>
    <row r="57" ht="16" customHeight="1">
      <c r="A57" s="52" t="inlineStr">
        <is>
          <t xml:space="preserve">  Component Breakdown  (optional — use for multi-volume curricula)</t>
        </is>
      </c>
    </row>
    <row r="58" ht="22" customHeight="1">
      <c r="A58" s="28" t="inlineStr">
        <is>
          <t>#</t>
        </is>
      </c>
      <c r="B58" s="28" t="inlineStr">
        <is>
          <t>Book / Component Title</t>
        </is>
      </c>
      <c r="F58" s="28" t="inlineStr">
        <is>
          <t>Units</t>
        </is>
      </c>
      <c r="G58" s="28" t="inlineStr">
        <is>
          <t>Cumul.</t>
        </is>
      </c>
      <c r="H58" s="28" t="inlineStr">
        <is>
          <t>Start
Week</t>
        </is>
      </c>
      <c r="I58" s="28" t="inlineStr">
        <is>
          <t>End
Week</t>
        </is>
      </c>
      <c r="J58" s="28" t="inlineStr">
        <is>
          <t>Est. Dates</t>
        </is>
      </c>
    </row>
    <row r="59" ht="18" customHeight="1">
      <c r="A59" s="53" t="n">
        <v>1</v>
      </c>
      <c r="B59" s="5" t="n"/>
      <c r="F59" s="32" t="n"/>
      <c r="G59" s="17">
        <f>IFERROR(SUM(F59:F59),"")</f>
        <v/>
      </c>
      <c r="H59" s="17">
        <f>IF(F59="","",1)</f>
        <v/>
      </c>
      <c r="I59" s="17">
        <f>IFERROR(IF(F59="","",CEILING(G59/((IFERROR(B56,0)+IFERROR(G56,0))/(IFERROR('Getting Started'!C15,0)+IFERROR('Getting Started'!C23,0))),1)),"")</f>
        <v/>
      </c>
      <c r="J59" s="54">
        <f>IFERROR(IF(F59="","",TEXT('Getting Started'!C10+(H59-1)*7,"MMM D")&amp;" – "&amp;TEXT('Getting Started'!C10+I59*7,"MMM D")),"")</f>
        <v/>
      </c>
    </row>
    <row r="60" ht="18" customHeight="1">
      <c r="A60" s="53" t="n">
        <v>2</v>
      </c>
      <c r="B60" s="18" t="n"/>
      <c r="F60" s="55" t="n"/>
      <c r="G60" s="17">
        <f>IFERROR(SUM(F59:F60),"")</f>
        <v/>
      </c>
      <c r="H60" s="17">
        <f>IFERROR(IF(F60="","",FLOOR(G59/((IFERROR(B56,0)+IFERROR(G56,0))/(IFERROR('Getting Started'!C15,0)+IFERROR('Getting Started'!C23,0))),1)+1),"")</f>
        <v/>
      </c>
      <c r="I60" s="17">
        <f>IFERROR(IF(F60="","",CEILING(G60/((IFERROR(B56,0)+IFERROR(G56,0))/(IFERROR('Getting Started'!C15,0)+IFERROR('Getting Started'!C23,0))),1)),"")</f>
        <v/>
      </c>
      <c r="J60" s="54">
        <f>IFERROR(IF(F60="","",TEXT('Getting Started'!C10+(H60-1)*7,"MMM D")&amp;" – "&amp;TEXT('Getting Started'!C10+I60*7,"MMM D")),"")</f>
        <v/>
      </c>
    </row>
    <row r="61" ht="18" customHeight="1">
      <c r="A61" s="53" t="n">
        <v>3</v>
      </c>
      <c r="B61" s="5" t="n"/>
      <c r="F61" s="32" t="n"/>
      <c r="G61" s="17">
        <f>IFERROR(SUM(F59:F61),"")</f>
        <v/>
      </c>
      <c r="H61" s="17">
        <f>IFERROR(IF(F61="","",FLOOR(G60/((IFERROR(B56,0)+IFERROR(G56,0))/(IFERROR('Getting Started'!C15,0)+IFERROR('Getting Started'!C23,0))),1)+1),"")</f>
        <v/>
      </c>
      <c r="I61" s="17">
        <f>IFERROR(IF(F61="","",CEILING(G61/((IFERROR(B56,0)+IFERROR(G56,0))/(IFERROR('Getting Started'!C15,0)+IFERROR('Getting Started'!C23,0))),1)),"")</f>
        <v/>
      </c>
      <c r="J61" s="54">
        <f>IFERROR(IF(F61="","",TEXT('Getting Started'!C10+(H61-1)*7,"MMM D")&amp;" – "&amp;TEXT('Getting Started'!C10+I61*7,"MMM D")),"")</f>
        <v/>
      </c>
    </row>
    <row r="62" ht="18" customHeight="1">
      <c r="A62" s="53" t="n">
        <v>4</v>
      </c>
      <c r="B62" s="18" t="n"/>
      <c r="F62" s="55" t="n"/>
      <c r="G62" s="17">
        <f>IFERROR(SUM(F59:F62),"")</f>
        <v/>
      </c>
      <c r="H62" s="17">
        <f>IFERROR(IF(F62="","",FLOOR(G61/((IFERROR(B56,0)+IFERROR(G56,0))/(IFERROR('Getting Started'!C15,0)+IFERROR('Getting Started'!C23,0))),1)+1),"")</f>
        <v/>
      </c>
      <c r="I62" s="17">
        <f>IFERROR(IF(F62="","",CEILING(G62/((IFERROR(B56,0)+IFERROR(G56,0))/(IFERROR('Getting Started'!C15,0)+IFERROR('Getting Started'!C23,0))),1)),"")</f>
        <v/>
      </c>
      <c r="J62" s="54">
        <f>IFERROR(IF(F62="","",TEXT('Getting Started'!C10+(H62-1)*7,"MMM D")&amp;" – "&amp;TEXT('Getting Started'!C10+I62*7,"MMM D")),"")</f>
        <v/>
      </c>
    </row>
    <row r="63" ht="18" customHeight="1">
      <c r="A63" s="53" t="n">
        <v>5</v>
      </c>
      <c r="B63" s="5" t="n"/>
      <c r="F63" s="32" t="n"/>
      <c r="G63" s="17">
        <f>IFERROR(SUM(F59:F63),"")</f>
        <v/>
      </c>
      <c r="H63" s="17">
        <f>IFERROR(IF(F63="","",FLOOR(G62/((IFERROR(B56,0)+IFERROR(G56,0))/(IFERROR('Getting Started'!C15,0)+IFERROR('Getting Started'!C23,0))),1)+1),"")</f>
        <v/>
      </c>
      <c r="I63" s="17">
        <f>IFERROR(IF(F63="","",CEILING(G63/((IFERROR(B56,0)+IFERROR(G56,0))/(IFERROR('Getting Started'!C15,0)+IFERROR('Getting Started'!C23,0))),1)),"")</f>
        <v/>
      </c>
      <c r="J63" s="54">
        <f>IFERROR(IF(F63="","",TEXT('Getting Started'!C10+(H63-1)*7,"MMM D")&amp;" – "&amp;TEXT('Getting Started'!C10+I63*7,"MMM D")),"")</f>
        <v/>
      </c>
    </row>
    <row r="64" ht="18" customHeight="1">
      <c r="A64" s="53" t="n">
        <v>6</v>
      </c>
      <c r="B64" s="18" t="n"/>
      <c r="F64" s="55" t="n"/>
      <c r="G64" s="17">
        <f>IFERROR(SUM(F59:F64),"")</f>
        <v/>
      </c>
      <c r="H64" s="17">
        <f>IFERROR(IF(F64="","",FLOOR(G63/((IFERROR(B56,0)+IFERROR(G56,0))/(IFERROR('Getting Started'!C15,0)+IFERROR('Getting Started'!C23,0))),1)+1),"")</f>
        <v/>
      </c>
      <c r="I64" s="17">
        <f>IFERROR(IF(F64="","",CEILING(G64/((IFERROR(B56,0)+IFERROR(G56,0))/(IFERROR('Getting Started'!C15,0)+IFERROR('Getting Started'!C23,0))),1)),"")</f>
        <v/>
      </c>
      <c r="J64" s="54">
        <f>IFERROR(IF(F64="","",TEXT('Getting Started'!C10+(H64-1)*7,"MMM D")&amp;" – "&amp;TEXT('Getting Started'!C10+I64*7,"MMM D")),"")</f>
        <v/>
      </c>
    </row>
    <row r="65" ht="20" customHeight="1">
      <c r="A65" s="56">
        <f>IFERROR(IF('Course Content'!I68="","",'Course Content'!I68),"")</f>
        <v/>
      </c>
    </row>
    <row r="66" ht="8" customHeight="1"/>
    <row r="67" ht="24" customHeight="1">
      <c r="A67" s="44" t="inlineStr">
        <is>
          <t xml:space="preserve">  SCIENCE</t>
        </is>
      </c>
      <c r="E67" s="45">
        <f>IFERROR(IF('Course Content'!E69="","← enter on Course Content tab",'Course Content'!E69),"")</f>
        <v/>
      </c>
    </row>
    <row r="68" ht="22" customHeight="1">
      <c r="B68" s="46">
        <f>'Course Content'!G69</f>
        <v/>
      </c>
      <c r="C68" s="47">
        <f>IFERROR(IF(B68="","",ROUND(B68/'Getting Started'!C15,1)),"")</f>
        <v/>
      </c>
      <c r="D68" s="47">
        <f>IFERROR(IF(C68="","",ROUND(C68/'Getting Started'!C7,1)),"")</f>
        <v/>
      </c>
      <c r="E68" s="48">
        <f>IFERROR(IF(B68="","",TEXT('Getting Started'!C10+(B68/D68),"MMM D, YYYY")),"")</f>
        <v/>
      </c>
      <c r="F68" s="39" t="n"/>
      <c r="G68" s="49">
        <f>'Course Content'!H69</f>
        <v/>
      </c>
      <c r="H68" s="50">
        <f>IFERROR(IF(G68="","",ROUND(G68/'Getting Started'!C23,1)),"")</f>
        <v/>
      </c>
      <c r="I68" s="50">
        <f>IFERROR(IF(H68="","",ROUND(H68/'Getting Started'!C7,1)),"")</f>
        <v/>
      </c>
      <c r="J68" s="51">
        <f>IFERROR(IF(G68="","",TEXT('Getting Started'!C18+(G68/I68),"MMM D, YYYY")),"")</f>
        <v/>
      </c>
    </row>
    <row r="69" ht="16" customHeight="1">
      <c r="A69" s="52" t="inlineStr">
        <is>
          <t xml:space="preserve">  Component Breakdown  (optional — use for multi-volume curricula)</t>
        </is>
      </c>
    </row>
    <row r="70" ht="22" customHeight="1">
      <c r="A70" s="28" t="inlineStr">
        <is>
          <t>#</t>
        </is>
      </c>
      <c r="B70" s="28" t="inlineStr">
        <is>
          <t>Book / Component Title</t>
        </is>
      </c>
      <c r="F70" s="28" t="inlineStr">
        <is>
          <t>Units</t>
        </is>
      </c>
      <c r="G70" s="28" t="inlineStr">
        <is>
          <t>Cumul.</t>
        </is>
      </c>
      <c r="H70" s="28" t="inlineStr">
        <is>
          <t>Start
Week</t>
        </is>
      </c>
      <c r="I70" s="28" t="inlineStr">
        <is>
          <t>End
Week</t>
        </is>
      </c>
      <c r="J70" s="28" t="inlineStr">
        <is>
          <t>Est. Dates</t>
        </is>
      </c>
    </row>
    <row r="71" ht="18" customHeight="1">
      <c r="A71" s="53" t="n">
        <v>1</v>
      </c>
      <c r="B71" s="5" t="n"/>
      <c r="F71" s="32" t="n"/>
      <c r="G71" s="17">
        <f>IFERROR(SUM(F71:F71),"")</f>
        <v/>
      </c>
      <c r="H71" s="17">
        <f>IF(F71="","",1)</f>
        <v/>
      </c>
      <c r="I71" s="17">
        <f>IFERROR(IF(F71="","",CEILING(G71/((IFERROR(B68,0)+IFERROR(G68,0))/(IFERROR('Getting Started'!C15,0)+IFERROR('Getting Started'!C23,0))),1)),"")</f>
        <v/>
      </c>
      <c r="J71" s="54">
        <f>IFERROR(IF(F71="","",TEXT('Getting Started'!C10+(H71-1)*7,"MMM D")&amp;" – "&amp;TEXT('Getting Started'!C10+I71*7,"MMM D")),"")</f>
        <v/>
      </c>
    </row>
    <row r="72" ht="18" customHeight="1">
      <c r="A72" s="53" t="n">
        <v>2</v>
      </c>
      <c r="B72" s="18" t="n"/>
      <c r="F72" s="55" t="n"/>
      <c r="G72" s="17">
        <f>IFERROR(SUM(F71:F72),"")</f>
        <v/>
      </c>
      <c r="H72" s="17">
        <f>IFERROR(IF(F72="","",FLOOR(G71/((IFERROR(B68,0)+IFERROR(G68,0))/(IFERROR('Getting Started'!C15,0)+IFERROR('Getting Started'!C23,0))),1)+1),"")</f>
        <v/>
      </c>
      <c r="I72" s="17">
        <f>IFERROR(IF(F72="","",CEILING(G72/((IFERROR(B68,0)+IFERROR(G68,0))/(IFERROR('Getting Started'!C15,0)+IFERROR('Getting Started'!C23,0))),1)),"")</f>
        <v/>
      </c>
      <c r="J72" s="54">
        <f>IFERROR(IF(F72="","",TEXT('Getting Started'!C10+(H72-1)*7,"MMM D")&amp;" – "&amp;TEXT('Getting Started'!C10+I72*7,"MMM D")),"")</f>
        <v/>
      </c>
    </row>
    <row r="73" ht="18" customHeight="1">
      <c r="A73" s="53" t="n">
        <v>3</v>
      </c>
      <c r="B73" s="5" t="n"/>
      <c r="F73" s="32" t="n"/>
      <c r="G73" s="17">
        <f>IFERROR(SUM(F71:F73),"")</f>
        <v/>
      </c>
      <c r="H73" s="17">
        <f>IFERROR(IF(F73="","",FLOOR(G72/((IFERROR(B68,0)+IFERROR(G68,0))/(IFERROR('Getting Started'!C15,0)+IFERROR('Getting Started'!C23,0))),1)+1),"")</f>
        <v/>
      </c>
      <c r="I73" s="17">
        <f>IFERROR(IF(F73="","",CEILING(G73/((IFERROR(B68,0)+IFERROR(G68,0))/(IFERROR('Getting Started'!C15,0)+IFERROR('Getting Started'!C23,0))),1)),"")</f>
        <v/>
      </c>
      <c r="J73" s="54">
        <f>IFERROR(IF(F73="","",TEXT('Getting Started'!C10+(H73-1)*7,"MMM D")&amp;" – "&amp;TEXT('Getting Started'!C10+I73*7,"MMM D")),"")</f>
        <v/>
      </c>
    </row>
    <row r="74" ht="18" customHeight="1">
      <c r="A74" s="53" t="n">
        <v>4</v>
      </c>
      <c r="B74" s="18" t="n"/>
      <c r="F74" s="55" t="n"/>
      <c r="G74" s="17">
        <f>IFERROR(SUM(F71:F74),"")</f>
        <v/>
      </c>
      <c r="H74" s="17">
        <f>IFERROR(IF(F74="","",FLOOR(G73/((IFERROR(B68,0)+IFERROR(G68,0))/(IFERROR('Getting Started'!C15,0)+IFERROR('Getting Started'!C23,0))),1)+1),"")</f>
        <v/>
      </c>
      <c r="I74" s="17">
        <f>IFERROR(IF(F74="","",CEILING(G74/((IFERROR(B68,0)+IFERROR(G68,0))/(IFERROR('Getting Started'!C15,0)+IFERROR('Getting Started'!C23,0))),1)),"")</f>
        <v/>
      </c>
      <c r="J74" s="54">
        <f>IFERROR(IF(F74="","",TEXT('Getting Started'!C10+(H74-1)*7,"MMM D")&amp;" – "&amp;TEXT('Getting Started'!C10+I74*7,"MMM D")),"")</f>
        <v/>
      </c>
    </row>
    <row r="75" ht="18" customHeight="1">
      <c r="A75" s="53" t="n">
        <v>5</v>
      </c>
      <c r="B75" s="5" t="n"/>
      <c r="F75" s="32" t="n"/>
      <c r="G75" s="17">
        <f>IFERROR(SUM(F71:F75),"")</f>
        <v/>
      </c>
      <c r="H75" s="17">
        <f>IFERROR(IF(F75="","",FLOOR(G74/((IFERROR(B68,0)+IFERROR(G68,0))/(IFERROR('Getting Started'!C15,0)+IFERROR('Getting Started'!C23,0))),1)+1),"")</f>
        <v/>
      </c>
      <c r="I75" s="17">
        <f>IFERROR(IF(F75="","",CEILING(G75/((IFERROR(B68,0)+IFERROR(G68,0))/(IFERROR('Getting Started'!C15,0)+IFERROR('Getting Started'!C23,0))),1)),"")</f>
        <v/>
      </c>
      <c r="J75" s="54">
        <f>IFERROR(IF(F75="","",TEXT('Getting Started'!C10+(H75-1)*7,"MMM D")&amp;" – "&amp;TEXT('Getting Started'!C10+I75*7,"MMM D")),"")</f>
        <v/>
      </c>
    </row>
    <row r="76" ht="18" customHeight="1">
      <c r="A76" s="53" t="n">
        <v>6</v>
      </c>
      <c r="B76" s="18" t="n"/>
      <c r="F76" s="55" t="n"/>
      <c r="G76" s="17">
        <f>IFERROR(SUM(F71:F76),"")</f>
        <v/>
      </c>
      <c r="H76" s="17">
        <f>IFERROR(IF(F76="","",FLOOR(G75/((IFERROR(B68,0)+IFERROR(G68,0))/(IFERROR('Getting Started'!C15,0)+IFERROR('Getting Started'!C23,0))),1)+1),"")</f>
        <v/>
      </c>
      <c r="I76" s="17">
        <f>IFERROR(IF(F76="","",CEILING(G76/((IFERROR(B68,0)+IFERROR(G68,0))/(IFERROR('Getting Started'!C15,0)+IFERROR('Getting Started'!C23,0))),1)),"")</f>
        <v/>
      </c>
      <c r="J76" s="54">
        <f>IFERROR(IF(F76="","",TEXT('Getting Started'!C10+(H76-1)*7,"MMM D")&amp;" – "&amp;TEXT('Getting Started'!C10+I76*7,"MMM D")),"")</f>
        <v/>
      </c>
    </row>
    <row r="77" ht="20" customHeight="1">
      <c r="A77" s="56">
        <f>IFERROR(IF('Course Content'!I69="","",'Course Content'!I69),"")</f>
        <v/>
      </c>
    </row>
    <row r="78" ht="8" customHeight="1"/>
    <row r="79" ht="24" customHeight="1">
      <c r="A79" s="44" t="inlineStr">
        <is>
          <t xml:space="preserve">  SOCIAL STUDIES / HISTORY</t>
        </is>
      </c>
      <c r="E79" s="45">
        <f>IFERROR(IF('Course Content'!E70="","← enter on Course Content tab",'Course Content'!E70),"")</f>
        <v/>
      </c>
    </row>
    <row r="80" ht="22" customHeight="1">
      <c r="B80" s="46">
        <f>'Course Content'!G70</f>
        <v/>
      </c>
      <c r="C80" s="47">
        <f>IFERROR(IF(B80="","",ROUND(B80/'Getting Started'!C15,1)),"")</f>
        <v/>
      </c>
      <c r="D80" s="47">
        <f>IFERROR(IF(C80="","",ROUND(C80/'Getting Started'!C7,1)),"")</f>
        <v/>
      </c>
      <c r="E80" s="48">
        <f>IFERROR(IF(B80="","",TEXT('Getting Started'!C10+(B80/D80),"MMM D, YYYY")),"")</f>
        <v/>
      </c>
      <c r="F80" s="39" t="n"/>
      <c r="G80" s="49">
        <f>'Course Content'!H70</f>
        <v/>
      </c>
      <c r="H80" s="50">
        <f>IFERROR(IF(G80="","",ROUND(G80/'Getting Started'!C23,1)),"")</f>
        <v/>
      </c>
      <c r="I80" s="50">
        <f>IFERROR(IF(H80="","",ROUND(H80/'Getting Started'!C7,1)),"")</f>
        <v/>
      </c>
      <c r="J80" s="51">
        <f>IFERROR(IF(G80="","",TEXT('Getting Started'!C18+(G80/I80),"MMM D, YYYY")),"")</f>
        <v/>
      </c>
    </row>
    <row r="81" ht="16" customHeight="1">
      <c r="A81" s="52" t="inlineStr">
        <is>
          <t xml:space="preserve">  Component Breakdown  (optional — use for multi-volume curricula)</t>
        </is>
      </c>
    </row>
    <row r="82" ht="22" customHeight="1">
      <c r="A82" s="28" t="inlineStr">
        <is>
          <t>#</t>
        </is>
      </c>
      <c r="B82" s="28" t="inlineStr">
        <is>
          <t>Book / Component Title</t>
        </is>
      </c>
      <c r="F82" s="28" t="inlineStr">
        <is>
          <t>Units</t>
        </is>
      </c>
      <c r="G82" s="28" t="inlineStr">
        <is>
          <t>Cumul.</t>
        </is>
      </c>
      <c r="H82" s="28" t="inlineStr">
        <is>
          <t>Start
Week</t>
        </is>
      </c>
      <c r="I82" s="28" t="inlineStr">
        <is>
          <t>End
Week</t>
        </is>
      </c>
      <c r="J82" s="28" t="inlineStr">
        <is>
          <t>Est. Dates</t>
        </is>
      </c>
    </row>
    <row r="83" ht="18" customHeight="1">
      <c r="A83" s="53" t="n">
        <v>1</v>
      </c>
      <c r="B83" s="5" t="n"/>
      <c r="F83" s="32" t="n"/>
      <c r="G83" s="17">
        <f>IFERROR(SUM(F83:F83),"")</f>
        <v/>
      </c>
      <c r="H83" s="17">
        <f>IF(F83="","",1)</f>
        <v/>
      </c>
      <c r="I83" s="17">
        <f>IFERROR(IF(F83="","",CEILING(G83/((IFERROR(B80,0)+IFERROR(G80,0))/(IFERROR('Getting Started'!C15,0)+IFERROR('Getting Started'!C23,0))),1)),"")</f>
        <v/>
      </c>
      <c r="J83" s="54">
        <f>IFERROR(IF(F83="","",TEXT('Getting Started'!C10+(H83-1)*7,"MMM D")&amp;" – "&amp;TEXT('Getting Started'!C10+I83*7,"MMM D")),"")</f>
        <v/>
      </c>
    </row>
    <row r="84" ht="18" customHeight="1">
      <c r="A84" s="53" t="n">
        <v>2</v>
      </c>
      <c r="B84" s="18" t="n"/>
      <c r="F84" s="55" t="n"/>
      <c r="G84" s="17">
        <f>IFERROR(SUM(F83:F84),"")</f>
        <v/>
      </c>
      <c r="H84" s="17">
        <f>IFERROR(IF(F84="","",FLOOR(G83/((IFERROR(B80,0)+IFERROR(G80,0))/(IFERROR('Getting Started'!C15,0)+IFERROR('Getting Started'!C23,0))),1)+1),"")</f>
        <v/>
      </c>
      <c r="I84" s="17">
        <f>IFERROR(IF(F84="","",CEILING(G84/((IFERROR(B80,0)+IFERROR(G80,0))/(IFERROR('Getting Started'!C15,0)+IFERROR('Getting Started'!C23,0))),1)),"")</f>
        <v/>
      </c>
      <c r="J84" s="54">
        <f>IFERROR(IF(F84="","",TEXT('Getting Started'!C10+(H84-1)*7,"MMM D")&amp;" – "&amp;TEXT('Getting Started'!C10+I84*7,"MMM D")),"")</f>
        <v/>
      </c>
    </row>
    <row r="85" ht="18" customHeight="1">
      <c r="A85" s="53" t="n">
        <v>3</v>
      </c>
      <c r="B85" s="5" t="n"/>
      <c r="F85" s="32" t="n"/>
      <c r="G85" s="17">
        <f>IFERROR(SUM(F83:F85),"")</f>
        <v/>
      </c>
      <c r="H85" s="17">
        <f>IFERROR(IF(F85="","",FLOOR(G84/((IFERROR(B80,0)+IFERROR(G80,0))/(IFERROR('Getting Started'!C15,0)+IFERROR('Getting Started'!C23,0))),1)+1),"")</f>
        <v/>
      </c>
      <c r="I85" s="17">
        <f>IFERROR(IF(F85="","",CEILING(G85/((IFERROR(B80,0)+IFERROR(G80,0))/(IFERROR('Getting Started'!C15,0)+IFERROR('Getting Started'!C23,0))),1)),"")</f>
        <v/>
      </c>
      <c r="J85" s="54">
        <f>IFERROR(IF(F85="","",TEXT('Getting Started'!C10+(H85-1)*7,"MMM D")&amp;" – "&amp;TEXT('Getting Started'!C10+I85*7,"MMM D")),"")</f>
        <v/>
      </c>
    </row>
    <row r="86" ht="18" customHeight="1">
      <c r="A86" s="53" t="n">
        <v>4</v>
      </c>
      <c r="B86" s="18" t="n"/>
      <c r="F86" s="55" t="n"/>
      <c r="G86" s="17">
        <f>IFERROR(SUM(F83:F86),"")</f>
        <v/>
      </c>
      <c r="H86" s="17">
        <f>IFERROR(IF(F86="","",FLOOR(G85/((IFERROR(B80,0)+IFERROR(G80,0))/(IFERROR('Getting Started'!C15,0)+IFERROR('Getting Started'!C23,0))),1)+1),"")</f>
        <v/>
      </c>
      <c r="I86" s="17">
        <f>IFERROR(IF(F86="","",CEILING(G86/((IFERROR(B80,0)+IFERROR(G80,0))/(IFERROR('Getting Started'!C15,0)+IFERROR('Getting Started'!C23,0))),1)),"")</f>
        <v/>
      </c>
      <c r="J86" s="54">
        <f>IFERROR(IF(F86="","",TEXT('Getting Started'!C10+(H86-1)*7,"MMM D")&amp;" – "&amp;TEXT('Getting Started'!C10+I86*7,"MMM D")),"")</f>
        <v/>
      </c>
    </row>
    <row r="87" ht="18" customHeight="1">
      <c r="A87" s="53" t="n">
        <v>5</v>
      </c>
      <c r="B87" s="5" t="n"/>
      <c r="F87" s="32" t="n"/>
      <c r="G87" s="17">
        <f>IFERROR(SUM(F83:F87),"")</f>
        <v/>
      </c>
      <c r="H87" s="17">
        <f>IFERROR(IF(F87="","",FLOOR(G86/((IFERROR(B80,0)+IFERROR(G80,0))/(IFERROR('Getting Started'!C15,0)+IFERROR('Getting Started'!C23,0))),1)+1),"")</f>
        <v/>
      </c>
      <c r="I87" s="17">
        <f>IFERROR(IF(F87="","",CEILING(G87/((IFERROR(B80,0)+IFERROR(G80,0))/(IFERROR('Getting Started'!C15,0)+IFERROR('Getting Started'!C23,0))),1)),"")</f>
        <v/>
      </c>
      <c r="J87" s="54">
        <f>IFERROR(IF(F87="","",TEXT('Getting Started'!C10+(H87-1)*7,"MMM D")&amp;" – "&amp;TEXT('Getting Started'!C10+I87*7,"MMM D")),"")</f>
        <v/>
      </c>
    </row>
    <row r="88" ht="18" customHeight="1">
      <c r="A88" s="53" t="n">
        <v>6</v>
      </c>
      <c r="B88" s="18" t="n"/>
      <c r="F88" s="55" t="n"/>
      <c r="G88" s="17">
        <f>IFERROR(SUM(F83:F88),"")</f>
        <v/>
      </c>
      <c r="H88" s="17">
        <f>IFERROR(IF(F88="","",FLOOR(G87/((IFERROR(B80,0)+IFERROR(G80,0))/(IFERROR('Getting Started'!C15,0)+IFERROR('Getting Started'!C23,0))),1)+1),"")</f>
        <v/>
      </c>
      <c r="I88" s="17">
        <f>IFERROR(IF(F88="","",CEILING(G88/((IFERROR(B80,0)+IFERROR(G80,0))/(IFERROR('Getting Started'!C15,0)+IFERROR('Getting Started'!C23,0))),1)),"")</f>
        <v/>
      </c>
      <c r="J88" s="54">
        <f>IFERROR(IF(F88="","",TEXT('Getting Started'!C10+(H88-1)*7,"MMM D")&amp;" – "&amp;TEXT('Getting Started'!C10+I88*7,"MMM D")),"")</f>
        <v/>
      </c>
    </row>
    <row r="89" ht="20" customHeight="1">
      <c r="A89" s="56">
        <f>IFERROR(IF('Course Content'!I70="","",'Course Content'!I70),"")</f>
        <v/>
      </c>
    </row>
    <row r="90" ht="8" customHeight="1"/>
    <row r="91" ht="24" customHeight="1">
      <c r="A91" s="44" t="inlineStr">
        <is>
          <t xml:space="preserve">  HEALTH</t>
        </is>
      </c>
      <c r="E91" s="45">
        <f>IFERROR(IF('Course Content'!E71="","← enter on Course Content tab",'Course Content'!E71),"")</f>
        <v/>
      </c>
    </row>
    <row r="92" ht="22" customHeight="1">
      <c r="B92" s="46">
        <f>'Course Content'!G71</f>
        <v/>
      </c>
      <c r="C92" s="47">
        <f>IFERROR(IF(B92="","",ROUND(B92/'Getting Started'!C15,1)),"")</f>
        <v/>
      </c>
      <c r="D92" s="47">
        <f>IFERROR(IF(C92="","",ROUND(C92/'Getting Started'!C7,1)),"")</f>
        <v/>
      </c>
      <c r="E92" s="48">
        <f>IFERROR(IF(B92="","",TEXT('Getting Started'!C10+(B92/D92),"MMM D, YYYY")),"")</f>
        <v/>
      </c>
      <c r="F92" s="39" t="n"/>
      <c r="G92" s="49">
        <f>'Course Content'!H71</f>
        <v/>
      </c>
      <c r="H92" s="50">
        <f>IFERROR(IF(G92="","",ROUND(G92/'Getting Started'!C23,1)),"")</f>
        <v/>
      </c>
      <c r="I92" s="50">
        <f>IFERROR(IF(H92="","",ROUND(H92/'Getting Started'!C7,1)),"")</f>
        <v/>
      </c>
      <c r="J92" s="51">
        <f>IFERROR(IF(G92="","",TEXT('Getting Started'!C18+(G92/I92),"MMM D, YYYY")),"")</f>
        <v/>
      </c>
    </row>
    <row r="93" ht="16" customHeight="1">
      <c r="A93" s="52" t="inlineStr">
        <is>
          <t xml:space="preserve">  Component Breakdown  (optional — use for multi-volume curricula)</t>
        </is>
      </c>
    </row>
    <row r="94" ht="22" customHeight="1">
      <c r="A94" s="28" t="inlineStr">
        <is>
          <t>#</t>
        </is>
      </c>
      <c r="B94" s="28" t="inlineStr">
        <is>
          <t>Book / Component Title</t>
        </is>
      </c>
      <c r="F94" s="28" t="inlineStr">
        <is>
          <t>Units</t>
        </is>
      </c>
      <c r="G94" s="28" t="inlineStr">
        <is>
          <t>Cumul.</t>
        </is>
      </c>
      <c r="H94" s="28" t="inlineStr">
        <is>
          <t>Start
Week</t>
        </is>
      </c>
      <c r="I94" s="28" t="inlineStr">
        <is>
          <t>End
Week</t>
        </is>
      </c>
      <c r="J94" s="28" t="inlineStr">
        <is>
          <t>Est. Dates</t>
        </is>
      </c>
    </row>
    <row r="95" ht="18" customHeight="1">
      <c r="A95" s="53" t="n">
        <v>1</v>
      </c>
      <c r="B95" s="5" t="n"/>
      <c r="F95" s="32" t="n"/>
      <c r="G95" s="17">
        <f>IFERROR(SUM(F95:F95),"")</f>
        <v/>
      </c>
      <c r="H95" s="17">
        <f>IF(F95="","",1)</f>
        <v/>
      </c>
      <c r="I95" s="17">
        <f>IFERROR(IF(F95="","",CEILING(G95/((IFERROR(B92,0)+IFERROR(G92,0))/(IFERROR('Getting Started'!C15,0)+IFERROR('Getting Started'!C23,0))),1)),"")</f>
        <v/>
      </c>
      <c r="J95" s="54">
        <f>IFERROR(IF(F95="","",TEXT('Getting Started'!C10+(H95-1)*7,"MMM D")&amp;" – "&amp;TEXT('Getting Started'!C10+I95*7,"MMM D")),"")</f>
        <v/>
      </c>
    </row>
    <row r="96" ht="18" customHeight="1">
      <c r="A96" s="53" t="n">
        <v>2</v>
      </c>
      <c r="B96" s="18" t="n"/>
      <c r="F96" s="55" t="n"/>
      <c r="G96" s="17">
        <f>IFERROR(SUM(F95:F96),"")</f>
        <v/>
      </c>
      <c r="H96" s="17">
        <f>IFERROR(IF(F96="","",FLOOR(G95/((IFERROR(B92,0)+IFERROR(G92,0))/(IFERROR('Getting Started'!C15,0)+IFERROR('Getting Started'!C23,0))),1)+1),"")</f>
        <v/>
      </c>
      <c r="I96" s="17">
        <f>IFERROR(IF(F96="","",CEILING(G96/((IFERROR(B92,0)+IFERROR(G92,0))/(IFERROR('Getting Started'!C15,0)+IFERROR('Getting Started'!C23,0))),1)),"")</f>
        <v/>
      </c>
      <c r="J96" s="54">
        <f>IFERROR(IF(F96="","",TEXT('Getting Started'!C10+(H96-1)*7,"MMM D")&amp;" – "&amp;TEXT('Getting Started'!C10+I96*7,"MMM D")),"")</f>
        <v/>
      </c>
    </row>
    <row r="97" ht="18" customHeight="1">
      <c r="A97" s="53" t="n">
        <v>3</v>
      </c>
      <c r="B97" s="5" t="n"/>
      <c r="F97" s="32" t="n"/>
      <c r="G97" s="17">
        <f>IFERROR(SUM(F95:F97),"")</f>
        <v/>
      </c>
      <c r="H97" s="17">
        <f>IFERROR(IF(F97="","",FLOOR(G96/((IFERROR(B92,0)+IFERROR(G92,0))/(IFERROR('Getting Started'!C15,0)+IFERROR('Getting Started'!C23,0))),1)+1),"")</f>
        <v/>
      </c>
      <c r="I97" s="17">
        <f>IFERROR(IF(F97="","",CEILING(G97/((IFERROR(B92,0)+IFERROR(G92,0))/(IFERROR('Getting Started'!C15,0)+IFERROR('Getting Started'!C23,0))),1)),"")</f>
        <v/>
      </c>
      <c r="J97" s="54">
        <f>IFERROR(IF(F97="","",TEXT('Getting Started'!C10+(H97-1)*7,"MMM D")&amp;" – "&amp;TEXT('Getting Started'!C10+I97*7,"MMM D")),"")</f>
        <v/>
      </c>
    </row>
    <row r="98" ht="18" customHeight="1">
      <c r="A98" s="53" t="n">
        <v>4</v>
      </c>
      <c r="B98" s="18" t="n"/>
      <c r="F98" s="55" t="n"/>
      <c r="G98" s="17">
        <f>IFERROR(SUM(F95:F98),"")</f>
        <v/>
      </c>
      <c r="H98" s="17">
        <f>IFERROR(IF(F98="","",FLOOR(G97/((IFERROR(B92,0)+IFERROR(G92,0))/(IFERROR('Getting Started'!C15,0)+IFERROR('Getting Started'!C23,0))),1)+1),"")</f>
        <v/>
      </c>
      <c r="I98" s="17">
        <f>IFERROR(IF(F98="","",CEILING(G98/((IFERROR(B92,0)+IFERROR(G92,0))/(IFERROR('Getting Started'!C15,0)+IFERROR('Getting Started'!C23,0))),1)),"")</f>
        <v/>
      </c>
      <c r="J98" s="54">
        <f>IFERROR(IF(F98="","",TEXT('Getting Started'!C10+(H98-1)*7,"MMM D")&amp;" – "&amp;TEXT('Getting Started'!C10+I98*7,"MMM D")),"")</f>
        <v/>
      </c>
    </row>
    <row r="99" ht="18" customHeight="1">
      <c r="A99" s="53" t="n">
        <v>5</v>
      </c>
      <c r="B99" s="5" t="n"/>
      <c r="F99" s="32" t="n"/>
      <c r="G99" s="17">
        <f>IFERROR(SUM(F95:F99),"")</f>
        <v/>
      </c>
      <c r="H99" s="17">
        <f>IFERROR(IF(F99="","",FLOOR(G98/((IFERROR(B92,0)+IFERROR(G92,0))/(IFERROR('Getting Started'!C15,0)+IFERROR('Getting Started'!C23,0))),1)+1),"")</f>
        <v/>
      </c>
      <c r="I99" s="17">
        <f>IFERROR(IF(F99="","",CEILING(G99/((IFERROR(B92,0)+IFERROR(G92,0))/(IFERROR('Getting Started'!C15,0)+IFERROR('Getting Started'!C23,0))),1)),"")</f>
        <v/>
      </c>
      <c r="J99" s="54">
        <f>IFERROR(IF(F99="","",TEXT('Getting Started'!C10+(H99-1)*7,"MMM D")&amp;" – "&amp;TEXT('Getting Started'!C10+I99*7,"MMM D")),"")</f>
        <v/>
      </c>
    </row>
    <row r="100" ht="18" customHeight="1">
      <c r="A100" s="53" t="n">
        <v>6</v>
      </c>
      <c r="B100" s="18" t="n"/>
      <c r="F100" s="55" t="n"/>
      <c r="G100" s="17">
        <f>IFERROR(SUM(F95:F100),"")</f>
        <v/>
      </c>
      <c r="H100" s="17">
        <f>IFERROR(IF(F100="","",FLOOR(G99/((IFERROR(B92,0)+IFERROR(G92,0))/(IFERROR('Getting Started'!C15,0)+IFERROR('Getting Started'!C23,0))),1)+1),"")</f>
        <v/>
      </c>
      <c r="I100" s="17">
        <f>IFERROR(IF(F100="","",CEILING(G100/((IFERROR(B92,0)+IFERROR(G92,0))/(IFERROR('Getting Started'!C15,0)+IFERROR('Getting Started'!C23,0))),1)),"")</f>
        <v/>
      </c>
      <c r="J100" s="54">
        <f>IFERROR(IF(F100="","",TEXT('Getting Started'!C10+(H100-1)*7,"MMM D")&amp;" – "&amp;TEXT('Getting Started'!C10+I100*7,"MMM D")),"")</f>
        <v/>
      </c>
    </row>
    <row r="101" ht="20" customHeight="1">
      <c r="A101" s="56">
        <f>IFERROR(IF('Course Content'!I71="","",'Course Content'!I71),"")</f>
        <v/>
      </c>
    </row>
    <row r="102" ht="8" customHeight="1"/>
    <row r="103" ht="24" customHeight="1">
      <c r="A103" s="44" t="inlineStr">
        <is>
          <t xml:space="preserve">  PHYSICAL EDUCATION</t>
        </is>
      </c>
      <c r="E103" s="45">
        <f>IFERROR(IF('Course Content'!E72="","← enter on Course Content tab",'Course Content'!E72),"")</f>
        <v/>
      </c>
    </row>
    <row r="104" ht="22" customHeight="1">
      <c r="B104" s="46">
        <f>'Course Content'!G72</f>
        <v/>
      </c>
      <c r="C104" s="47">
        <f>IFERROR(IF(B104="","",ROUND(B104/'Getting Started'!C15,1)),"")</f>
        <v/>
      </c>
      <c r="D104" s="47">
        <f>IFERROR(IF(C104="","",ROUND(C104/'Getting Started'!C7,1)),"")</f>
        <v/>
      </c>
      <c r="E104" s="48">
        <f>IFERROR(IF(B104="","",TEXT('Getting Started'!C10+(B104/D104),"MMM D, YYYY")),"")</f>
        <v/>
      </c>
      <c r="F104" s="39" t="n"/>
      <c r="G104" s="49">
        <f>'Course Content'!H72</f>
        <v/>
      </c>
      <c r="H104" s="50">
        <f>IFERROR(IF(G104="","",ROUND(G104/'Getting Started'!C23,1)),"")</f>
        <v/>
      </c>
      <c r="I104" s="50">
        <f>IFERROR(IF(H104="","",ROUND(H104/'Getting Started'!C7,1)),"")</f>
        <v/>
      </c>
      <c r="J104" s="51">
        <f>IFERROR(IF(G104="","",TEXT('Getting Started'!C18+(G104/I104),"MMM D, YYYY")),"")</f>
        <v/>
      </c>
    </row>
    <row r="105" ht="16" customHeight="1">
      <c r="A105" s="52" t="inlineStr">
        <is>
          <t xml:space="preserve">  Component Breakdown  (optional — use for multi-volume curricula)</t>
        </is>
      </c>
    </row>
    <row r="106" ht="22" customHeight="1">
      <c r="A106" s="28" t="inlineStr">
        <is>
          <t>#</t>
        </is>
      </c>
      <c r="B106" s="28" t="inlineStr">
        <is>
          <t>Book / Component Title</t>
        </is>
      </c>
      <c r="F106" s="28" t="inlineStr">
        <is>
          <t>Units</t>
        </is>
      </c>
      <c r="G106" s="28" t="inlineStr">
        <is>
          <t>Cumul.</t>
        </is>
      </c>
      <c r="H106" s="28" t="inlineStr">
        <is>
          <t>Start
Week</t>
        </is>
      </c>
      <c r="I106" s="28" t="inlineStr">
        <is>
          <t>End
Week</t>
        </is>
      </c>
      <c r="J106" s="28" t="inlineStr">
        <is>
          <t>Est. Dates</t>
        </is>
      </c>
    </row>
    <row r="107" ht="18" customHeight="1">
      <c r="A107" s="53" t="n">
        <v>1</v>
      </c>
      <c r="B107" s="5" t="n"/>
      <c r="F107" s="32" t="n"/>
      <c r="G107" s="17">
        <f>IFERROR(SUM(F107:F107),"")</f>
        <v/>
      </c>
      <c r="H107" s="17">
        <f>IF(F107="","",1)</f>
        <v/>
      </c>
      <c r="I107" s="17">
        <f>IFERROR(IF(F107="","",CEILING(G107/((IFERROR(B104,0)+IFERROR(G104,0))/(IFERROR('Getting Started'!C15,0)+IFERROR('Getting Started'!C23,0))),1)),"")</f>
        <v/>
      </c>
      <c r="J107" s="54">
        <f>IFERROR(IF(F107="","",TEXT('Getting Started'!C10+(H107-1)*7,"MMM D")&amp;" – "&amp;TEXT('Getting Started'!C10+I107*7,"MMM D")),"")</f>
        <v/>
      </c>
    </row>
    <row r="108" ht="18" customHeight="1">
      <c r="A108" s="53" t="n">
        <v>2</v>
      </c>
      <c r="B108" s="18" t="n"/>
      <c r="F108" s="55" t="n"/>
      <c r="G108" s="17">
        <f>IFERROR(SUM(F107:F108),"")</f>
        <v/>
      </c>
      <c r="H108" s="17">
        <f>IFERROR(IF(F108="","",FLOOR(G107/((IFERROR(B104,0)+IFERROR(G104,0))/(IFERROR('Getting Started'!C15,0)+IFERROR('Getting Started'!C23,0))),1)+1),"")</f>
        <v/>
      </c>
      <c r="I108" s="17">
        <f>IFERROR(IF(F108="","",CEILING(G108/((IFERROR(B104,0)+IFERROR(G104,0))/(IFERROR('Getting Started'!C15,0)+IFERROR('Getting Started'!C23,0))),1)),"")</f>
        <v/>
      </c>
      <c r="J108" s="54">
        <f>IFERROR(IF(F108="","",TEXT('Getting Started'!C10+(H108-1)*7,"MMM D")&amp;" – "&amp;TEXT('Getting Started'!C10+I108*7,"MMM D")),"")</f>
        <v/>
      </c>
    </row>
    <row r="109" ht="18" customHeight="1">
      <c r="A109" s="53" t="n">
        <v>3</v>
      </c>
      <c r="B109" s="5" t="n"/>
      <c r="F109" s="32" t="n"/>
      <c r="G109" s="17">
        <f>IFERROR(SUM(F107:F109),"")</f>
        <v/>
      </c>
      <c r="H109" s="17">
        <f>IFERROR(IF(F109="","",FLOOR(G108/((IFERROR(B104,0)+IFERROR(G104,0))/(IFERROR('Getting Started'!C15,0)+IFERROR('Getting Started'!C23,0))),1)+1),"")</f>
        <v/>
      </c>
      <c r="I109" s="17">
        <f>IFERROR(IF(F109="","",CEILING(G109/((IFERROR(B104,0)+IFERROR(G104,0))/(IFERROR('Getting Started'!C15,0)+IFERROR('Getting Started'!C23,0))),1)),"")</f>
        <v/>
      </c>
      <c r="J109" s="54">
        <f>IFERROR(IF(F109="","",TEXT('Getting Started'!C10+(H109-1)*7,"MMM D")&amp;" – "&amp;TEXT('Getting Started'!C10+I109*7,"MMM D")),"")</f>
        <v/>
      </c>
    </row>
    <row r="110" ht="18" customHeight="1">
      <c r="A110" s="53" t="n">
        <v>4</v>
      </c>
      <c r="B110" s="18" t="n"/>
      <c r="F110" s="55" t="n"/>
      <c r="G110" s="17">
        <f>IFERROR(SUM(F107:F110),"")</f>
        <v/>
      </c>
      <c r="H110" s="17">
        <f>IFERROR(IF(F110="","",FLOOR(G109/((IFERROR(B104,0)+IFERROR(G104,0))/(IFERROR('Getting Started'!C15,0)+IFERROR('Getting Started'!C23,0))),1)+1),"")</f>
        <v/>
      </c>
      <c r="I110" s="17">
        <f>IFERROR(IF(F110="","",CEILING(G110/((IFERROR(B104,0)+IFERROR(G104,0))/(IFERROR('Getting Started'!C15,0)+IFERROR('Getting Started'!C23,0))),1)),"")</f>
        <v/>
      </c>
      <c r="J110" s="54">
        <f>IFERROR(IF(F110="","",TEXT('Getting Started'!C10+(H110-1)*7,"MMM D")&amp;" – "&amp;TEXT('Getting Started'!C10+I110*7,"MMM D")),"")</f>
        <v/>
      </c>
    </row>
    <row r="111" ht="18" customHeight="1">
      <c r="A111" s="53" t="n">
        <v>5</v>
      </c>
      <c r="B111" s="5" t="n"/>
      <c r="F111" s="32" t="n"/>
      <c r="G111" s="17">
        <f>IFERROR(SUM(F107:F111),"")</f>
        <v/>
      </c>
      <c r="H111" s="17">
        <f>IFERROR(IF(F111="","",FLOOR(G110/((IFERROR(B104,0)+IFERROR(G104,0))/(IFERROR('Getting Started'!C15,0)+IFERROR('Getting Started'!C23,0))),1)+1),"")</f>
        <v/>
      </c>
      <c r="I111" s="17">
        <f>IFERROR(IF(F111="","",CEILING(G111/((IFERROR(B104,0)+IFERROR(G104,0))/(IFERROR('Getting Started'!C15,0)+IFERROR('Getting Started'!C23,0))),1)),"")</f>
        <v/>
      </c>
      <c r="J111" s="54">
        <f>IFERROR(IF(F111="","",TEXT('Getting Started'!C10+(H111-1)*7,"MMM D")&amp;" – "&amp;TEXT('Getting Started'!C10+I111*7,"MMM D")),"")</f>
        <v/>
      </c>
    </row>
    <row r="112" ht="18" customHeight="1">
      <c r="A112" s="53" t="n">
        <v>6</v>
      </c>
      <c r="B112" s="18" t="n"/>
      <c r="F112" s="55" t="n"/>
      <c r="G112" s="17">
        <f>IFERROR(SUM(F107:F112),"")</f>
        <v/>
      </c>
      <c r="H112" s="17">
        <f>IFERROR(IF(F112="","",FLOOR(G111/((IFERROR(B104,0)+IFERROR(G104,0))/(IFERROR('Getting Started'!C15,0)+IFERROR('Getting Started'!C23,0))),1)+1),"")</f>
        <v/>
      </c>
      <c r="I112" s="17">
        <f>IFERROR(IF(F112="","",CEILING(G112/((IFERROR(B104,0)+IFERROR(G104,0))/(IFERROR('Getting Started'!C15,0)+IFERROR('Getting Started'!C23,0))),1)),"")</f>
        <v/>
      </c>
      <c r="J112" s="54">
        <f>IFERROR(IF(F112="","",TEXT('Getting Started'!C10+(H112-1)*7,"MMM D")&amp;" – "&amp;TEXT('Getting Started'!C10+I112*7,"MMM D")),"")</f>
        <v/>
      </c>
    </row>
    <row r="113" ht="20" customHeight="1">
      <c r="A113" s="56">
        <f>IFERROR(IF('Course Content'!I72="","",'Course Content'!I72),"")</f>
        <v/>
      </c>
    </row>
    <row r="114" ht="8" customHeight="1"/>
    <row r="115" ht="24" customHeight="1">
      <c r="A115" s="44" t="inlineStr">
        <is>
          <t xml:space="preserve">  ART / MUSIC</t>
        </is>
      </c>
      <c r="E115" s="45">
        <f>IFERROR(IF('Course Content'!E73="","← enter on Course Content tab",'Course Content'!E73),"")</f>
        <v/>
      </c>
    </row>
    <row r="116" ht="22" customHeight="1">
      <c r="B116" s="46">
        <f>'Course Content'!G73</f>
        <v/>
      </c>
      <c r="C116" s="47">
        <f>IFERROR(IF(B116="","",ROUND(B116/'Getting Started'!C15,1)),"")</f>
        <v/>
      </c>
      <c r="D116" s="47">
        <f>IFERROR(IF(C116="","",ROUND(C116/'Getting Started'!C7,1)),"")</f>
        <v/>
      </c>
      <c r="E116" s="48">
        <f>IFERROR(IF(B116="","",TEXT('Getting Started'!C10+(B116/D116),"MMM D, YYYY")),"")</f>
        <v/>
      </c>
      <c r="F116" s="39" t="n"/>
      <c r="G116" s="49">
        <f>'Course Content'!H73</f>
        <v/>
      </c>
      <c r="H116" s="50">
        <f>IFERROR(IF(G116="","",ROUND(G116/'Getting Started'!C23,1)),"")</f>
        <v/>
      </c>
      <c r="I116" s="50">
        <f>IFERROR(IF(H116="","",ROUND(H116/'Getting Started'!C7,1)),"")</f>
        <v/>
      </c>
      <c r="J116" s="51">
        <f>IFERROR(IF(G116="","",TEXT('Getting Started'!C18+(G116/I116),"MMM D, YYYY")),"")</f>
        <v/>
      </c>
    </row>
    <row r="117" ht="16" customHeight="1">
      <c r="A117" s="52" t="inlineStr">
        <is>
          <t xml:space="preserve">  Component Breakdown  (optional — use for multi-volume curricula)</t>
        </is>
      </c>
    </row>
    <row r="118" ht="22" customHeight="1">
      <c r="A118" s="28" t="inlineStr">
        <is>
          <t>#</t>
        </is>
      </c>
      <c r="B118" s="28" t="inlineStr">
        <is>
          <t>Book / Component Title</t>
        </is>
      </c>
      <c r="F118" s="28" t="inlineStr">
        <is>
          <t>Units</t>
        </is>
      </c>
      <c r="G118" s="28" t="inlineStr">
        <is>
          <t>Cumul.</t>
        </is>
      </c>
      <c r="H118" s="28" t="inlineStr">
        <is>
          <t>Start
Week</t>
        </is>
      </c>
      <c r="I118" s="28" t="inlineStr">
        <is>
          <t>End
Week</t>
        </is>
      </c>
      <c r="J118" s="28" t="inlineStr">
        <is>
          <t>Est. Dates</t>
        </is>
      </c>
    </row>
    <row r="119" ht="18" customHeight="1">
      <c r="A119" s="53" t="n">
        <v>1</v>
      </c>
      <c r="B119" s="5" t="n"/>
      <c r="F119" s="32" t="n"/>
      <c r="G119" s="17">
        <f>IFERROR(SUM(F119:F119),"")</f>
        <v/>
      </c>
      <c r="H119" s="17">
        <f>IF(F119="","",1)</f>
        <v/>
      </c>
      <c r="I119" s="17">
        <f>IFERROR(IF(F119="","",CEILING(G119/((IFERROR(B116,0)+IFERROR(G116,0))/(IFERROR('Getting Started'!C15,0)+IFERROR('Getting Started'!C23,0))),1)),"")</f>
        <v/>
      </c>
      <c r="J119" s="54">
        <f>IFERROR(IF(F119="","",TEXT('Getting Started'!C10+(H119-1)*7,"MMM D")&amp;" – "&amp;TEXT('Getting Started'!C10+I119*7,"MMM D")),"")</f>
        <v/>
      </c>
    </row>
    <row r="120" ht="18" customHeight="1">
      <c r="A120" s="53" t="n">
        <v>2</v>
      </c>
      <c r="B120" s="18" t="n"/>
      <c r="F120" s="55" t="n"/>
      <c r="G120" s="17">
        <f>IFERROR(SUM(F119:F120),"")</f>
        <v/>
      </c>
      <c r="H120" s="17">
        <f>IFERROR(IF(F120="","",FLOOR(G119/((IFERROR(B116,0)+IFERROR(G116,0))/(IFERROR('Getting Started'!C15,0)+IFERROR('Getting Started'!C23,0))),1)+1),"")</f>
        <v/>
      </c>
      <c r="I120" s="17">
        <f>IFERROR(IF(F120="","",CEILING(G120/((IFERROR(B116,0)+IFERROR(G116,0))/(IFERROR('Getting Started'!C15,0)+IFERROR('Getting Started'!C23,0))),1)),"")</f>
        <v/>
      </c>
      <c r="J120" s="54">
        <f>IFERROR(IF(F120="","",TEXT('Getting Started'!C10+(H120-1)*7,"MMM D")&amp;" – "&amp;TEXT('Getting Started'!C10+I120*7,"MMM D")),"")</f>
        <v/>
      </c>
    </row>
    <row r="121" ht="18" customHeight="1">
      <c r="A121" s="53" t="n">
        <v>3</v>
      </c>
      <c r="B121" s="5" t="n"/>
      <c r="F121" s="32" t="n"/>
      <c r="G121" s="17">
        <f>IFERROR(SUM(F119:F121),"")</f>
        <v/>
      </c>
      <c r="H121" s="17">
        <f>IFERROR(IF(F121="","",FLOOR(G120/((IFERROR(B116,0)+IFERROR(G116,0))/(IFERROR('Getting Started'!C15,0)+IFERROR('Getting Started'!C23,0))),1)+1),"")</f>
        <v/>
      </c>
      <c r="I121" s="17">
        <f>IFERROR(IF(F121="","",CEILING(G121/((IFERROR(B116,0)+IFERROR(G116,0))/(IFERROR('Getting Started'!C15,0)+IFERROR('Getting Started'!C23,0))),1)),"")</f>
        <v/>
      </c>
      <c r="J121" s="54">
        <f>IFERROR(IF(F121="","",TEXT('Getting Started'!C10+(H121-1)*7,"MMM D")&amp;" – "&amp;TEXT('Getting Started'!C10+I121*7,"MMM D")),"")</f>
        <v/>
      </c>
    </row>
    <row r="122" ht="18" customHeight="1">
      <c r="A122" s="53" t="n">
        <v>4</v>
      </c>
      <c r="B122" s="18" t="n"/>
      <c r="F122" s="55" t="n"/>
      <c r="G122" s="17">
        <f>IFERROR(SUM(F119:F122),"")</f>
        <v/>
      </c>
      <c r="H122" s="17">
        <f>IFERROR(IF(F122="","",FLOOR(G121/((IFERROR(B116,0)+IFERROR(G116,0))/(IFERROR('Getting Started'!C15,0)+IFERROR('Getting Started'!C23,0))),1)+1),"")</f>
        <v/>
      </c>
      <c r="I122" s="17">
        <f>IFERROR(IF(F122="","",CEILING(G122/((IFERROR(B116,0)+IFERROR(G116,0))/(IFERROR('Getting Started'!C15,0)+IFERROR('Getting Started'!C23,0))),1)),"")</f>
        <v/>
      </c>
      <c r="J122" s="54">
        <f>IFERROR(IF(F122="","",TEXT('Getting Started'!C10+(H122-1)*7,"MMM D")&amp;" – "&amp;TEXT('Getting Started'!C10+I122*7,"MMM D")),"")</f>
        <v/>
      </c>
    </row>
    <row r="123" ht="18" customHeight="1">
      <c r="A123" s="53" t="n">
        <v>5</v>
      </c>
      <c r="B123" s="5" t="n"/>
      <c r="F123" s="32" t="n"/>
      <c r="G123" s="17">
        <f>IFERROR(SUM(F119:F123),"")</f>
        <v/>
      </c>
      <c r="H123" s="17">
        <f>IFERROR(IF(F123="","",FLOOR(G122/((IFERROR(B116,0)+IFERROR(G116,0))/(IFERROR('Getting Started'!C15,0)+IFERROR('Getting Started'!C23,0))),1)+1),"")</f>
        <v/>
      </c>
      <c r="I123" s="17">
        <f>IFERROR(IF(F123="","",CEILING(G123/((IFERROR(B116,0)+IFERROR(G116,0))/(IFERROR('Getting Started'!C15,0)+IFERROR('Getting Started'!C23,0))),1)),"")</f>
        <v/>
      </c>
      <c r="J123" s="54">
        <f>IFERROR(IF(F123="","",TEXT('Getting Started'!C10+(H123-1)*7,"MMM D")&amp;" – "&amp;TEXT('Getting Started'!C10+I123*7,"MMM D")),"")</f>
        <v/>
      </c>
    </row>
    <row r="124" ht="18" customHeight="1">
      <c r="A124" s="53" t="n">
        <v>6</v>
      </c>
      <c r="B124" s="18" t="n"/>
      <c r="F124" s="55" t="n"/>
      <c r="G124" s="17">
        <f>IFERROR(SUM(F119:F124),"")</f>
        <v/>
      </c>
      <c r="H124" s="17">
        <f>IFERROR(IF(F124="","",FLOOR(G123/((IFERROR(B116,0)+IFERROR(G116,0))/(IFERROR('Getting Started'!C15,0)+IFERROR('Getting Started'!C23,0))),1)+1),"")</f>
        <v/>
      </c>
      <c r="I124" s="17">
        <f>IFERROR(IF(F124="","",CEILING(G124/((IFERROR(B116,0)+IFERROR(G116,0))/(IFERROR('Getting Started'!C15,0)+IFERROR('Getting Started'!C23,0))),1)),"")</f>
        <v/>
      </c>
      <c r="J124" s="54">
        <f>IFERROR(IF(F124="","",TEXT('Getting Started'!C10+(H124-1)*7,"MMM D")&amp;" – "&amp;TEXT('Getting Started'!C10+I124*7,"MMM D")),"")</f>
        <v/>
      </c>
    </row>
    <row r="125" ht="20" customHeight="1">
      <c r="A125" s="56">
        <f>IFERROR(IF('Course Content'!I73="","",'Course Content'!I73),"")</f>
        <v/>
      </c>
    </row>
    <row r="126" ht="8" customHeight="1"/>
    <row r="127" ht="24" customHeight="1">
      <c r="A127" s="44">
        <f>IF('Course Content'!D74="","  ELECTIVE / OTHER 1","  "&amp;UPPER('Course Content'!D74))</f>
        <v/>
      </c>
      <c r="E127" s="45">
        <f>IFERROR(IF('Course Content'!E74="","← enter on Course Content tab",'Course Content'!E74),"")</f>
        <v/>
      </c>
    </row>
    <row r="128" ht="22" customHeight="1">
      <c r="B128" s="46">
        <f>'Course Content'!G74</f>
        <v/>
      </c>
      <c r="C128" s="47">
        <f>IFERROR(IF(B128="","",ROUND(B128/'Getting Started'!C15,1)),"")</f>
        <v/>
      </c>
      <c r="D128" s="47">
        <f>IFERROR(IF(C128="","",ROUND(C128/'Getting Started'!C7,1)),"")</f>
        <v/>
      </c>
      <c r="E128" s="48">
        <f>IFERROR(IF(B128="","",TEXT('Getting Started'!C10+(B128/D128),"MMM D, YYYY")),"")</f>
        <v/>
      </c>
      <c r="F128" s="39" t="n"/>
      <c r="G128" s="49">
        <f>'Course Content'!H74</f>
        <v/>
      </c>
      <c r="H128" s="50">
        <f>IFERROR(IF(G128="","",ROUND(G128/'Getting Started'!C23,1)),"")</f>
        <v/>
      </c>
      <c r="I128" s="50">
        <f>IFERROR(IF(H128="","",ROUND(H128/'Getting Started'!C7,1)),"")</f>
        <v/>
      </c>
      <c r="J128" s="51">
        <f>IFERROR(IF(G128="","",TEXT('Getting Started'!C18+(G128/I128),"MMM D, YYYY")),"")</f>
        <v/>
      </c>
    </row>
    <row r="129" ht="16" customHeight="1">
      <c r="A129" s="52" t="inlineStr">
        <is>
          <t xml:space="preserve">  Component Breakdown  (optional — use for multi-volume curricula)</t>
        </is>
      </c>
    </row>
    <row r="130" ht="22" customHeight="1">
      <c r="A130" s="28" t="inlineStr">
        <is>
          <t>#</t>
        </is>
      </c>
      <c r="B130" s="28" t="inlineStr">
        <is>
          <t>Book / Component Title</t>
        </is>
      </c>
      <c r="F130" s="28" t="inlineStr">
        <is>
          <t>Units</t>
        </is>
      </c>
      <c r="G130" s="28" t="inlineStr">
        <is>
          <t>Cumul.</t>
        </is>
      </c>
      <c r="H130" s="28" t="inlineStr">
        <is>
          <t>Start
Week</t>
        </is>
      </c>
      <c r="I130" s="28" t="inlineStr">
        <is>
          <t>End
Week</t>
        </is>
      </c>
      <c r="J130" s="28" t="inlineStr">
        <is>
          <t>Est. Dates</t>
        </is>
      </c>
    </row>
    <row r="131" ht="18" customHeight="1">
      <c r="A131" s="53" t="n">
        <v>1</v>
      </c>
      <c r="B131" s="5" t="n"/>
      <c r="F131" s="32" t="n"/>
      <c r="G131" s="17">
        <f>IFERROR(SUM(F131:F131),"")</f>
        <v/>
      </c>
      <c r="H131" s="17">
        <f>IF(F131="","",1)</f>
        <v/>
      </c>
      <c r="I131" s="17">
        <f>IFERROR(IF(F131="","",CEILING(G131/((IFERROR(B128,0)+IFERROR(G128,0))/(IFERROR('Getting Started'!C15,0)+IFERROR('Getting Started'!C23,0))),1)),"")</f>
        <v/>
      </c>
      <c r="J131" s="54">
        <f>IFERROR(IF(F131="","",TEXT('Getting Started'!C10+(H131-1)*7,"MMM D")&amp;" – "&amp;TEXT('Getting Started'!C10+I131*7,"MMM D")),"")</f>
        <v/>
      </c>
    </row>
    <row r="132" ht="18" customHeight="1">
      <c r="A132" s="53" t="n">
        <v>2</v>
      </c>
      <c r="B132" s="18" t="n"/>
      <c r="F132" s="55" t="n"/>
      <c r="G132" s="17">
        <f>IFERROR(SUM(F131:F132),"")</f>
        <v/>
      </c>
      <c r="H132" s="17">
        <f>IFERROR(IF(F132="","",FLOOR(G131/((IFERROR(B128,0)+IFERROR(G128,0))/(IFERROR('Getting Started'!C15,0)+IFERROR('Getting Started'!C23,0))),1)+1),"")</f>
        <v/>
      </c>
      <c r="I132" s="17">
        <f>IFERROR(IF(F132="","",CEILING(G132/((IFERROR(B128,0)+IFERROR(G128,0))/(IFERROR('Getting Started'!C15,0)+IFERROR('Getting Started'!C23,0))),1)),"")</f>
        <v/>
      </c>
      <c r="J132" s="54">
        <f>IFERROR(IF(F132="","",TEXT('Getting Started'!C10+(H132-1)*7,"MMM D")&amp;" – "&amp;TEXT('Getting Started'!C10+I132*7,"MMM D")),"")</f>
        <v/>
      </c>
    </row>
    <row r="133" ht="18" customHeight="1">
      <c r="A133" s="53" t="n">
        <v>3</v>
      </c>
      <c r="B133" s="5" t="n"/>
      <c r="F133" s="32" t="n"/>
      <c r="G133" s="17">
        <f>IFERROR(SUM(F131:F133),"")</f>
        <v/>
      </c>
      <c r="H133" s="17">
        <f>IFERROR(IF(F133="","",FLOOR(G132/((IFERROR(B128,0)+IFERROR(G128,0))/(IFERROR('Getting Started'!C15,0)+IFERROR('Getting Started'!C23,0))),1)+1),"")</f>
        <v/>
      </c>
      <c r="I133" s="17">
        <f>IFERROR(IF(F133="","",CEILING(G133/((IFERROR(B128,0)+IFERROR(G128,0))/(IFERROR('Getting Started'!C15,0)+IFERROR('Getting Started'!C23,0))),1)),"")</f>
        <v/>
      </c>
      <c r="J133" s="54">
        <f>IFERROR(IF(F133="","",TEXT('Getting Started'!C10+(H133-1)*7,"MMM D")&amp;" – "&amp;TEXT('Getting Started'!C10+I133*7,"MMM D")),"")</f>
        <v/>
      </c>
    </row>
    <row r="134" ht="18" customHeight="1">
      <c r="A134" s="53" t="n">
        <v>4</v>
      </c>
      <c r="B134" s="18" t="n"/>
      <c r="F134" s="55" t="n"/>
      <c r="G134" s="17">
        <f>IFERROR(SUM(F131:F134),"")</f>
        <v/>
      </c>
      <c r="H134" s="17">
        <f>IFERROR(IF(F134="","",FLOOR(G133/((IFERROR(B128,0)+IFERROR(G128,0))/(IFERROR('Getting Started'!C15,0)+IFERROR('Getting Started'!C23,0))),1)+1),"")</f>
        <v/>
      </c>
      <c r="I134" s="17">
        <f>IFERROR(IF(F134="","",CEILING(G134/((IFERROR(B128,0)+IFERROR(G128,0))/(IFERROR('Getting Started'!C15,0)+IFERROR('Getting Started'!C23,0))),1)),"")</f>
        <v/>
      </c>
      <c r="J134" s="54">
        <f>IFERROR(IF(F134="","",TEXT('Getting Started'!C10+(H134-1)*7,"MMM D")&amp;" – "&amp;TEXT('Getting Started'!C10+I134*7,"MMM D")),"")</f>
        <v/>
      </c>
    </row>
    <row r="135" ht="18" customHeight="1">
      <c r="A135" s="53" t="n">
        <v>5</v>
      </c>
      <c r="B135" s="5" t="n"/>
      <c r="F135" s="32" t="n"/>
      <c r="G135" s="17">
        <f>IFERROR(SUM(F131:F135),"")</f>
        <v/>
      </c>
      <c r="H135" s="17">
        <f>IFERROR(IF(F135="","",FLOOR(G134/((IFERROR(B128,0)+IFERROR(G128,0))/(IFERROR('Getting Started'!C15,0)+IFERROR('Getting Started'!C23,0))),1)+1),"")</f>
        <v/>
      </c>
      <c r="I135" s="17">
        <f>IFERROR(IF(F135="","",CEILING(G135/((IFERROR(B128,0)+IFERROR(G128,0))/(IFERROR('Getting Started'!C15,0)+IFERROR('Getting Started'!C23,0))),1)),"")</f>
        <v/>
      </c>
      <c r="J135" s="54">
        <f>IFERROR(IF(F135="","",TEXT('Getting Started'!C10+(H135-1)*7,"MMM D")&amp;" – "&amp;TEXT('Getting Started'!C10+I135*7,"MMM D")),"")</f>
        <v/>
      </c>
    </row>
    <row r="136" ht="18" customHeight="1">
      <c r="A136" s="53" t="n">
        <v>6</v>
      </c>
      <c r="B136" s="18" t="n"/>
      <c r="F136" s="55" t="n"/>
      <c r="G136" s="17">
        <f>IFERROR(SUM(F131:F136),"")</f>
        <v/>
      </c>
      <c r="H136" s="17">
        <f>IFERROR(IF(F136="","",FLOOR(G135/((IFERROR(B128,0)+IFERROR(G128,0))/(IFERROR('Getting Started'!C15,0)+IFERROR('Getting Started'!C23,0))),1)+1),"")</f>
        <v/>
      </c>
      <c r="I136" s="17">
        <f>IFERROR(IF(F136="","",CEILING(G136/((IFERROR(B128,0)+IFERROR(G128,0))/(IFERROR('Getting Started'!C15,0)+IFERROR('Getting Started'!C23,0))),1)),"")</f>
        <v/>
      </c>
      <c r="J136" s="54">
        <f>IFERROR(IF(F136="","",TEXT('Getting Started'!C10+(H136-1)*7,"MMM D")&amp;" – "&amp;TEXT('Getting Started'!C10+I136*7,"MMM D")),"")</f>
        <v/>
      </c>
    </row>
    <row r="137" ht="20" customHeight="1">
      <c r="A137" s="56">
        <f>IFERROR(IF('Course Content'!I74="","",'Course Content'!I74),"")</f>
        <v/>
      </c>
    </row>
    <row r="138" ht="8" customHeight="1"/>
    <row r="139" ht="24" customHeight="1">
      <c r="A139" s="44">
        <f>IF('Course Content'!D75="","  ELECTIVE / OTHER 2","  "&amp;UPPER('Course Content'!D75))</f>
        <v/>
      </c>
      <c r="E139" s="45">
        <f>IFERROR(IF('Course Content'!E75="","← enter on Course Content tab",'Course Content'!E75),"")</f>
        <v/>
      </c>
    </row>
    <row r="140" ht="22" customHeight="1">
      <c r="B140" s="46">
        <f>'Course Content'!G75</f>
        <v/>
      </c>
      <c r="C140" s="47">
        <f>IFERROR(IF(B140="","",ROUND(B140/'Getting Started'!C15,1)),"")</f>
        <v/>
      </c>
      <c r="D140" s="47">
        <f>IFERROR(IF(C140="","",ROUND(C140/'Getting Started'!C7,1)),"")</f>
        <v/>
      </c>
      <c r="E140" s="48">
        <f>IFERROR(IF(B140="","",TEXT('Getting Started'!C10+(B140/D140),"MMM D, YYYY")),"")</f>
        <v/>
      </c>
      <c r="F140" s="39" t="n"/>
      <c r="G140" s="49">
        <f>'Course Content'!H75</f>
        <v/>
      </c>
      <c r="H140" s="50">
        <f>IFERROR(IF(G140="","",ROUND(G140/'Getting Started'!C23,1)),"")</f>
        <v/>
      </c>
      <c r="I140" s="50">
        <f>IFERROR(IF(H140="","",ROUND(H140/'Getting Started'!C7,1)),"")</f>
        <v/>
      </c>
      <c r="J140" s="51">
        <f>IFERROR(IF(G140="","",TEXT('Getting Started'!C18+(G140/I140),"MMM D, YYYY")),"")</f>
        <v/>
      </c>
    </row>
    <row r="141" ht="16" customHeight="1">
      <c r="A141" s="52" t="inlineStr">
        <is>
          <t xml:space="preserve">  Component Breakdown  (optional — use for multi-volume curricula)</t>
        </is>
      </c>
    </row>
    <row r="142" ht="22" customHeight="1">
      <c r="A142" s="28" t="inlineStr">
        <is>
          <t>#</t>
        </is>
      </c>
      <c r="B142" s="28" t="inlineStr">
        <is>
          <t>Book / Component Title</t>
        </is>
      </c>
      <c r="F142" s="28" t="inlineStr">
        <is>
          <t>Units</t>
        </is>
      </c>
      <c r="G142" s="28" t="inlineStr">
        <is>
          <t>Cumul.</t>
        </is>
      </c>
      <c r="H142" s="28" t="inlineStr">
        <is>
          <t>Start
Week</t>
        </is>
      </c>
      <c r="I142" s="28" t="inlineStr">
        <is>
          <t>End
Week</t>
        </is>
      </c>
      <c r="J142" s="28" t="inlineStr">
        <is>
          <t>Est. Dates</t>
        </is>
      </c>
    </row>
    <row r="143" ht="18" customHeight="1">
      <c r="A143" s="53" t="n">
        <v>1</v>
      </c>
      <c r="B143" s="5" t="n"/>
      <c r="F143" s="32" t="n"/>
      <c r="G143" s="17">
        <f>IFERROR(SUM(F143:F143),"")</f>
        <v/>
      </c>
      <c r="H143" s="17">
        <f>IF(F143="","",1)</f>
        <v/>
      </c>
      <c r="I143" s="17">
        <f>IFERROR(IF(F143="","",CEILING(G143/((IFERROR(B140,0)+IFERROR(G140,0))/(IFERROR('Getting Started'!C15,0)+IFERROR('Getting Started'!C23,0))),1)),"")</f>
        <v/>
      </c>
      <c r="J143" s="54">
        <f>IFERROR(IF(F143="","",TEXT('Getting Started'!C10+(H143-1)*7,"MMM D")&amp;" – "&amp;TEXT('Getting Started'!C10+I143*7,"MMM D")),"")</f>
        <v/>
      </c>
    </row>
    <row r="144" ht="18" customHeight="1">
      <c r="A144" s="53" t="n">
        <v>2</v>
      </c>
      <c r="B144" s="18" t="n"/>
      <c r="F144" s="55" t="n"/>
      <c r="G144" s="17">
        <f>IFERROR(SUM(F143:F144),"")</f>
        <v/>
      </c>
      <c r="H144" s="17">
        <f>IFERROR(IF(F144="","",FLOOR(G143/((IFERROR(B140,0)+IFERROR(G140,0))/(IFERROR('Getting Started'!C15,0)+IFERROR('Getting Started'!C23,0))),1)+1),"")</f>
        <v/>
      </c>
      <c r="I144" s="17">
        <f>IFERROR(IF(F144="","",CEILING(G144/((IFERROR(B140,0)+IFERROR(G140,0))/(IFERROR('Getting Started'!C15,0)+IFERROR('Getting Started'!C23,0))),1)),"")</f>
        <v/>
      </c>
      <c r="J144" s="54">
        <f>IFERROR(IF(F144="","",TEXT('Getting Started'!C10+(H144-1)*7,"MMM D")&amp;" – "&amp;TEXT('Getting Started'!C10+I144*7,"MMM D")),"")</f>
        <v/>
      </c>
    </row>
    <row r="145" ht="18" customHeight="1">
      <c r="A145" s="53" t="n">
        <v>3</v>
      </c>
      <c r="B145" s="5" t="n"/>
      <c r="F145" s="32" t="n"/>
      <c r="G145" s="17">
        <f>IFERROR(SUM(F143:F145),"")</f>
        <v/>
      </c>
      <c r="H145" s="17">
        <f>IFERROR(IF(F145="","",FLOOR(G144/((IFERROR(B140,0)+IFERROR(G140,0))/(IFERROR('Getting Started'!C15,0)+IFERROR('Getting Started'!C23,0))),1)+1),"")</f>
        <v/>
      </c>
      <c r="I145" s="17">
        <f>IFERROR(IF(F145="","",CEILING(G145/((IFERROR(B140,0)+IFERROR(G140,0))/(IFERROR('Getting Started'!C15,0)+IFERROR('Getting Started'!C23,0))),1)),"")</f>
        <v/>
      </c>
      <c r="J145" s="54">
        <f>IFERROR(IF(F145="","",TEXT('Getting Started'!C10+(H145-1)*7,"MMM D")&amp;" – "&amp;TEXT('Getting Started'!C10+I145*7,"MMM D")),"")</f>
        <v/>
      </c>
    </row>
    <row r="146" ht="18" customHeight="1">
      <c r="A146" s="53" t="n">
        <v>4</v>
      </c>
      <c r="B146" s="18" t="n"/>
      <c r="F146" s="55" t="n"/>
      <c r="G146" s="17">
        <f>IFERROR(SUM(F143:F146),"")</f>
        <v/>
      </c>
      <c r="H146" s="17">
        <f>IFERROR(IF(F146="","",FLOOR(G145/((IFERROR(B140,0)+IFERROR(G140,0))/(IFERROR('Getting Started'!C15,0)+IFERROR('Getting Started'!C23,0))),1)+1),"")</f>
        <v/>
      </c>
      <c r="I146" s="17">
        <f>IFERROR(IF(F146="","",CEILING(G146/((IFERROR(B140,0)+IFERROR(G140,0))/(IFERROR('Getting Started'!C15,0)+IFERROR('Getting Started'!C23,0))),1)),"")</f>
        <v/>
      </c>
      <c r="J146" s="54">
        <f>IFERROR(IF(F146="","",TEXT('Getting Started'!C10+(H146-1)*7,"MMM D")&amp;" – "&amp;TEXT('Getting Started'!C10+I146*7,"MMM D")),"")</f>
        <v/>
      </c>
    </row>
    <row r="147" ht="18" customHeight="1">
      <c r="A147" s="53" t="n">
        <v>5</v>
      </c>
      <c r="B147" s="5" t="n"/>
      <c r="F147" s="32" t="n"/>
      <c r="G147" s="17">
        <f>IFERROR(SUM(F143:F147),"")</f>
        <v/>
      </c>
      <c r="H147" s="17">
        <f>IFERROR(IF(F147="","",FLOOR(G146/((IFERROR(B140,0)+IFERROR(G140,0))/(IFERROR('Getting Started'!C15,0)+IFERROR('Getting Started'!C23,0))),1)+1),"")</f>
        <v/>
      </c>
      <c r="I147" s="17">
        <f>IFERROR(IF(F147="","",CEILING(G147/((IFERROR(B140,0)+IFERROR(G140,0))/(IFERROR('Getting Started'!C15,0)+IFERROR('Getting Started'!C23,0))),1)),"")</f>
        <v/>
      </c>
      <c r="J147" s="54">
        <f>IFERROR(IF(F147="","",TEXT('Getting Started'!C10+(H147-1)*7,"MMM D")&amp;" – "&amp;TEXT('Getting Started'!C10+I147*7,"MMM D")),"")</f>
        <v/>
      </c>
    </row>
    <row r="148" ht="18" customHeight="1">
      <c r="A148" s="53" t="n">
        <v>6</v>
      </c>
      <c r="B148" s="18" t="n"/>
      <c r="F148" s="55" t="n"/>
      <c r="G148" s="17">
        <f>IFERROR(SUM(F143:F148),"")</f>
        <v/>
      </c>
      <c r="H148" s="17">
        <f>IFERROR(IF(F148="","",FLOOR(G147/((IFERROR(B140,0)+IFERROR(G140,0))/(IFERROR('Getting Started'!C15,0)+IFERROR('Getting Started'!C23,0))),1)+1),"")</f>
        <v/>
      </c>
      <c r="I148" s="17">
        <f>IFERROR(IF(F148="","",CEILING(G148/((IFERROR(B140,0)+IFERROR(G140,0))/(IFERROR('Getting Started'!C15,0)+IFERROR('Getting Started'!C23,0))),1)),"")</f>
        <v/>
      </c>
      <c r="J148" s="54">
        <f>IFERROR(IF(F148="","",TEXT('Getting Started'!C10+(H148-1)*7,"MMM D")&amp;" – "&amp;TEXT('Getting Started'!C10+I148*7,"MMM D")),"")</f>
        <v/>
      </c>
    </row>
    <row r="149" ht="20" customHeight="1">
      <c r="A149" s="56">
        <f>IFERROR(IF('Course Content'!I75="","",'Course Content'!I75),"")</f>
        <v/>
      </c>
    </row>
    <row r="150" ht="8" customHeight="1"/>
    <row r="151" ht="24" customHeight="1">
      <c r="A151" s="44">
        <f>IF('Course Content'!D76="","  ELECTIVE / OTHER 3","  "&amp;UPPER('Course Content'!D76))</f>
        <v/>
      </c>
      <c r="E151" s="45">
        <f>IFERROR(IF('Course Content'!E76="","← enter on Course Content tab",'Course Content'!E76),"")</f>
        <v/>
      </c>
    </row>
    <row r="152" ht="22" customHeight="1">
      <c r="B152" s="46">
        <f>'Course Content'!G76</f>
        <v/>
      </c>
      <c r="C152" s="47">
        <f>IFERROR(IF(B152="","",ROUND(B152/'Getting Started'!C15,1)),"")</f>
        <v/>
      </c>
      <c r="D152" s="47">
        <f>IFERROR(IF(C152="","",ROUND(C152/'Getting Started'!C7,1)),"")</f>
        <v/>
      </c>
      <c r="E152" s="48">
        <f>IFERROR(IF(B152="","",TEXT('Getting Started'!C10+(B152/D152),"MMM D, YYYY")),"")</f>
        <v/>
      </c>
      <c r="F152" s="39" t="n"/>
      <c r="G152" s="49">
        <f>'Course Content'!H76</f>
        <v/>
      </c>
      <c r="H152" s="50">
        <f>IFERROR(IF(G152="","",ROUND(G152/'Getting Started'!C23,1)),"")</f>
        <v/>
      </c>
      <c r="I152" s="50">
        <f>IFERROR(IF(H152="","",ROUND(H152/'Getting Started'!C7,1)),"")</f>
        <v/>
      </c>
      <c r="J152" s="51">
        <f>IFERROR(IF(G152="","",TEXT('Getting Started'!C18+(G152/I152),"MMM D, YYYY")),"")</f>
        <v/>
      </c>
    </row>
    <row r="153" ht="16" customHeight="1">
      <c r="A153" s="52" t="inlineStr">
        <is>
          <t xml:space="preserve">  Component Breakdown  (optional — use for multi-volume curricula)</t>
        </is>
      </c>
    </row>
    <row r="154" ht="22" customHeight="1">
      <c r="A154" s="28" t="inlineStr">
        <is>
          <t>#</t>
        </is>
      </c>
      <c r="B154" s="28" t="inlineStr">
        <is>
          <t>Book / Component Title</t>
        </is>
      </c>
      <c r="F154" s="28" t="inlineStr">
        <is>
          <t>Units</t>
        </is>
      </c>
      <c r="G154" s="28" t="inlineStr">
        <is>
          <t>Cumul.</t>
        </is>
      </c>
      <c r="H154" s="28" t="inlineStr">
        <is>
          <t>Start
Week</t>
        </is>
      </c>
      <c r="I154" s="28" t="inlineStr">
        <is>
          <t>End
Week</t>
        </is>
      </c>
      <c r="J154" s="28" t="inlineStr">
        <is>
          <t>Est. Dates</t>
        </is>
      </c>
    </row>
    <row r="155" ht="18" customHeight="1">
      <c r="A155" s="53" t="n">
        <v>1</v>
      </c>
      <c r="B155" s="5" t="n"/>
      <c r="F155" s="32" t="n"/>
      <c r="G155" s="17">
        <f>IFERROR(SUM(F155:F155),"")</f>
        <v/>
      </c>
      <c r="H155" s="17">
        <f>IF(F155="","",1)</f>
        <v/>
      </c>
      <c r="I155" s="17">
        <f>IFERROR(IF(F155="","",CEILING(G155/((IFERROR(B152,0)+IFERROR(G152,0))/(IFERROR('Getting Started'!C15,0)+IFERROR('Getting Started'!C23,0))),1)),"")</f>
        <v/>
      </c>
      <c r="J155" s="54">
        <f>IFERROR(IF(F155="","",TEXT('Getting Started'!C10+(H155-1)*7,"MMM D")&amp;" – "&amp;TEXT('Getting Started'!C10+I155*7,"MMM D")),"")</f>
        <v/>
      </c>
    </row>
    <row r="156" ht="18" customHeight="1">
      <c r="A156" s="53" t="n">
        <v>2</v>
      </c>
      <c r="B156" s="18" t="n"/>
      <c r="F156" s="55" t="n"/>
      <c r="G156" s="17">
        <f>IFERROR(SUM(F155:F156),"")</f>
        <v/>
      </c>
      <c r="H156" s="17">
        <f>IFERROR(IF(F156="","",FLOOR(G155/((IFERROR(B152,0)+IFERROR(G152,0))/(IFERROR('Getting Started'!C15,0)+IFERROR('Getting Started'!C23,0))),1)+1),"")</f>
        <v/>
      </c>
      <c r="I156" s="17">
        <f>IFERROR(IF(F156="","",CEILING(G156/((IFERROR(B152,0)+IFERROR(G152,0))/(IFERROR('Getting Started'!C15,0)+IFERROR('Getting Started'!C23,0))),1)),"")</f>
        <v/>
      </c>
      <c r="J156" s="54">
        <f>IFERROR(IF(F156="","",TEXT('Getting Started'!C10+(H156-1)*7,"MMM D")&amp;" – "&amp;TEXT('Getting Started'!C10+I156*7,"MMM D")),"")</f>
        <v/>
      </c>
    </row>
    <row r="157" ht="18" customHeight="1">
      <c r="A157" s="53" t="n">
        <v>3</v>
      </c>
      <c r="B157" s="5" t="n"/>
      <c r="F157" s="32" t="n"/>
      <c r="G157" s="17">
        <f>IFERROR(SUM(F155:F157),"")</f>
        <v/>
      </c>
      <c r="H157" s="17">
        <f>IFERROR(IF(F157="","",FLOOR(G156/((IFERROR(B152,0)+IFERROR(G152,0))/(IFERROR('Getting Started'!C15,0)+IFERROR('Getting Started'!C23,0))),1)+1),"")</f>
        <v/>
      </c>
      <c r="I157" s="17">
        <f>IFERROR(IF(F157="","",CEILING(G157/((IFERROR(B152,0)+IFERROR(G152,0))/(IFERROR('Getting Started'!C15,0)+IFERROR('Getting Started'!C23,0))),1)),"")</f>
        <v/>
      </c>
      <c r="J157" s="54">
        <f>IFERROR(IF(F157="","",TEXT('Getting Started'!C10+(H157-1)*7,"MMM D")&amp;" – "&amp;TEXT('Getting Started'!C10+I157*7,"MMM D")),"")</f>
        <v/>
      </c>
    </row>
    <row r="158" ht="18" customHeight="1">
      <c r="A158" s="53" t="n">
        <v>4</v>
      </c>
      <c r="B158" s="18" t="n"/>
      <c r="F158" s="55" t="n"/>
      <c r="G158" s="17">
        <f>IFERROR(SUM(F155:F158),"")</f>
        <v/>
      </c>
      <c r="H158" s="17">
        <f>IFERROR(IF(F158="","",FLOOR(G157/((IFERROR(B152,0)+IFERROR(G152,0))/(IFERROR('Getting Started'!C15,0)+IFERROR('Getting Started'!C23,0))),1)+1),"")</f>
        <v/>
      </c>
      <c r="I158" s="17">
        <f>IFERROR(IF(F158="","",CEILING(G158/((IFERROR(B152,0)+IFERROR(G152,0))/(IFERROR('Getting Started'!C15,0)+IFERROR('Getting Started'!C23,0))),1)),"")</f>
        <v/>
      </c>
      <c r="J158" s="54">
        <f>IFERROR(IF(F158="","",TEXT('Getting Started'!C10+(H158-1)*7,"MMM D")&amp;" – "&amp;TEXT('Getting Started'!C10+I158*7,"MMM D")),"")</f>
        <v/>
      </c>
    </row>
    <row r="159" ht="18" customHeight="1">
      <c r="A159" s="53" t="n">
        <v>5</v>
      </c>
      <c r="B159" s="5" t="n"/>
      <c r="F159" s="32" t="n"/>
      <c r="G159" s="17">
        <f>IFERROR(SUM(F155:F159),"")</f>
        <v/>
      </c>
      <c r="H159" s="17">
        <f>IFERROR(IF(F159="","",FLOOR(G158/((IFERROR(B152,0)+IFERROR(G152,0))/(IFERROR('Getting Started'!C15,0)+IFERROR('Getting Started'!C23,0))),1)+1),"")</f>
        <v/>
      </c>
      <c r="I159" s="17">
        <f>IFERROR(IF(F159="","",CEILING(G159/((IFERROR(B152,0)+IFERROR(G152,0))/(IFERROR('Getting Started'!C15,0)+IFERROR('Getting Started'!C23,0))),1)),"")</f>
        <v/>
      </c>
      <c r="J159" s="54">
        <f>IFERROR(IF(F159="","",TEXT('Getting Started'!C10+(H159-1)*7,"MMM D")&amp;" – "&amp;TEXT('Getting Started'!C10+I159*7,"MMM D")),"")</f>
        <v/>
      </c>
    </row>
    <row r="160" ht="18" customHeight="1">
      <c r="A160" s="53" t="n">
        <v>6</v>
      </c>
      <c r="B160" s="18" t="n"/>
      <c r="F160" s="55" t="n"/>
      <c r="G160" s="17">
        <f>IFERROR(SUM(F155:F160),"")</f>
        <v/>
      </c>
      <c r="H160" s="17">
        <f>IFERROR(IF(F160="","",FLOOR(G159/((IFERROR(B152,0)+IFERROR(G152,0))/(IFERROR('Getting Started'!C15,0)+IFERROR('Getting Started'!C23,0))),1)+1),"")</f>
        <v/>
      </c>
      <c r="I160" s="17">
        <f>IFERROR(IF(F160="","",CEILING(G160/((IFERROR(B152,0)+IFERROR(G152,0))/(IFERROR('Getting Started'!C15,0)+IFERROR('Getting Started'!C23,0))),1)),"")</f>
        <v/>
      </c>
      <c r="J160" s="54">
        <f>IFERROR(IF(F160="","",TEXT('Getting Started'!C10+(H160-1)*7,"MMM D")&amp;" – "&amp;TEXT('Getting Started'!C10+I160*7,"MMM D")),"")</f>
        <v/>
      </c>
    </row>
    <row r="161" ht="20" customHeight="1">
      <c r="A161" s="56">
        <f>IFERROR(IF('Course Content'!I76="","",'Course Content'!I76),"")</f>
        <v/>
      </c>
    </row>
    <row r="162" ht="8" customHeight="1"/>
    <row r="163" ht="24" customHeight="1">
      <c r="A163" s="44">
        <f>IF('Course Content'!D77="","  ELECTIVE / OTHER 4","  "&amp;UPPER('Course Content'!D77))</f>
        <v/>
      </c>
      <c r="E163" s="45">
        <f>IFERROR(IF('Course Content'!E77="","← enter on Course Content tab",'Course Content'!E77),"")</f>
        <v/>
      </c>
    </row>
    <row r="164" ht="22" customHeight="1">
      <c r="B164" s="46">
        <f>'Course Content'!G77</f>
        <v/>
      </c>
      <c r="C164" s="47">
        <f>IFERROR(IF(B164="","",ROUND(B164/'Getting Started'!C15,1)),"")</f>
        <v/>
      </c>
      <c r="D164" s="47">
        <f>IFERROR(IF(C164="","",ROUND(C164/'Getting Started'!C7,1)),"")</f>
        <v/>
      </c>
      <c r="E164" s="48">
        <f>IFERROR(IF(B164="","",TEXT('Getting Started'!C10+(B164/D164),"MMM D, YYYY")),"")</f>
        <v/>
      </c>
      <c r="F164" s="39" t="n"/>
      <c r="G164" s="49">
        <f>'Course Content'!H77</f>
        <v/>
      </c>
      <c r="H164" s="50">
        <f>IFERROR(IF(G164="","",ROUND(G164/'Getting Started'!C23,1)),"")</f>
        <v/>
      </c>
      <c r="I164" s="50">
        <f>IFERROR(IF(H164="","",ROUND(H164/'Getting Started'!C7,1)),"")</f>
        <v/>
      </c>
      <c r="J164" s="51">
        <f>IFERROR(IF(G164="","",TEXT('Getting Started'!C18+(G164/I164),"MMM D, YYYY")),"")</f>
        <v/>
      </c>
    </row>
    <row r="165" ht="16" customHeight="1">
      <c r="A165" s="52" t="inlineStr">
        <is>
          <t xml:space="preserve">  Component Breakdown  (optional — use for multi-volume curricula)</t>
        </is>
      </c>
    </row>
    <row r="166" ht="22" customHeight="1">
      <c r="A166" s="28" t="inlineStr">
        <is>
          <t>#</t>
        </is>
      </c>
      <c r="B166" s="28" t="inlineStr">
        <is>
          <t>Book / Component Title</t>
        </is>
      </c>
      <c r="F166" s="28" t="inlineStr">
        <is>
          <t>Units</t>
        </is>
      </c>
      <c r="G166" s="28" t="inlineStr">
        <is>
          <t>Cumul.</t>
        </is>
      </c>
      <c r="H166" s="28" t="inlineStr">
        <is>
          <t>Start
Week</t>
        </is>
      </c>
      <c r="I166" s="28" t="inlineStr">
        <is>
          <t>End
Week</t>
        </is>
      </c>
      <c r="J166" s="28" t="inlineStr">
        <is>
          <t>Est. Dates</t>
        </is>
      </c>
    </row>
    <row r="167" ht="18" customHeight="1">
      <c r="A167" s="53" t="n">
        <v>1</v>
      </c>
      <c r="B167" s="5" t="n"/>
      <c r="F167" s="32" t="n"/>
      <c r="G167" s="17">
        <f>IFERROR(SUM(F167:F167),"")</f>
        <v/>
      </c>
      <c r="H167" s="17">
        <f>IF(F167="","",1)</f>
        <v/>
      </c>
      <c r="I167" s="17">
        <f>IFERROR(IF(F167="","",CEILING(G167/((IFERROR(B164,0)+IFERROR(G164,0))/(IFERROR('Getting Started'!C15,0)+IFERROR('Getting Started'!C23,0))),1)),"")</f>
        <v/>
      </c>
      <c r="J167" s="54">
        <f>IFERROR(IF(F167="","",TEXT('Getting Started'!C10+(H167-1)*7,"MMM D")&amp;" – "&amp;TEXT('Getting Started'!C10+I167*7,"MMM D")),"")</f>
        <v/>
      </c>
    </row>
    <row r="168" ht="18" customHeight="1">
      <c r="A168" s="53" t="n">
        <v>2</v>
      </c>
      <c r="B168" s="18" t="n"/>
      <c r="F168" s="55" t="n"/>
      <c r="G168" s="17">
        <f>IFERROR(SUM(F167:F168),"")</f>
        <v/>
      </c>
      <c r="H168" s="17">
        <f>IFERROR(IF(F168="","",FLOOR(G167/((IFERROR(B164,0)+IFERROR(G164,0))/(IFERROR('Getting Started'!C15,0)+IFERROR('Getting Started'!C23,0))),1)+1),"")</f>
        <v/>
      </c>
      <c r="I168" s="17">
        <f>IFERROR(IF(F168="","",CEILING(G168/((IFERROR(B164,0)+IFERROR(G164,0))/(IFERROR('Getting Started'!C15,0)+IFERROR('Getting Started'!C23,0))),1)),"")</f>
        <v/>
      </c>
      <c r="J168" s="54">
        <f>IFERROR(IF(F168="","",TEXT('Getting Started'!C10+(H168-1)*7,"MMM D")&amp;" – "&amp;TEXT('Getting Started'!C10+I168*7,"MMM D")),"")</f>
        <v/>
      </c>
    </row>
    <row r="169" ht="18" customHeight="1">
      <c r="A169" s="53" t="n">
        <v>3</v>
      </c>
      <c r="B169" s="5" t="n"/>
      <c r="F169" s="32" t="n"/>
      <c r="G169" s="17">
        <f>IFERROR(SUM(F167:F169),"")</f>
        <v/>
      </c>
      <c r="H169" s="17">
        <f>IFERROR(IF(F169="","",FLOOR(G168/((IFERROR(B164,0)+IFERROR(G164,0))/(IFERROR('Getting Started'!C15,0)+IFERROR('Getting Started'!C23,0))),1)+1),"")</f>
        <v/>
      </c>
      <c r="I169" s="17">
        <f>IFERROR(IF(F169="","",CEILING(G169/((IFERROR(B164,0)+IFERROR(G164,0))/(IFERROR('Getting Started'!C15,0)+IFERROR('Getting Started'!C23,0))),1)),"")</f>
        <v/>
      </c>
      <c r="J169" s="54">
        <f>IFERROR(IF(F169="","",TEXT('Getting Started'!C10+(H169-1)*7,"MMM D")&amp;" – "&amp;TEXT('Getting Started'!C10+I169*7,"MMM D")),"")</f>
        <v/>
      </c>
    </row>
    <row r="170" ht="18" customHeight="1">
      <c r="A170" s="53" t="n">
        <v>4</v>
      </c>
      <c r="B170" s="18" t="n"/>
      <c r="F170" s="55" t="n"/>
      <c r="G170" s="17">
        <f>IFERROR(SUM(F167:F170),"")</f>
        <v/>
      </c>
      <c r="H170" s="17">
        <f>IFERROR(IF(F170="","",FLOOR(G169/((IFERROR(B164,0)+IFERROR(G164,0))/(IFERROR('Getting Started'!C15,0)+IFERROR('Getting Started'!C23,0))),1)+1),"")</f>
        <v/>
      </c>
      <c r="I170" s="17">
        <f>IFERROR(IF(F170="","",CEILING(G170/((IFERROR(B164,0)+IFERROR(G164,0))/(IFERROR('Getting Started'!C15,0)+IFERROR('Getting Started'!C23,0))),1)),"")</f>
        <v/>
      </c>
      <c r="J170" s="54">
        <f>IFERROR(IF(F170="","",TEXT('Getting Started'!C10+(H170-1)*7,"MMM D")&amp;" – "&amp;TEXT('Getting Started'!C10+I170*7,"MMM D")),"")</f>
        <v/>
      </c>
    </row>
    <row r="171" ht="18" customHeight="1">
      <c r="A171" s="53" t="n">
        <v>5</v>
      </c>
      <c r="B171" s="5" t="n"/>
      <c r="F171" s="32" t="n"/>
      <c r="G171" s="17">
        <f>IFERROR(SUM(F167:F171),"")</f>
        <v/>
      </c>
      <c r="H171" s="17">
        <f>IFERROR(IF(F171="","",FLOOR(G170/((IFERROR(B164,0)+IFERROR(G164,0))/(IFERROR('Getting Started'!C15,0)+IFERROR('Getting Started'!C23,0))),1)+1),"")</f>
        <v/>
      </c>
      <c r="I171" s="17">
        <f>IFERROR(IF(F171="","",CEILING(G171/((IFERROR(B164,0)+IFERROR(G164,0))/(IFERROR('Getting Started'!C15,0)+IFERROR('Getting Started'!C23,0))),1)),"")</f>
        <v/>
      </c>
      <c r="J171" s="54">
        <f>IFERROR(IF(F171="","",TEXT('Getting Started'!C10+(H171-1)*7,"MMM D")&amp;" – "&amp;TEXT('Getting Started'!C10+I171*7,"MMM D")),"")</f>
        <v/>
      </c>
    </row>
    <row r="172" ht="18" customHeight="1">
      <c r="A172" s="53" t="n">
        <v>6</v>
      </c>
      <c r="B172" s="18" t="n"/>
      <c r="F172" s="55" t="n"/>
      <c r="G172" s="17">
        <f>IFERROR(SUM(F167:F172),"")</f>
        <v/>
      </c>
      <c r="H172" s="17">
        <f>IFERROR(IF(F172="","",FLOOR(G171/((IFERROR(B164,0)+IFERROR(G164,0))/(IFERROR('Getting Started'!C15,0)+IFERROR('Getting Started'!C23,0))),1)+1),"")</f>
        <v/>
      </c>
      <c r="I172" s="17">
        <f>IFERROR(IF(F172="","",CEILING(G172/((IFERROR(B164,0)+IFERROR(G164,0))/(IFERROR('Getting Started'!C15,0)+IFERROR('Getting Started'!C23,0))),1)),"")</f>
        <v/>
      </c>
      <c r="J172" s="54">
        <f>IFERROR(IF(F172="","",TEXT('Getting Started'!C10+(H172-1)*7,"MMM D")&amp;" – "&amp;TEXT('Getting Started'!C10+I172*7,"MMM D")),"")</f>
        <v/>
      </c>
    </row>
    <row r="173" ht="20" customHeight="1">
      <c r="A173" s="56">
        <f>IFERROR(IF('Course Content'!I77="","",'Course Content'!I77),"")</f>
        <v/>
      </c>
    </row>
    <row r="174" ht="8" customHeight="1"/>
  </sheetData>
  <mergeCells count="158">
    <mergeCell ref="B146:E146"/>
    <mergeCell ref="E19:J19"/>
    <mergeCell ref="B74:E74"/>
    <mergeCell ref="G4:J4"/>
    <mergeCell ref="A165:J165"/>
    <mergeCell ref="B123:E123"/>
    <mergeCell ref="B36:E36"/>
    <mergeCell ref="B76:E76"/>
    <mergeCell ref="B110:E110"/>
    <mergeCell ref="A93:J93"/>
    <mergeCell ref="A31:D31"/>
    <mergeCell ref="A173:J173"/>
    <mergeCell ref="B100:E100"/>
    <mergeCell ref="A77:J77"/>
    <mergeCell ref="B109:E109"/>
    <mergeCell ref="B47:E47"/>
    <mergeCell ref="B22:E22"/>
    <mergeCell ref="B155:E155"/>
    <mergeCell ref="B12:E12"/>
    <mergeCell ref="B86:E86"/>
    <mergeCell ref="A69:J69"/>
    <mergeCell ref="A7:D7"/>
    <mergeCell ref="B39:E39"/>
    <mergeCell ref="E139:J139"/>
    <mergeCell ref="B14:E14"/>
    <mergeCell ref="B136:E136"/>
    <mergeCell ref="B23:E23"/>
    <mergeCell ref="B13:E13"/>
    <mergeCell ref="A163:D163"/>
    <mergeCell ref="B38:E38"/>
    <mergeCell ref="B112:E112"/>
    <mergeCell ref="E79:J79"/>
    <mergeCell ref="B87:E87"/>
    <mergeCell ref="B40:E40"/>
    <mergeCell ref="B49:E49"/>
    <mergeCell ref="B64:E64"/>
    <mergeCell ref="A29:J29"/>
    <mergeCell ref="A81:J81"/>
    <mergeCell ref="A19:D19"/>
    <mergeCell ref="B51:E51"/>
    <mergeCell ref="A161:J161"/>
    <mergeCell ref="B63:E63"/>
    <mergeCell ref="B26:E26"/>
    <mergeCell ref="B154:E154"/>
    <mergeCell ref="B35:E35"/>
    <mergeCell ref="B50:E50"/>
    <mergeCell ref="B106:E106"/>
    <mergeCell ref="A127:D127"/>
    <mergeCell ref="E163:J163"/>
    <mergeCell ref="B16:E16"/>
    <mergeCell ref="B25:E25"/>
    <mergeCell ref="B156:E156"/>
    <mergeCell ref="E91:J91"/>
    <mergeCell ref="B131:E131"/>
    <mergeCell ref="B27:E27"/>
    <mergeCell ref="A79:D79"/>
    <mergeCell ref="E115:J115"/>
    <mergeCell ref="B130:E130"/>
    <mergeCell ref="B11:E11"/>
    <mergeCell ref="B61:E61"/>
    <mergeCell ref="A4:E4"/>
    <mergeCell ref="B132:E132"/>
    <mergeCell ref="B166:E166"/>
    <mergeCell ref="A149:J149"/>
    <mergeCell ref="B119:E119"/>
    <mergeCell ref="E127:J127"/>
    <mergeCell ref="A139:D139"/>
    <mergeCell ref="B37:E37"/>
    <mergeCell ref="A2:J2"/>
    <mergeCell ref="B168:E168"/>
    <mergeCell ref="B84:E84"/>
    <mergeCell ref="B118:E118"/>
    <mergeCell ref="A141:J141"/>
    <mergeCell ref="A91:D91"/>
    <mergeCell ref="B158:E158"/>
    <mergeCell ref="B15:E15"/>
    <mergeCell ref="B142:E142"/>
    <mergeCell ref="B24:E24"/>
    <mergeCell ref="A125:J125"/>
    <mergeCell ref="B95:E95"/>
    <mergeCell ref="A115:D115"/>
    <mergeCell ref="B160:E160"/>
    <mergeCell ref="B169:E169"/>
    <mergeCell ref="B144:E144"/>
    <mergeCell ref="B97:E97"/>
    <mergeCell ref="B72:E72"/>
    <mergeCell ref="B134:E134"/>
    <mergeCell ref="B121:E121"/>
    <mergeCell ref="A103:D103"/>
    <mergeCell ref="B122:E122"/>
    <mergeCell ref="B71:E71"/>
    <mergeCell ref="B58:E58"/>
    <mergeCell ref="B52:E52"/>
    <mergeCell ref="A153:J153"/>
    <mergeCell ref="B120:E120"/>
    <mergeCell ref="A137:J137"/>
    <mergeCell ref="B107:E107"/>
    <mergeCell ref="A41:J41"/>
    <mergeCell ref="B60:E60"/>
    <mergeCell ref="E151:J151"/>
    <mergeCell ref="B170:E170"/>
    <mergeCell ref="E55:J55"/>
    <mergeCell ref="B148:E148"/>
    <mergeCell ref="B157:E157"/>
    <mergeCell ref="E67:J67"/>
    <mergeCell ref="B171:E171"/>
    <mergeCell ref="A101:J101"/>
    <mergeCell ref="B34:E34"/>
    <mergeCell ref="B172:E172"/>
    <mergeCell ref="B28:E28"/>
    <mergeCell ref="B99:E99"/>
    <mergeCell ref="A33:J33"/>
    <mergeCell ref="B108:E108"/>
    <mergeCell ref="E103:J103"/>
    <mergeCell ref="B83:E83"/>
    <mergeCell ref="A17:J17"/>
    <mergeCell ref="B143:E143"/>
    <mergeCell ref="A53:J53"/>
    <mergeCell ref="E31:J31"/>
    <mergeCell ref="B124:E124"/>
    <mergeCell ref="A43:D43"/>
    <mergeCell ref="B133:E133"/>
    <mergeCell ref="B85:E85"/>
    <mergeCell ref="B94:E94"/>
    <mergeCell ref="A117:J117"/>
    <mergeCell ref="A67:D67"/>
    <mergeCell ref="B75:E75"/>
    <mergeCell ref="A9:J9"/>
    <mergeCell ref="B135:E135"/>
    <mergeCell ref="B62:E62"/>
    <mergeCell ref="B59:E59"/>
    <mergeCell ref="B46:E46"/>
    <mergeCell ref="B159:E159"/>
    <mergeCell ref="E7:J7"/>
    <mergeCell ref="A1:J1"/>
    <mergeCell ref="A45:J45"/>
    <mergeCell ref="B96:E96"/>
    <mergeCell ref="B167:E167"/>
    <mergeCell ref="B70:E70"/>
    <mergeCell ref="B48:E48"/>
    <mergeCell ref="A65:J65"/>
    <mergeCell ref="E43:J43"/>
    <mergeCell ref="B111:E111"/>
    <mergeCell ref="B145:E145"/>
    <mergeCell ref="B98:E98"/>
    <mergeCell ref="A89:J89"/>
    <mergeCell ref="B73:E73"/>
    <mergeCell ref="B88:E88"/>
    <mergeCell ref="B82:E82"/>
    <mergeCell ref="A21:J21"/>
    <mergeCell ref="A55:D55"/>
    <mergeCell ref="A105:J105"/>
    <mergeCell ref="B147:E147"/>
    <mergeCell ref="A57:J57"/>
    <mergeCell ref="A113:J113"/>
    <mergeCell ref="A151:D151"/>
    <mergeCell ref="B10:E10"/>
    <mergeCell ref="A129:J129"/>
  </mergeCells>
  <pageMargins left="0.75" right="0.75" top="1" bottom="1" header="0.5" footer="0.5"/>
</worksheet>
</file>

<file path=xl/worksheets/sheet8.xml><?xml version="1.0" encoding="utf-8"?>
<worksheet xmlns="http://schemas.openxmlformats.org/spreadsheetml/2006/main">
  <sheetPr>
    <tabColor rgb="008A7A5C"/>
    <outlinePr summaryBelow="1" summaryRight="1"/>
    <pageSetUpPr/>
  </sheetPr>
  <dimension ref="A1:J173"/>
  <sheetViews>
    <sheetView workbookViewId="0">
      <pane ySplit="6" topLeftCell="A7"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8" customWidth="1" min="5" max="5"/>
    <col width="4" customWidth="1" min="6" max="6"/>
    <col width="14" customWidth="1" min="7" max="7"/>
    <col width="14" customWidth="1" min="8" max="8"/>
    <col width="14" customWidth="1" min="9" max="9"/>
    <col width="18" customWidth="1" min="10" max="10"/>
  </cols>
  <sheetData>
    <row r="1" ht="40" customHeight="1">
      <c r="A1" s="1">
        <f>IF('Getting Started'!B34="","Student 6",'Getting Started'!B34)</f>
        <v/>
      </c>
    </row>
    <row r="2" ht="22" customHeight="1">
      <c r="A2" s="37">
        <f>IFERROR("Grade: "&amp;'Getting Started'!F34&amp;"   ·   School Year: "&amp;'Getting Started'!C6,"")</f>
        <v/>
      </c>
    </row>
    <row r="3" ht="8" customHeight="1"/>
    <row r="4" ht="22" customHeight="1">
      <c r="A4" s="38">
        <f>IFERROR("SEMESTER 1   "&amp;TEXT('Getting Started'!C10,"MMM D")&amp;" – "&amp;TEXT('Getting Started'!C11,"MMM D, YYYY")&amp;"   ("&amp;'Getting Started'!C15&amp;" wks)","SEMESTER 1")</f>
        <v/>
      </c>
      <c r="F4" s="39" t="n"/>
      <c r="G4" s="40">
        <f>IFERROR("SEMESTER 2   "&amp;TEXT('Getting Started'!C18,"MMM D")&amp;" – "&amp;TEXT('Getting Started'!C19,"MMM D, YYYY")&amp;"   ("&amp;'Getting Started'!C23&amp;" wks)","SEMESTER 2")</f>
        <v/>
      </c>
    </row>
    <row r="5" ht="24" customHeight="1">
      <c r="A5" s="28" t="inlineStr">
        <is>
          <t>Subject  /  Curriculum</t>
        </is>
      </c>
      <c r="B5" s="41" t="inlineStr">
        <is>
          <t>Sem 1
Units</t>
        </is>
      </c>
      <c r="C5" s="41" t="inlineStr">
        <is>
          <t>/ Week</t>
        </is>
      </c>
      <c r="D5" s="41" t="inlineStr">
        <is>
          <t>/ Day</t>
        </is>
      </c>
      <c r="E5" s="41" t="inlineStr">
        <is>
          <t>Est. End</t>
        </is>
      </c>
      <c r="F5" s="42" t="inlineStr"/>
      <c r="G5" s="43" t="inlineStr">
        <is>
          <t>Sem 2
Units</t>
        </is>
      </c>
      <c r="H5" s="43" t="inlineStr">
        <is>
          <t>/ Week</t>
        </is>
      </c>
      <c r="I5" s="43" t="inlineStr">
        <is>
          <t>/ Day</t>
        </is>
      </c>
      <c r="J5" s="43" t="inlineStr">
        <is>
          <t>Est. End</t>
        </is>
      </c>
    </row>
    <row r="6" ht="8" customHeight="1"/>
    <row r="7" ht="24" customHeight="1">
      <c r="A7" s="44" t="inlineStr">
        <is>
          <t xml:space="preserve">  BIBLE</t>
        </is>
      </c>
      <c r="E7" s="45">
        <f>IFERROR(IF('Course Content'!E78="","← enter on Course Content tab",'Course Content'!E78),"")</f>
        <v/>
      </c>
    </row>
    <row r="8" ht="22" customHeight="1">
      <c r="B8" s="46">
        <f>'Course Content'!G78</f>
        <v/>
      </c>
      <c r="C8" s="47">
        <f>IFERROR(IF(B8="","",ROUND(B8/'Getting Started'!C15,1)),"")</f>
        <v/>
      </c>
      <c r="D8" s="47">
        <f>IFERROR(IF(C8="","",ROUND(C8/'Getting Started'!C7,1)),"")</f>
        <v/>
      </c>
      <c r="E8" s="48">
        <f>IFERROR(IF(B8="","",TEXT('Getting Started'!C10+(B8/D8),"MMM D, YYYY")),"")</f>
        <v/>
      </c>
      <c r="F8" s="39" t="n"/>
      <c r="G8" s="49">
        <f>'Course Content'!H78</f>
        <v/>
      </c>
      <c r="H8" s="50">
        <f>IFERROR(IF(G8="","",ROUND(G8/'Getting Started'!C23,1)),"")</f>
        <v/>
      </c>
      <c r="I8" s="50">
        <f>IFERROR(IF(H8="","",ROUND(H8/'Getting Started'!C7,1)),"")</f>
        <v/>
      </c>
      <c r="J8" s="51">
        <f>IFERROR(IF(G8="","",TEXT('Getting Started'!C18+(G8/I8),"MMM D, YYYY")),"")</f>
        <v/>
      </c>
    </row>
    <row r="9" ht="16" customHeight="1">
      <c r="A9" s="52" t="inlineStr">
        <is>
          <t xml:space="preserve">  Component Breakdown  (optional — use for multi-volume curricula)</t>
        </is>
      </c>
    </row>
    <row r="10" ht="22" customHeight="1">
      <c r="A10" s="28" t="inlineStr">
        <is>
          <t>#</t>
        </is>
      </c>
      <c r="B10" s="28" t="inlineStr">
        <is>
          <t>Book / Component Title</t>
        </is>
      </c>
      <c r="F10" s="28" t="inlineStr">
        <is>
          <t>Units</t>
        </is>
      </c>
      <c r="G10" s="28" t="inlineStr">
        <is>
          <t>Cumul.</t>
        </is>
      </c>
      <c r="H10" s="28" t="inlineStr">
        <is>
          <t>Start
Week</t>
        </is>
      </c>
      <c r="I10" s="28" t="inlineStr">
        <is>
          <t>End
Week</t>
        </is>
      </c>
      <c r="J10" s="28" t="inlineStr">
        <is>
          <t>Est. Dates</t>
        </is>
      </c>
    </row>
    <row r="11" ht="18" customHeight="1">
      <c r="A11" s="53" t="n">
        <v>1</v>
      </c>
      <c r="B11" s="5" t="n"/>
      <c r="F11" s="32" t="n"/>
      <c r="G11" s="17">
        <f>IFERROR(SUM(F11:F11),"")</f>
        <v/>
      </c>
      <c r="H11" s="17">
        <f>IF(F11="","",1)</f>
        <v/>
      </c>
      <c r="I11" s="17">
        <f>IFERROR(IF(F11="","",CEILING(G11/((IFERROR(B8,0)+IFERROR(G8,0))/(IFERROR('Getting Started'!C15,0)+IFERROR('Getting Started'!C23,0))),1)),"")</f>
        <v/>
      </c>
      <c r="J11" s="54">
        <f>IFERROR(IF(F11="","",TEXT('Getting Started'!C10+(H11-1)*7,"MMM D")&amp;" – "&amp;TEXT('Getting Started'!C10+I11*7,"MMM D")),"")</f>
        <v/>
      </c>
    </row>
    <row r="12" ht="18" customHeight="1">
      <c r="A12" s="53" t="n">
        <v>2</v>
      </c>
      <c r="B12" s="18" t="n"/>
      <c r="F12" s="55" t="n"/>
      <c r="G12" s="17">
        <f>IFERROR(SUM(F11:F12),"")</f>
        <v/>
      </c>
      <c r="H12" s="17">
        <f>IFERROR(IF(F12="","",FLOOR(G11/((IFERROR(B8,0)+IFERROR(G8,0))/(IFERROR('Getting Started'!C15,0)+IFERROR('Getting Started'!C23,0))),1)+1),"")</f>
        <v/>
      </c>
      <c r="I12" s="17">
        <f>IFERROR(IF(F12="","",CEILING(G12/((IFERROR(B8,0)+IFERROR(G8,0))/(IFERROR('Getting Started'!C15,0)+IFERROR('Getting Started'!C23,0))),1)),"")</f>
        <v/>
      </c>
      <c r="J12" s="54">
        <f>IFERROR(IF(F12="","",TEXT('Getting Started'!C10+(H12-1)*7,"MMM D")&amp;" – "&amp;TEXT('Getting Started'!C10+I12*7,"MMM D")),"")</f>
        <v/>
      </c>
    </row>
    <row r="13" ht="18" customHeight="1">
      <c r="A13" s="53" t="n">
        <v>3</v>
      </c>
      <c r="B13" s="5" t="n"/>
      <c r="F13" s="32" t="n"/>
      <c r="G13" s="17">
        <f>IFERROR(SUM(F11:F13),"")</f>
        <v/>
      </c>
      <c r="H13" s="17">
        <f>IFERROR(IF(F13="","",FLOOR(G12/((IFERROR(B8,0)+IFERROR(G8,0))/(IFERROR('Getting Started'!C15,0)+IFERROR('Getting Started'!C23,0))),1)+1),"")</f>
        <v/>
      </c>
      <c r="I13" s="17">
        <f>IFERROR(IF(F13="","",CEILING(G13/((IFERROR(B8,0)+IFERROR(G8,0))/(IFERROR('Getting Started'!C15,0)+IFERROR('Getting Started'!C23,0))),1)),"")</f>
        <v/>
      </c>
      <c r="J13" s="54">
        <f>IFERROR(IF(F13="","",TEXT('Getting Started'!C10+(H13-1)*7,"MMM D")&amp;" – "&amp;TEXT('Getting Started'!C10+I13*7,"MMM D")),"")</f>
        <v/>
      </c>
    </row>
    <row r="14" ht="18" customHeight="1">
      <c r="A14" s="53" t="n">
        <v>4</v>
      </c>
      <c r="B14" s="18" t="n"/>
      <c r="F14" s="55" t="n"/>
      <c r="G14" s="17">
        <f>IFERROR(SUM(F11:F14),"")</f>
        <v/>
      </c>
      <c r="H14" s="17">
        <f>IFERROR(IF(F14="","",FLOOR(G13/((IFERROR(B8,0)+IFERROR(G8,0))/(IFERROR('Getting Started'!C15,0)+IFERROR('Getting Started'!C23,0))),1)+1),"")</f>
        <v/>
      </c>
      <c r="I14" s="17">
        <f>IFERROR(IF(F14="","",CEILING(G14/((IFERROR(B8,0)+IFERROR(G8,0))/(IFERROR('Getting Started'!C15,0)+IFERROR('Getting Started'!C23,0))),1)),"")</f>
        <v/>
      </c>
      <c r="J14" s="54">
        <f>IFERROR(IF(F14="","",TEXT('Getting Started'!C10+(H14-1)*7,"MMM D")&amp;" – "&amp;TEXT('Getting Started'!C10+I14*7,"MMM D")),"")</f>
        <v/>
      </c>
    </row>
    <row r="15" ht="18" customHeight="1">
      <c r="A15" s="53" t="n">
        <v>5</v>
      </c>
      <c r="B15" s="5" t="n"/>
      <c r="F15" s="32" t="n"/>
      <c r="G15" s="17">
        <f>IFERROR(SUM(F11:F15),"")</f>
        <v/>
      </c>
      <c r="H15" s="17">
        <f>IFERROR(IF(F15="","",FLOOR(G14/((IFERROR(B8,0)+IFERROR(G8,0))/(IFERROR('Getting Started'!C15,0)+IFERROR('Getting Started'!C23,0))),1)+1),"")</f>
        <v/>
      </c>
      <c r="I15" s="17">
        <f>IFERROR(IF(F15="","",CEILING(G15/((IFERROR(B8,0)+IFERROR(G8,0))/(IFERROR('Getting Started'!C15,0)+IFERROR('Getting Started'!C23,0))),1)),"")</f>
        <v/>
      </c>
      <c r="J15" s="54">
        <f>IFERROR(IF(F15="","",TEXT('Getting Started'!C10+(H15-1)*7,"MMM D")&amp;" – "&amp;TEXT('Getting Started'!C10+I15*7,"MMM D")),"")</f>
        <v/>
      </c>
    </row>
    <row r="16" ht="18" customHeight="1">
      <c r="A16" s="53" t="n">
        <v>6</v>
      </c>
      <c r="B16" s="18" t="n"/>
      <c r="F16" s="55" t="n"/>
      <c r="G16" s="17">
        <f>IFERROR(SUM(F11:F16),"")</f>
        <v/>
      </c>
      <c r="H16" s="17">
        <f>IFERROR(IF(F16="","",FLOOR(G15/((IFERROR(B8,0)+IFERROR(G8,0))/(IFERROR('Getting Started'!C15,0)+IFERROR('Getting Started'!C23,0))),1)+1),"")</f>
        <v/>
      </c>
      <c r="I16" s="17">
        <f>IFERROR(IF(F16="","",CEILING(G16/((IFERROR(B8,0)+IFERROR(G8,0))/(IFERROR('Getting Started'!C15,0)+IFERROR('Getting Started'!C23,0))),1)),"")</f>
        <v/>
      </c>
      <c r="J16" s="54">
        <f>IFERROR(IF(F16="","",TEXT('Getting Started'!C10+(H16-1)*7,"MMM D")&amp;" – "&amp;TEXT('Getting Started'!C10+I16*7,"MMM D")),"")</f>
        <v/>
      </c>
    </row>
    <row r="17" ht="20" customHeight="1">
      <c r="A17" s="56">
        <f>IFERROR(IF('Course Content'!I78="","",'Course Content'!I78),"")</f>
        <v/>
      </c>
    </row>
    <row r="18" ht="8" customHeight="1"/>
    <row r="19" ht="24" customHeight="1">
      <c r="A19" s="44" t="inlineStr">
        <is>
          <t xml:space="preserve">  MATH</t>
        </is>
      </c>
      <c r="E19" s="45">
        <f>IFERROR(IF('Course Content'!E79="","← enter on Course Content tab",'Course Content'!E79),"")</f>
        <v/>
      </c>
    </row>
    <row r="20" ht="22" customHeight="1">
      <c r="B20" s="46">
        <f>'Course Content'!G79</f>
        <v/>
      </c>
      <c r="C20" s="47">
        <f>IFERROR(IF(B20="","",ROUND(B20/'Getting Started'!C15,1)),"")</f>
        <v/>
      </c>
      <c r="D20" s="47">
        <f>IFERROR(IF(C20="","",ROUND(C20/'Getting Started'!C7,1)),"")</f>
        <v/>
      </c>
      <c r="E20" s="48">
        <f>IFERROR(IF(B20="","",TEXT('Getting Started'!C10+(B20/D20),"MMM D, YYYY")),"")</f>
        <v/>
      </c>
      <c r="F20" s="39" t="n"/>
      <c r="G20" s="49">
        <f>'Course Content'!H79</f>
        <v/>
      </c>
      <c r="H20" s="50">
        <f>IFERROR(IF(G20="","",ROUND(G20/'Getting Started'!C23,1)),"")</f>
        <v/>
      </c>
      <c r="I20" s="50">
        <f>IFERROR(IF(H20="","",ROUND(H20/'Getting Started'!C7,1)),"")</f>
        <v/>
      </c>
      <c r="J20" s="51">
        <f>IFERROR(IF(G20="","",TEXT('Getting Started'!C18+(G20/I20),"MMM D, YYYY")),"")</f>
        <v/>
      </c>
    </row>
    <row r="21" ht="16" customHeight="1">
      <c r="A21" s="52" t="inlineStr">
        <is>
          <t xml:space="preserve">  Component Breakdown  (optional — use for multi-volume curricula)</t>
        </is>
      </c>
    </row>
    <row r="22" ht="22" customHeight="1">
      <c r="A22" s="28" t="inlineStr">
        <is>
          <t>#</t>
        </is>
      </c>
      <c r="B22" s="28" t="inlineStr">
        <is>
          <t>Book / Component Title</t>
        </is>
      </c>
      <c r="F22" s="28" t="inlineStr">
        <is>
          <t>Units</t>
        </is>
      </c>
      <c r="G22" s="28" t="inlineStr">
        <is>
          <t>Cumul.</t>
        </is>
      </c>
      <c r="H22" s="28" t="inlineStr">
        <is>
          <t>Start
Week</t>
        </is>
      </c>
      <c r="I22" s="28" t="inlineStr">
        <is>
          <t>End
Week</t>
        </is>
      </c>
      <c r="J22" s="28" t="inlineStr">
        <is>
          <t>Est. Dates</t>
        </is>
      </c>
    </row>
    <row r="23" ht="18" customHeight="1">
      <c r="A23" s="53" t="n">
        <v>1</v>
      </c>
      <c r="B23" s="5" t="n"/>
      <c r="F23" s="32" t="n"/>
      <c r="G23" s="17">
        <f>IFERROR(SUM(F23:F23),"")</f>
        <v/>
      </c>
      <c r="H23" s="17">
        <f>IF(F23="","",1)</f>
        <v/>
      </c>
      <c r="I23" s="17">
        <f>IFERROR(IF(F23="","",CEILING(G23/((IFERROR(B20,0)+IFERROR(G20,0))/(IFERROR('Getting Started'!C15,0)+IFERROR('Getting Started'!C23,0))),1)),"")</f>
        <v/>
      </c>
      <c r="J23" s="54">
        <f>IFERROR(IF(F23="","",TEXT('Getting Started'!C10+(H23-1)*7,"MMM D")&amp;" – "&amp;TEXT('Getting Started'!C10+I23*7,"MMM D")),"")</f>
        <v/>
      </c>
    </row>
    <row r="24" ht="18" customHeight="1">
      <c r="A24" s="53" t="n">
        <v>2</v>
      </c>
      <c r="B24" s="18" t="n"/>
      <c r="F24" s="55" t="n"/>
      <c r="G24" s="17">
        <f>IFERROR(SUM(F23:F24),"")</f>
        <v/>
      </c>
      <c r="H24" s="17">
        <f>IFERROR(IF(F24="","",FLOOR(G23/((IFERROR(B20,0)+IFERROR(G20,0))/(IFERROR('Getting Started'!C15,0)+IFERROR('Getting Started'!C23,0))),1)+1),"")</f>
        <v/>
      </c>
      <c r="I24" s="17">
        <f>IFERROR(IF(F24="","",CEILING(G24/((IFERROR(B20,0)+IFERROR(G20,0))/(IFERROR('Getting Started'!C15,0)+IFERROR('Getting Started'!C23,0))),1)),"")</f>
        <v/>
      </c>
      <c r="J24" s="54">
        <f>IFERROR(IF(F24="","",TEXT('Getting Started'!C10+(H24-1)*7,"MMM D")&amp;" – "&amp;TEXT('Getting Started'!C10+I24*7,"MMM D")),"")</f>
        <v/>
      </c>
    </row>
    <row r="25" ht="18" customHeight="1">
      <c r="A25" s="53" t="n">
        <v>3</v>
      </c>
      <c r="B25" s="5" t="n"/>
      <c r="F25" s="32" t="n"/>
      <c r="G25" s="17">
        <f>IFERROR(SUM(F23:F25),"")</f>
        <v/>
      </c>
      <c r="H25" s="17">
        <f>IFERROR(IF(F25="","",FLOOR(G24/((IFERROR(B20,0)+IFERROR(G20,0))/(IFERROR('Getting Started'!C15,0)+IFERROR('Getting Started'!C23,0))),1)+1),"")</f>
        <v/>
      </c>
      <c r="I25" s="17">
        <f>IFERROR(IF(F25="","",CEILING(G25/((IFERROR(B20,0)+IFERROR(G20,0))/(IFERROR('Getting Started'!C15,0)+IFERROR('Getting Started'!C23,0))),1)),"")</f>
        <v/>
      </c>
      <c r="J25" s="54">
        <f>IFERROR(IF(F25="","",TEXT('Getting Started'!C10+(H25-1)*7,"MMM D")&amp;" – "&amp;TEXT('Getting Started'!C10+I25*7,"MMM D")),"")</f>
        <v/>
      </c>
    </row>
    <row r="26" ht="18" customHeight="1">
      <c r="A26" s="53" t="n">
        <v>4</v>
      </c>
      <c r="B26" s="18" t="n"/>
      <c r="F26" s="55" t="n"/>
      <c r="G26" s="17">
        <f>IFERROR(SUM(F23:F26),"")</f>
        <v/>
      </c>
      <c r="H26" s="17">
        <f>IFERROR(IF(F26="","",FLOOR(G25/((IFERROR(B20,0)+IFERROR(G20,0))/(IFERROR('Getting Started'!C15,0)+IFERROR('Getting Started'!C23,0))),1)+1),"")</f>
        <v/>
      </c>
      <c r="I26" s="17">
        <f>IFERROR(IF(F26="","",CEILING(G26/((IFERROR(B20,0)+IFERROR(G20,0))/(IFERROR('Getting Started'!C15,0)+IFERROR('Getting Started'!C23,0))),1)),"")</f>
        <v/>
      </c>
      <c r="J26" s="54">
        <f>IFERROR(IF(F26="","",TEXT('Getting Started'!C10+(H26-1)*7,"MMM D")&amp;" – "&amp;TEXT('Getting Started'!C10+I26*7,"MMM D")),"")</f>
        <v/>
      </c>
    </row>
    <row r="27" ht="18" customHeight="1">
      <c r="A27" s="53" t="n">
        <v>5</v>
      </c>
      <c r="B27" s="5" t="n"/>
      <c r="F27" s="32" t="n"/>
      <c r="G27" s="17">
        <f>IFERROR(SUM(F23:F27),"")</f>
        <v/>
      </c>
      <c r="H27" s="17">
        <f>IFERROR(IF(F27="","",FLOOR(G26/((IFERROR(B20,0)+IFERROR(G20,0))/(IFERROR('Getting Started'!C15,0)+IFERROR('Getting Started'!C23,0))),1)+1),"")</f>
        <v/>
      </c>
      <c r="I27" s="17">
        <f>IFERROR(IF(F27="","",CEILING(G27/((IFERROR(B20,0)+IFERROR(G20,0))/(IFERROR('Getting Started'!C15,0)+IFERROR('Getting Started'!C23,0))),1)),"")</f>
        <v/>
      </c>
      <c r="J27" s="54">
        <f>IFERROR(IF(F27="","",TEXT('Getting Started'!C10+(H27-1)*7,"MMM D")&amp;" – "&amp;TEXT('Getting Started'!C10+I27*7,"MMM D")),"")</f>
        <v/>
      </c>
    </row>
    <row r="28" ht="18" customHeight="1">
      <c r="A28" s="53" t="n">
        <v>6</v>
      </c>
      <c r="B28" s="18" t="n"/>
      <c r="F28" s="55" t="n"/>
      <c r="G28" s="17">
        <f>IFERROR(SUM(F23:F28),"")</f>
        <v/>
      </c>
      <c r="H28" s="17">
        <f>IFERROR(IF(F28="","",FLOOR(G27/((IFERROR(B20,0)+IFERROR(G20,0))/(IFERROR('Getting Started'!C15,0)+IFERROR('Getting Started'!C23,0))),1)+1),"")</f>
        <v/>
      </c>
      <c r="I28" s="17">
        <f>IFERROR(IF(F28="","",CEILING(G28/((IFERROR(B20,0)+IFERROR(G20,0))/(IFERROR('Getting Started'!C15,0)+IFERROR('Getting Started'!C23,0))),1)),"")</f>
        <v/>
      </c>
      <c r="J28" s="54">
        <f>IFERROR(IF(F28="","",TEXT('Getting Started'!C10+(H28-1)*7,"MMM D")&amp;" – "&amp;TEXT('Getting Started'!C10+I28*7,"MMM D")),"")</f>
        <v/>
      </c>
    </row>
    <row r="29" ht="20" customHeight="1">
      <c r="A29" s="56">
        <f>IFERROR(IF('Course Content'!I79="","",'Course Content'!I79),"")</f>
        <v/>
      </c>
    </row>
    <row r="30" ht="8" customHeight="1"/>
    <row r="31" ht="24" customHeight="1">
      <c r="A31" s="44" t="inlineStr">
        <is>
          <t xml:space="preserve">  ENGLISH / LANGUAGE ARTS</t>
        </is>
      </c>
      <c r="E31" s="45">
        <f>IFERROR(IF('Course Content'!E80="","← enter on Course Content tab",'Course Content'!E80),"")</f>
        <v/>
      </c>
    </row>
    <row r="32" ht="22" customHeight="1">
      <c r="B32" s="46">
        <f>'Course Content'!G80</f>
        <v/>
      </c>
      <c r="C32" s="47">
        <f>IFERROR(IF(B32="","",ROUND(B32/'Getting Started'!C15,1)),"")</f>
        <v/>
      </c>
      <c r="D32" s="47">
        <f>IFERROR(IF(C32="","",ROUND(C32/'Getting Started'!C7,1)),"")</f>
        <v/>
      </c>
      <c r="E32" s="48">
        <f>IFERROR(IF(B32="","",TEXT('Getting Started'!C10+(B32/D32),"MMM D, YYYY")),"")</f>
        <v/>
      </c>
      <c r="F32" s="39" t="n"/>
      <c r="G32" s="49">
        <f>'Course Content'!H80</f>
        <v/>
      </c>
      <c r="H32" s="50">
        <f>IFERROR(IF(G32="","",ROUND(G32/'Getting Started'!C23,1)),"")</f>
        <v/>
      </c>
      <c r="I32" s="50">
        <f>IFERROR(IF(H32="","",ROUND(H32/'Getting Started'!C7,1)),"")</f>
        <v/>
      </c>
      <c r="J32" s="51">
        <f>IFERROR(IF(G32="","",TEXT('Getting Started'!C18+(G32/I32),"MMM D, YYYY")),"")</f>
        <v/>
      </c>
    </row>
    <row r="33" ht="16" customHeight="1">
      <c r="A33" s="52" t="inlineStr">
        <is>
          <t xml:space="preserve">  Component Breakdown  (optional — use for multi-volume curricula)</t>
        </is>
      </c>
    </row>
    <row r="34" ht="22" customHeight="1">
      <c r="A34" s="28" t="inlineStr">
        <is>
          <t>#</t>
        </is>
      </c>
      <c r="B34" s="28" t="inlineStr">
        <is>
          <t>Book / Component Title</t>
        </is>
      </c>
      <c r="F34" s="28" t="inlineStr">
        <is>
          <t>Units</t>
        </is>
      </c>
      <c r="G34" s="28" t="inlineStr">
        <is>
          <t>Cumul.</t>
        </is>
      </c>
      <c r="H34" s="28" t="inlineStr">
        <is>
          <t>Start
Week</t>
        </is>
      </c>
      <c r="I34" s="28" t="inlineStr">
        <is>
          <t>End
Week</t>
        </is>
      </c>
      <c r="J34" s="28" t="inlineStr">
        <is>
          <t>Est. Dates</t>
        </is>
      </c>
    </row>
    <row r="35" ht="18" customHeight="1">
      <c r="A35" s="53" t="n">
        <v>1</v>
      </c>
      <c r="B35" s="5" t="n"/>
      <c r="F35" s="32" t="n"/>
      <c r="G35" s="17">
        <f>IFERROR(SUM(F35:F35),"")</f>
        <v/>
      </c>
      <c r="H35" s="17">
        <f>IF(F35="","",1)</f>
        <v/>
      </c>
      <c r="I35" s="17">
        <f>IFERROR(IF(F35="","",CEILING(G35/((IFERROR(B32,0)+IFERROR(G32,0))/(IFERROR('Getting Started'!C15,0)+IFERROR('Getting Started'!C23,0))),1)),"")</f>
        <v/>
      </c>
      <c r="J35" s="54">
        <f>IFERROR(IF(F35="","",TEXT('Getting Started'!C10+(H35-1)*7,"MMM D")&amp;" – "&amp;TEXT('Getting Started'!C10+I35*7,"MMM D")),"")</f>
        <v/>
      </c>
    </row>
    <row r="36" ht="18" customHeight="1">
      <c r="A36" s="53" t="n">
        <v>2</v>
      </c>
      <c r="B36" s="18" t="n"/>
      <c r="F36" s="55" t="n"/>
      <c r="G36" s="17">
        <f>IFERROR(SUM(F35:F36),"")</f>
        <v/>
      </c>
      <c r="H36" s="17">
        <f>IFERROR(IF(F36="","",FLOOR(G35/((IFERROR(B32,0)+IFERROR(G32,0))/(IFERROR('Getting Started'!C15,0)+IFERROR('Getting Started'!C23,0))),1)+1),"")</f>
        <v/>
      </c>
      <c r="I36" s="17">
        <f>IFERROR(IF(F36="","",CEILING(G36/((IFERROR(B32,0)+IFERROR(G32,0))/(IFERROR('Getting Started'!C15,0)+IFERROR('Getting Started'!C23,0))),1)),"")</f>
        <v/>
      </c>
      <c r="J36" s="54">
        <f>IFERROR(IF(F36="","",TEXT('Getting Started'!C10+(H36-1)*7,"MMM D")&amp;" – "&amp;TEXT('Getting Started'!C10+I36*7,"MMM D")),"")</f>
        <v/>
      </c>
    </row>
    <row r="37" ht="18" customHeight="1">
      <c r="A37" s="53" t="n">
        <v>3</v>
      </c>
      <c r="B37" s="5" t="n"/>
      <c r="F37" s="32" t="n"/>
      <c r="G37" s="17">
        <f>IFERROR(SUM(F35:F37),"")</f>
        <v/>
      </c>
      <c r="H37" s="17">
        <f>IFERROR(IF(F37="","",FLOOR(G36/((IFERROR(B32,0)+IFERROR(G32,0))/(IFERROR('Getting Started'!C15,0)+IFERROR('Getting Started'!C23,0))),1)+1),"")</f>
        <v/>
      </c>
      <c r="I37" s="17">
        <f>IFERROR(IF(F37="","",CEILING(G37/((IFERROR(B32,0)+IFERROR(G32,0))/(IFERROR('Getting Started'!C15,0)+IFERROR('Getting Started'!C23,0))),1)),"")</f>
        <v/>
      </c>
      <c r="J37" s="54">
        <f>IFERROR(IF(F37="","",TEXT('Getting Started'!C10+(H37-1)*7,"MMM D")&amp;" – "&amp;TEXT('Getting Started'!C10+I37*7,"MMM D")),"")</f>
        <v/>
      </c>
    </row>
    <row r="38" ht="18" customHeight="1">
      <c r="A38" s="53" t="n">
        <v>4</v>
      </c>
      <c r="B38" s="18" t="n"/>
      <c r="F38" s="55" t="n"/>
      <c r="G38" s="17">
        <f>IFERROR(SUM(F35:F38),"")</f>
        <v/>
      </c>
      <c r="H38" s="17">
        <f>IFERROR(IF(F38="","",FLOOR(G37/((IFERROR(B32,0)+IFERROR(G32,0))/(IFERROR('Getting Started'!C15,0)+IFERROR('Getting Started'!C23,0))),1)+1),"")</f>
        <v/>
      </c>
      <c r="I38" s="17">
        <f>IFERROR(IF(F38="","",CEILING(G38/((IFERROR(B32,0)+IFERROR(G32,0))/(IFERROR('Getting Started'!C15,0)+IFERROR('Getting Started'!C23,0))),1)),"")</f>
        <v/>
      </c>
      <c r="J38" s="54">
        <f>IFERROR(IF(F38="","",TEXT('Getting Started'!C10+(H38-1)*7,"MMM D")&amp;" – "&amp;TEXT('Getting Started'!C10+I38*7,"MMM D")),"")</f>
        <v/>
      </c>
    </row>
    <row r="39" ht="18" customHeight="1">
      <c r="A39" s="53" t="n">
        <v>5</v>
      </c>
      <c r="B39" s="5" t="n"/>
      <c r="F39" s="32" t="n"/>
      <c r="G39" s="17">
        <f>IFERROR(SUM(F35:F39),"")</f>
        <v/>
      </c>
      <c r="H39" s="17">
        <f>IFERROR(IF(F39="","",FLOOR(G38/((IFERROR(B32,0)+IFERROR(G32,0))/(IFERROR('Getting Started'!C15,0)+IFERROR('Getting Started'!C23,0))),1)+1),"")</f>
        <v/>
      </c>
      <c r="I39" s="17">
        <f>IFERROR(IF(F39="","",CEILING(G39/((IFERROR(B32,0)+IFERROR(G32,0))/(IFERROR('Getting Started'!C15,0)+IFERROR('Getting Started'!C23,0))),1)),"")</f>
        <v/>
      </c>
      <c r="J39" s="54">
        <f>IFERROR(IF(F39="","",TEXT('Getting Started'!C10+(H39-1)*7,"MMM D")&amp;" – "&amp;TEXT('Getting Started'!C10+I39*7,"MMM D")),"")</f>
        <v/>
      </c>
    </row>
    <row r="40" ht="18" customHeight="1">
      <c r="A40" s="53" t="n">
        <v>6</v>
      </c>
      <c r="B40" s="18" t="n"/>
      <c r="F40" s="55" t="n"/>
      <c r="G40" s="17">
        <f>IFERROR(SUM(F35:F40),"")</f>
        <v/>
      </c>
      <c r="H40" s="17">
        <f>IFERROR(IF(F40="","",FLOOR(G39/((IFERROR(B32,0)+IFERROR(G32,0))/(IFERROR('Getting Started'!C15,0)+IFERROR('Getting Started'!C23,0))),1)+1),"")</f>
        <v/>
      </c>
      <c r="I40" s="17">
        <f>IFERROR(IF(F40="","",CEILING(G40/((IFERROR(B32,0)+IFERROR(G32,0))/(IFERROR('Getting Started'!C15,0)+IFERROR('Getting Started'!C23,0))),1)),"")</f>
        <v/>
      </c>
      <c r="J40" s="54">
        <f>IFERROR(IF(F40="","",TEXT('Getting Started'!C10+(H40-1)*7,"MMM D")&amp;" – "&amp;TEXT('Getting Started'!C10+I40*7,"MMM D")),"")</f>
        <v/>
      </c>
    </row>
    <row r="41" ht="20" customHeight="1">
      <c r="A41" s="56">
        <f>IFERROR(IF('Course Content'!I80="","",'Course Content'!I80),"")</f>
        <v/>
      </c>
    </row>
    <row r="42" ht="8" customHeight="1"/>
    <row r="43" ht="24" customHeight="1">
      <c r="A43" s="44" t="inlineStr">
        <is>
          <t xml:space="preserve">  READING</t>
        </is>
      </c>
      <c r="E43" s="45">
        <f>IFERROR(IF('Course Content'!E81="","← enter on Course Content tab",'Course Content'!E81),"")</f>
        <v/>
      </c>
    </row>
    <row r="44" ht="22" customHeight="1">
      <c r="B44" s="46">
        <f>'Course Content'!G81</f>
        <v/>
      </c>
      <c r="C44" s="47">
        <f>IFERROR(IF(B44="","",ROUND(B44/'Getting Started'!C15,1)),"")</f>
        <v/>
      </c>
      <c r="D44" s="47">
        <f>IFERROR(IF(C44="","",ROUND(C44/'Getting Started'!C7,1)),"")</f>
        <v/>
      </c>
      <c r="E44" s="48">
        <f>IFERROR(IF(B44="","",TEXT('Getting Started'!C10+(B44/D44),"MMM D, YYYY")),"")</f>
        <v/>
      </c>
      <c r="F44" s="39" t="n"/>
      <c r="G44" s="49">
        <f>'Course Content'!H81</f>
        <v/>
      </c>
      <c r="H44" s="50">
        <f>IFERROR(IF(G44="","",ROUND(G44/'Getting Started'!C23,1)),"")</f>
        <v/>
      </c>
      <c r="I44" s="50">
        <f>IFERROR(IF(H44="","",ROUND(H44/'Getting Started'!C7,1)),"")</f>
        <v/>
      </c>
      <c r="J44" s="51">
        <f>IFERROR(IF(G44="","",TEXT('Getting Started'!C18+(G44/I44),"MMM D, YYYY")),"")</f>
        <v/>
      </c>
    </row>
    <row r="45" ht="16" customHeight="1">
      <c r="A45" s="52" t="inlineStr">
        <is>
          <t xml:space="preserve">  Component Breakdown  (optional — use for multi-volume curricula)</t>
        </is>
      </c>
    </row>
    <row r="46" ht="22" customHeight="1">
      <c r="A46" s="28" t="inlineStr">
        <is>
          <t>#</t>
        </is>
      </c>
      <c r="B46" s="28" t="inlineStr">
        <is>
          <t>Book / Component Title</t>
        </is>
      </c>
      <c r="F46" s="28" t="inlineStr">
        <is>
          <t>Units</t>
        </is>
      </c>
      <c r="G46" s="28" t="inlineStr">
        <is>
          <t>Cumul.</t>
        </is>
      </c>
      <c r="H46" s="28" t="inlineStr">
        <is>
          <t>Start
Week</t>
        </is>
      </c>
      <c r="I46" s="28" t="inlineStr">
        <is>
          <t>End
Week</t>
        </is>
      </c>
      <c r="J46" s="28" t="inlineStr">
        <is>
          <t>Est. Dates</t>
        </is>
      </c>
    </row>
    <row r="47" ht="18" customHeight="1">
      <c r="A47" s="53" t="n">
        <v>1</v>
      </c>
      <c r="B47" s="5" t="n"/>
      <c r="F47" s="32" t="n"/>
      <c r="G47" s="17">
        <f>IFERROR(SUM(F47:F47),"")</f>
        <v/>
      </c>
      <c r="H47" s="17">
        <f>IF(F47="","",1)</f>
        <v/>
      </c>
      <c r="I47" s="17">
        <f>IFERROR(IF(F47="","",CEILING(G47/((IFERROR(B44,0)+IFERROR(G44,0))/(IFERROR('Getting Started'!C15,0)+IFERROR('Getting Started'!C23,0))),1)),"")</f>
        <v/>
      </c>
      <c r="J47" s="54">
        <f>IFERROR(IF(F47="","",TEXT('Getting Started'!C10+(H47-1)*7,"MMM D")&amp;" – "&amp;TEXT('Getting Started'!C10+I47*7,"MMM D")),"")</f>
        <v/>
      </c>
    </row>
    <row r="48" ht="18" customHeight="1">
      <c r="A48" s="53" t="n">
        <v>2</v>
      </c>
      <c r="B48" s="18" t="n"/>
      <c r="F48" s="55" t="n"/>
      <c r="G48" s="17">
        <f>IFERROR(SUM(F47:F48),"")</f>
        <v/>
      </c>
      <c r="H48" s="17">
        <f>IFERROR(IF(F48="","",FLOOR(G47/((IFERROR(B44,0)+IFERROR(G44,0))/(IFERROR('Getting Started'!C15,0)+IFERROR('Getting Started'!C23,0))),1)+1),"")</f>
        <v/>
      </c>
      <c r="I48" s="17">
        <f>IFERROR(IF(F48="","",CEILING(G48/((IFERROR(B44,0)+IFERROR(G44,0))/(IFERROR('Getting Started'!C15,0)+IFERROR('Getting Started'!C23,0))),1)),"")</f>
        <v/>
      </c>
      <c r="J48" s="54">
        <f>IFERROR(IF(F48="","",TEXT('Getting Started'!C10+(H48-1)*7,"MMM D")&amp;" – "&amp;TEXT('Getting Started'!C10+I48*7,"MMM D")),"")</f>
        <v/>
      </c>
    </row>
    <row r="49" ht="18" customHeight="1">
      <c r="A49" s="53" t="n">
        <v>3</v>
      </c>
      <c r="B49" s="5" t="n"/>
      <c r="F49" s="32" t="n"/>
      <c r="G49" s="17">
        <f>IFERROR(SUM(F47:F49),"")</f>
        <v/>
      </c>
      <c r="H49" s="17">
        <f>IFERROR(IF(F49="","",FLOOR(G48/((IFERROR(B44,0)+IFERROR(G44,0))/(IFERROR('Getting Started'!C15,0)+IFERROR('Getting Started'!C23,0))),1)+1),"")</f>
        <v/>
      </c>
      <c r="I49" s="17">
        <f>IFERROR(IF(F49="","",CEILING(G49/((IFERROR(B44,0)+IFERROR(G44,0))/(IFERROR('Getting Started'!C15,0)+IFERROR('Getting Started'!C23,0))),1)),"")</f>
        <v/>
      </c>
      <c r="J49" s="54">
        <f>IFERROR(IF(F49="","",TEXT('Getting Started'!C10+(H49-1)*7,"MMM D")&amp;" – "&amp;TEXT('Getting Started'!C10+I49*7,"MMM D")),"")</f>
        <v/>
      </c>
    </row>
    <row r="50" ht="18" customHeight="1">
      <c r="A50" s="53" t="n">
        <v>4</v>
      </c>
      <c r="B50" s="18" t="n"/>
      <c r="F50" s="55" t="n"/>
      <c r="G50" s="17">
        <f>IFERROR(SUM(F47:F50),"")</f>
        <v/>
      </c>
      <c r="H50" s="17">
        <f>IFERROR(IF(F50="","",FLOOR(G49/((IFERROR(B44,0)+IFERROR(G44,0))/(IFERROR('Getting Started'!C15,0)+IFERROR('Getting Started'!C23,0))),1)+1),"")</f>
        <v/>
      </c>
      <c r="I50" s="17">
        <f>IFERROR(IF(F50="","",CEILING(G50/((IFERROR(B44,0)+IFERROR(G44,0))/(IFERROR('Getting Started'!C15,0)+IFERROR('Getting Started'!C23,0))),1)),"")</f>
        <v/>
      </c>
      <c r="J50" s="54">
        <f>IFERROR(IF(F50="","",TEXT('Getting Started'!C10+(H50-1)*7,"MMM D")&amp;" – "&amp;TEXT('Getting Started'!C10+I50*7,"MMM D")),"")</f>
        <v/>
      </c>
    </row>
    <row r="51" ht="18" customHeight="1">
      <c r="A51" s="53" t="n">
        <v>5</v>
      </c>
      <c r="B51" s="5" t="n"/>
      <c r="F51" s="32" t="n"/>
      <c r="G51" s="17">
        <f>IFERROR(SUM(F47:F51),"")</f>
        <v/>
      </c>
      <c r="H51" s="17">
        <f>IFERROR(IF(F51="","",FLOOR(G50/((IFERROR(B44,0)+IFERROR(G44,0))/(IFERROR('Getting Started'!C15,0)+IFERROR('Getting Started'!C23,0))),1)+1),"")</f>
        <v/>
      </c>
      <c r="I51" s="17">
        <f>IFERROR(IF(F51="","",CEILING(G51/((IFERROR(B44,0)+IFERROR(G44,0))/(IFERROR('Getting Started'!C15,0)+IFERROR('Getting Started'!C23,0))),1)),"")</f>
        <v/>
      </c>
      <c r="J51" s="54">
        <f>IFERROR(IF(F51="","",TEXT('Getting Started'!C10+(H51-1)*7,"MMM D")&amp;" – "&amp;TEXT('Getting Started'!C10+I51*7,"MMM D")),"")</f>
        <v/>
      </c>
    </row>
    <row r="52" ht="18" customHeight="1">
      <c r="A52" s="53" t="n">
        <v>6</v>
      </c>
      <c r="B52" s="18" t="n"/>
      <c r="F52" s="55" t="n"/>
      <c r="G52" s="17">
        <f>IFERROR(SUM(F47:F52),"")</f>
        <v/>
      </c>
      <c r="H52" s="17">
        <f>IFERROR(IF(F52="","",FLOOR(G51/((IFERROR(B44,0)+IFERROR(G44,0))/(IFERROR('Getting Started'!C15,0)+IFERROR('Getting Started'!C23,0))),1)+1),"")</f>
        <v/>
      </c>
      <c r="I52" s="17">
        <f>IFERROR(IF(F52="","",CEILING(G52/((IFERROR(B44,0)+IFERROR(G44,0))/(IFERROR('Getting Started'!C15,0)+IFERROR('Getting Started'!C23,0))),1)),"")</f>
        <v/>
      </c>
      <c r="J52" s="54">
        <f>IFERROR(IF(F52="","",TEXT('Getting Started'!C10+(H52-1)*7,"MMM D")&amp;" – "&amp;TEXT('Getting Started'!C10+I52*7,"MMM D")),"")</f>
        <v/>
      </c>
    </row>
    <row r="53" ht="20" customHeight="1">
      <c r="A53" s="56">
        <f>IFERROR(IF('Course Content'!I81="","",'Course Content'!I81),"")</f>
        <v/>
      </c>
    </row>
    <row r="54" ht="8" customHeight="1"/>
    <row r="55" ht="24" customHeight="1">
      <c r="A55" s="44" t="inlineStr">
        <is>
          <t xml:space="preserve">  WRITING / COMPOSITION</t>
        </is>
      </c>
      <c r="E55" s="45">
        <f>IFERROR(IF('Course Content'!E82="","← enter on Course Content tab",'Course Content'!E82),"")</f>
        <v/>
      </c>
    </row>
    <row r="56" ht="22" customHeight="1">
      <c r="B56" s="46">
        <f>'Course Content'!G82</f>
        <v/>
      </c>
      <c r="C56" s="47">
        <f>IFERROR(IF(B56="","",ROUND(B56/'Getting Started'!C15,1)),"")</f>
        <v/>
      </c>
      <c r="D56" s="47">
        <f>IFERROR(IF(C56="","",ROUND(C56/'Getting Started'!C7,1)),"")</f>
        <v/>
      </c>
      <c r="E56" s="48">
        <f>IFERROR(IF(B56="","",TEXT('Getting Started'!C10+(B56/D56),"MMM D, YYYY")),"")</f>
        <v/>
      </c>
      <c r="F56" s="39" t="n"/>
      <c r="G56" s="49">
        <f>'Course Content'!H82</f>
        <v/>
      </c>
      <c r="H56" s="50">
        <f>IFERROR(IF(G56="","",ROUND(G56/'Getting Started'!C23,1)),"")</f>
        <v/>
      </c>
      <c r="I56" s="50">
        <f>IFERROR(IF(H56="","",ROUND(H56/'Getting Started'!C7,1)),"")</f>
        <v/>
      </c>
      <c r="J56" s="51">
        <f>IFERROR(IF(G56="","",TEXT('Getting Started'!C18+(G56/I56),"MMM D, YYYY")),"")</f>
        <v/>
      </c>
    </row>
    <row r="57" ht="16" customHeight="1">
      <c r="A57" s="52" t="inlineStr">
        <is>
          <t xml:space="preserve">  Component Breakdown  (optional — use for multi-volume curricula)</t>
        </is>
      </c>
    </row>
    <row r="58" ht="22" customHeight="1">
      <c r="A58" s="28" t="inlineStr">
        <is>
          <t>#</t>
        </is>
      </c>
      <c r="B58" s="28" t="inlineStr">
        <is>
          <t>Book / Component Title</t>
        </is>
      </c>
      <c r="F58" s="28" t="inlineStr">
        <is>
          <t>Units</t>
        </is>
      </c>
      <c r="G58" s="28" t="inlineStr">
        <is>
          <t>Cumul.</t>
        </is>
      </c>
      <c r="H58" s="28" t="inlineStr">
        <is>
          <t>Start
Week</t>
        </is>
      </c>
      <c r="I58" s="28" t="inlineStr">
        <is>
          <t>End
Week</t>
        </is>
      </c>
      <c r="J58" s="28" t="inlineStr">
        <is>
          <t>Est. Dates</t>
        </is>
      </c>
    </row>
    <row r="59" ht="18" customHeight="1">
      <c r="A59" s="53" t="n">
        <v>1</v>
      </c>
      <c r="B59" s="5" t="n"/>
      <c r="F59" s="32" t="n"/>
      <c r="G59" s="17">
        <f>IFERROR(SUM(F59:F59),"")</f>
        <v/>
      </c>
      <c r="H59" s="17">
        <f>IF(F59="","",1)</f>
        <v/>
      </c>
      <c r="I59" s="17">
        <f>IFERROR(IF(F59="","",CEILING(G59/((IFERROR(B56,0)+IFERROR(G56,0))/(IFERROR('Getting Started'!C15,0)+IFERROR('Getting Started'!C23,0))),1)),"")</f>
        <v/>
      </c>
      <c r="J59" s="54">
        <f>IFERROR(IF(F59="","",TEXT('Getting Started'!C10+(H59-1)*7,"MMM D")&amp;" – "&amp;TEXT('Getting Started'!C10+I59*7,"MMM D")),"")</f>
        <v/>
      </c>
    </row>
    <row r="60" ht="18" customHeight="1">
      <c r="A60" s="53" t="n">
        <v>2</v>
      </c>
      <c r="B60" s="18" t="n"/>
      <c r="F60" s="55" t="n"/>
      <c r="G60" s="17">
        <f>IFERROR(SUM(F59:F60),"")</f>
        <v/>
      </c>
      <c r="H60" s="17">
        <f>IFERROR(IF(F60="","",FLOOR(G59/((IFERROR(B56,0)+IFERROR(G56,0))/(IFERROR('Getting Started'!C15,0)+IFERROR('Getting Started'!C23,0))),1)+1),"")</f>
        <v/>
      </c>
      <c r="I60" s="17">
        <f>IFERROR(IF(F60="","",CEILING(G60/((IFERROR(B56,0)+IFERROR(G56,0))/(IFERROR('Getting Started'!C15,0)+IFERROR('Getting Started'!C23,0))),1)),"")</f>
        <v/>
      </c>
      <c r="J60" s="54">
        <f>IFERROR(IF(F60="","",TEXT('Getting Started'!C10+(H60-1)*7,"MMM D")&amp;" – "&amp;TEXT('Getting Started'!C10+I60*7,"MMM D")),"")</f>
        <v/>
      </c>
    </row>
    <row r="61" ht="18" customHeight="1">
      <c r="A61" s="53" t="n">
        <v>3</v>
      </c>
      <c r="B61" s="5" t="n"/>
      <c r="F61" s="32" t="n"/>
      <c r="G61" s="17">
        <f>IFERROR(SUM(F59:F61),"")</f>
        <v/>
      </c>
      <c r="H61" s="17">
        <f>IFERROR(IF(F61="","",FLOOR(G60/((IFERROR(B56,0)+IFERROR(G56,0))/(IFERROR('Getting Started'!C15,0)+IFERROR('Getting Started'!C23,0))),1)+1),"")</f>
        <v/>
      </c>
      <c r="I61" s="17">
        <f>IFERROR(IF(F61="","",CEILING(G61/((IFERROR(B56,0)+IFERROR(G56,0))/(IFERROR('Getting Started'!C15,0)+IFERROR('Getting Started'!C23,0))),1)),"")</f>
        <v/>
      </c>
      <c r="J61" s="54">
        <f>IFERROR(IF(F61="","",TEXT('Getting Started'!C10+(H61-1)*7,"MMM D")&amp;" – "&amp;TEXT('Getting Started'!C10+I61*7,"MMM D")),"")</f>
        <v/>
      </c>
    </row>
    <row r="62" ht="18" customHeight="1">
      <c r="A62" s="53" t="n">
        <v>4</v>
      </c>
      <c r="B62" s="18" t="n"/>
      <c r="F62" s="55" t="n"/>
      <c r="G62" s="17">
        <f>IFERROR(SUM(F59:F62),"")</f>
        <v/>
      </c>
      <c r="H62" s="17">
        <f>IFERROR(IF(F62="","",FLOOR(G61/((IFERROR(B56,0)+IFERROR(G56,0))/(IFERROR('Getting Started'!C15,0)+IFERROR('Getting Started'!C23,0))),1)+1),"")</f>
        <v/>
      </c>
      <c r="I62" s="17">
        <f>IFERROR(IF(F62="","",CEILING(G62/((IFERROR(B56,0)+IFERROR(G56,0))/(IFERROR('Getting Started'!C15,0)+IFERROR('Getting Started'!C23,0))),1)),"")</f>
        <v/>
      </c>
      <c r="J62" s="54">
        <f>IFERROR(IF(F62="","",TEXT('Getting Started'!C10+(H62-1)*7,"MMM D")&amp;" – "&amp;TEXT('Getting Started'!C10+I62*7,"MMM D")),"")</f>
        <v/>
      </c>
    </row>
    <row r="63" ht="18" customHeight="1">
      <c r="A63" s="53" t="n">
        <v>5</v>
      </c>
      <c r="B63" s="5" t="n"/>
      <c r="F63" s="32" t="n"/>
      <c r="G63" s="17">
        <f>IFERROR(SUM(F59:F63),"")</f>
        <v/>
      </c>
      <c r="H63" s="17">
        <f>IFERROR(IF(F63="","",FLOOR(G62/((IFERROR(B56,0)+IFERROR(G56,0))/(IFERROR('Getting Started'!C15,0)+IFERROR('Getting Started'!C23,0))),1)+1),"")</f>
        <v/>
      </c>
      <c r="I63" s="17">
        <f>IFERROR(IF(F63="","",CEILING(G63/((IFERROR(B56,0)+IFERROR(G56,0))/(IFERROR('Getting Started'!C15,0)+IFERROR('Getting Started'!C23,0))),1)),"")</f>
        <v/>
      </c>
      <c r="J63" s="54">
        <f>IFERROR(IF(F63="","",TEXT('Getting Started'!C10+(H63-1)*7,"MMM D")&amp;" – "&amp;TEXT('Getting Started'!C10+I63*7,"MMM D")),"")</f>
        <v/>
      </c>
    </row>
    <row r="64" ht="18" customHeight="1">
      <c r="A64" s="53" t="n">
        <v>6</v>
      </c>
      <c r="B64" s="18" t="n"/>
      <c r="F64" s="55" t="n"/>
      <c r="G64" s="17">
        <f>IFERROR(SUM(F59:F64),"")</f>
        <v/>
      </c>
      <c r="H64" s="17">
        <f>IFERROR(IF(F64="","",FLOOR(G63/((IFERROR(B56,0)+IFERROR(G56,0))/(IFERROR('Getting Started'!C15,0)+IFERROR('Getting Started'!C23,0))),1)+1),"")</f>
        <v/>
      </c>
      <c r="I64" s="17">
        <f>IFERROR(IF(F64="","",CEILING(G64/((IFERROR(B56,0)+IFERROR(G56,0))/(IFERROR('Getting Started'!C15,0)+IFERROR('Getting Started'!C23,0))),1)),"")</f>
        <v/>
      </c>
      <c r="J64" s="54">
        <f>IFERROR(IF(F64="","",TEXT('Getting Started'!C10+(H64-1)*7,"MMM D")&amp;" – "&amp;TEXT('Getting Started'!C10+I64*7,"MMM D")),"")</f>
        <v/>
      </c>
    </row>
    <row r="65" ht="20" customHeight="1">
      <c r="A65" s="56">
        <f>IFERROR(IF('Course Content'!I82="","",'Course Content'!I82),"")</f>
        <v/>
      </c>
    </row>
    <row r="66" ht="8" customHeight="1"/>
    <row r="67" ht="24" customHeight="1">
      <c r="A67" s="44" t="inlineStr">
        <is>
          <t xml:space="preserve">  SCIENCE</t>
        </is>
      </c>
      <c r="E67" s="45">
        <f>IFERROR(IF('Course Content'!E83="","← enter on Course Content tab",'Course Content'!E83),"")</f>
        <v/>
      </c>
    </row>
    <row r="68" ht="22" customHeight="1">
      <c r="B68" s="46">
        <f>'Course Content'!G83</f>
        <v/>
      </c>
      <c r="C68" s="47">
        <f>IFERROR(IF(B68="","",ROUND(B68/'Getting Started'!C15,1)),"")</f>
        <v/>
      </c>
      <c r="D68" s="47">
        <f>IFERROR(IF(C68="","",ROUND(C68/'Getting Started'!C7,1)),"")</f>
        <v/>
      </c>
      <c r="E68" s="48">
        <f>IFERROR(IF(B68="","",TEXT('Getting Started'!C10+(B68/D68),"MMM D, YYYY")),"")</f>
        <v/>
      </c>
      <c r="F68" s="39" t="n"/>
      <c r="G68" s="49">
        <f>'Course Content'!H83</f>
        <v/>
      </c>
      <c r="H68" s="50">
        <f>IFERROR(IF(G68="","",ROUND(G68/'Getting Started'!C23,1)),"")</f>
        <v/>
      </c>
      <c r="I68" s="50">
        <f>IFERROR(IF(H68="","",ROUND(H68/'Getting Started'!C7,1)),"")</f>
        <v/>
      </c>
      <c r="J68" s="51">
        <f>IFERROR(IF(G68="","",TEXT('Getting Started'!C18+(G68/I68),"MMM D, YYYY")),"")</f>
        <v/>
      </c>
    </row>
    <row r="69" ht="16" customHeight="1">
      <c r="A69" s="52" t="inlineStr">
        <is>
          <t xml:space="preserve">  Component Breakdown  (optional — use for multi-volume curricula)</t>
        </is>
      </c>
    </row>
    <row r="70" ht="22" customHeight="1">
      <c r="A70" s="28" t="inlineStr">
        <is>
          <t>#</t>
        </is>
      </c>
      <c r="B70" s="28" t="inlineStr">
        <is>
          <t>Book / Component Title</t>
        </is>
      </c>
      <c r="F70" s="28" t="inlineStr">
        <is>
          <t>Units</t>
        </is>
      </c>
      <c r="G70" s="28" t="inlineStr">
        <is>
          <t>Cumul.</t>
        </is>
      </c>
      <c r="H70" s="28" t="inlineStr">
        <is>
          <t>Start
Week</t>
        </is>
      </c>
      <c r="I70" s="28" t="inlineStr">
        <is>
          <t>End
Week</t>
        </is>
      </c>
      <c r="J70" s="28" t="inlineStr">
        <is>
          <t>Est. Dates</t>
        </is>
      </c>
    </row>
    <row r="71" ht="18" customHeight="1">
      <c r="A71" s="53" t="n">
        <v>1</v>
      </c>
      <c r="B71" s="5" t="n"/>
      <c r="F71" s="32" t="n"/>
      <c r="G71" s="17">
        <f>IFERROR(SUM(F71:F71),"")</f>
        <v/>
      </c>
      <c r="H71" s="17">
        <f>IF(F71="","",1)</f>
        <v/>
      </c>
      <c r="I71" s="17">
        <f>IFERROR(IF(F71="","",CEILING(G71/((IFERROR(B68,0)+IFERROR(G68,0))/(IFERROR('Getting Started'!C15,0)+IFERROR('Getting Started'!C23,0))),1)),"")</f>
        <v/>
      </c>
      <c r="J71" s="54">
        <f>IFERROR(IF(F71="","",TEXT('Getting Started'!C10+(H71-1)*7,"MMM D")&amp;" – "&amp;TEXT('Getting Started'!C10+I71*7,"MMM D")),"")</f>
        <v/>
      </c>
    </row>
    <row r="72" ht="18" customHeight="1">
      <c r="A72" s="53" t="n">
        <v>2</v>
      </c>
      <c r="B72" s="18" t="n"/>
      <c r="F72" s="55" t="n"/>
      <c r="G72" s="17">
        <f>IFERROR(SUM(F71:F72),"")</f>
        <v/>
      </c>
      <c r="H72" s="17">
        <f>IFERROR(IF(F72="","",FLOOR(G71/((IFERROR(B68,0)+IFERROR(G68,0))/(IFERROR('Getting Started'!C15,0)+IFERROR('Getting Started'!C23,0))),1)+1),"")</f>
        <v/>
      </c>
      <c r="I72" s="17">
        <f>IFERROR(IF(F72="","",CEILING(G72/((IFERROR(B68,0)+IFERROR(G68,0))/(IFERROR('Getting Started'!C15,0)+IFERROR('Getting Started'!C23,0))),1)),"")</f>
        <v/>
      </c>
      <c r="J72" s="54">
        <f>IFERROR(IF(F72="","",TEXT('Getting Started'!C10+(H72-1)*7,"MMM D")&amp;" – "&amp;TEXT('Getting Started'!C10+I72*7,"MMM D")),"")</f>
        <v/>
      </c>
    </row>
    <row r="73" ht="18" customHeight="1">
      <c r="A73" s="53" t="n">
        <v>3</v>
      </c>
      <c r="B73" s="5" t="n"/>
      <c r="F73" s="32" t="n"/>
      <c r="G73" s="17">
        <f>IFERROR(SUM(F71:F73),"")</f>
        <v/>
      </c>
      <c r="H73" s="17">
        <f>IFERROR(IF(F73="","",FLOOR(G72/((IFERROR(B68,0)+IFERROR(G68,0))/(IFERROR('Getting Started'!C15,0)+IFERROR('Getting Started'!C23,0))),1)+1),"")</f>
        <v/>
      </c>
      <c r="I73" s="17">
        <f>IFERROR(IF(F73="","",CEILING(G73/((IFERROR(B68,0)+IFERROR(G68,0))/(IFERROR('Getting Started'!C15,0)+IFERROR('Getting Started'!C23,0))),1)),"")</f>
        <v/>
      </c>
      <c r="J73" s="54">
        <f>IFERROR(IF(F73="","",TEXT('Getting Started'!C10+(H73-1)*7,"MMM D")&amp;" – "&amp;TEXT('Getting Started'!C10+I73*7,"MMM D")),"")</f>
        <v/>
      </c>
    </row>
    <row r="74" ht="18" customHeight="1">
      <c r="A74" s="53" t="n">
        <v>4</v>
      </c>
      <c r="B74" s="18" t="n"/>
      <c r="F74" s="55" t="n"/>
      <c r="G74" s="17">
        <f>IFERROR(SUM(F71:F74),"")</f>
        <v/>
      </c>
      <c r="H74" s="17">
        <f>IFERROR(IF(F74="","",FLOOR(G73/((IFERROR(B68,0)+IFERROR(G68,0))/(IFERROR('Getting Started'!C15,0)+IFERROR('Getting Started'!C23,0))),1)+1),"")</f>
        <v/>
      </c>
      <c r="I74" s="17">
        <f>IFERROR(IF(F74="","",CEILING(G74/((IFERROR(B68,0)+IFERROR(G68,0))/(IFERROR('Getting Started'!C15,0)+IFERROR('Getting Started'!C23,0))),1)),"")</f>
        <v/>
      </c>
      <c r="J74" s="54">
        <f>IFERROR(IF(F74="","",TEXT('Getting Started'!C10+(H74-1)*7,"MMM D")&amp;" – "&amp;TEXT('Getting Started'!C10+I74*7,"MMM D")),"")</f>
        <v/>
      </c>
    </row>
    <row r="75" ht="18" customHeight="1">
      <c r="A75" s="53" t="n">
        <v>5</v>
      </c>
      <c r="B75" s="5" t="n"/>
      <c r="F75" s="32" t="n"/>
      <c r="G75" s="17">
        <f>IFERROR(SUM(F71:F75),"")</f>
        <v/>
      </c>
      <c r="H75" s="17">
        <f>IFERROR(IF(F75="","",FLOOR(G74/((IFERROR(B68,0)+IFERROR(G68,0))/(IFERROR('Getting Started'!C15,0)+IFERROR('Getting Started'!C23,0))),1)+1),"")</f>
        <v/>
      </c>
      <c r="I75" s="17">
        <f>IFERROR(IF(F75="","",CEILING(G75/((IFERROR(B68,0)+IFERROR(G68,0))/(IFERROR('Getting Started'!C15,0)+IFERROR('Getting Started'!C23,0))),1)),"")</f>
        <v/>
      </c>
      <c r="J75" s="54">
        <f>IFERROR(IF(F75="","",TEXT('Getting Started'!C10+(H75-1)*7,"MMM D")&amp;" – "&amp;TEXT('Getting Started'!C10+I75*7,"MMM D")),"")</f>
        <v/>
      </c>
    </row>
    <row r="76" ht="18" customHeight="1">
      <c r="A76" s="53" t="n">
        <v>6</v>
      </c>
      <c r="B76" s="18" t="n"/>
      <c r="F76" s="55" t="n"/>
      <c r="G76" s="17">
        <f>IFERROR(SUM(F71:F76),"")</f>
        <v/>
      </c>
      <c r="H76" s="17">
        <f>IFERROR(IF(F76="","",FLOOR(G75/((IFERROR(B68,0)+IFERROR(G68,0))/(IFERROR('Getting Started'!C15,0)+IFERROR('Getting Started'!C23,0))),1)+1),"")</f>
        <v/>
      </c>
      <c r="I76" s="17">
        <f>IFERROR(IF(F76="","",CEILING(G76/((IFERROR(B68,0)+IFERROR(G68,0))/(IFERROR('Getting Started'!C15,0)+IFERROR('Getting Started'!C23,0))),1)),"")</f>
        <v/>
      </c>
      <c r="J76" s="54">
        <f>IFERROR(IF(F76="","",TEXT('Getting Started'!C10+(H76-1)*7,"MMM D")&amp;" – "&amp;TEXT('Getting Started'!C10+I76*7,"MMM D")),"")</f>
        <v/>
      </c>
    </row>
    <row r="77" ht="20" customHeight="1">
      <c r="A77" s="56">
        <f>IFERROR(IF('Course Content'!I83="","",'Course Content'!I83),"")</f>
        <v/>
      </c>
    </row>
    <row r="78" ht="8" customHeight="1"/>
    <row r="79" ht="24" customHeight="1">
      <c r="A79" s="44" t="inlineStr">
        <is>
          <t xml:space="preserve">  SOCIAL STUDIES / HISTORY</t>
        </is>
      </c>
      <c r="E79" s="45">
        <f>IFERROR(IF('Course Content'!E84="","← enter on Course Content tab",'Course Content'!E84),"")</f>
        <v/>
      </c>
    </row>
    <row r="80" ht="22" customHeight="1">
      <c r="B80" s="46">
        <f>'Course Content'!G84</f>
        <v/>
      </c>
      <c r="C80" s="47">
        <f>IFERROR(IF(B80="","",ROUND(B80/'Getting Started'!C15,1)),"")</f>
        <v/>
      </c>
      <c r="D80" s="47">
        <f>IFERROR(IF(C80="","",ROUND(C80/'Getting Started'!C7,1)),"")</f>
        <v/>
      </c>
      <c r="E80" s="48">
        <f>IFERROR(IF(B80="","",TEXT('Getting Started'!C10+(B80/D80),"MMM D, YYYY")),"")</f>
        <v/>
      </c>
      <c r="F80" s="39" t="n"/>
      <c r="G80" s="49">
        <f>'Course Content'!H84</f>
        <v/>
      </c>
      <c r="H80" s="50">
        <f>IFERROR(IF(G80="","",ROUND(G80/'Getting Started'!C23,1)),"")</f>
        <v/>
      </c>
      <c r="I80" s="50">
        <f>IFERROR(IF(H80="","",ROUND(H80/'Getting Started'!C7,1)),"")</f>
        <v/>
      </c>
      <c r="J80" s="51">
        <f>IFERROR(IF(G80="","",TEXT('Getting Started'!C18+(G80/I80),"MMM D, YYYY")),"")</f>
        <v/>
      </c>
    </row>
    <row r="81" ht="16" customHeight="1">
      <c r="A81" s="52" t="inlineStr">
        <is>
          <t xml:space="preserve">  Component Breakdown  (optional — use for multi-volume curricula)</t>
        </is>
      </c>
    </row>
    <row r="82" ht="22" customHeight="1">
      <c r="A82" s="28" t="inlineStr">
        <is>
          <t>#</t>
        </is>
      </c>
      <c r="B82" s="28" t="inlineStr">
        <is>
          <t>Book / Component Title</t>
        </is>
      </c>
      <c r="F82" s="28" t="inlineStr">
        <is>
          <t>Units</t>
        </is>
      </c>
      <c r="G82" s="28" t="inlineStr">
        <is>
          <t>Cumul.</t>
        </is>
      </c>
      <c r="H82" s="28" t="inlineStr">
        <is>
          <t>Start
Week</t>
        </is>
      </c>
      <c r="I82" s="28" t="inlineStr">
        <is>
          <t>End
Week</t>
        </is>
      </c>
      <c r="J82" s="28" t="inlineStr">
        <is>
          <t>Est. Dates</t>
        </is>
      </c>
    </row>
    <row r="83" ht="18" customHeight="1">
      <c r="A83" s="53" t="n">
        <v>1</v>
      </c>
      <c r="B83" s="5" t="n"/>
      <c r="F83" s="32" t="n"/>
      <c r="G83" s="17">
        <f>IFERROR(SUM(F83:F83),"")</f>
        <v/>
      </c>
      <c r="H83" s="17">
        <f>IF(F83="","",1)</f>
        <v/>
      </c>
      <c r="I83" s="17">
        <f>IFERROR(IF(F83="","",CEILING(G83/((IFERROR(B80,0)+IFERROR(G80,0))/(IFERROR('Getting Started'!C15,0)+IFERROR('Getting Started'!C23,0))),1)),"")</f>
        <v/>
      </c>
      <c r="J83" s="54">
        <f>IFERROR(IF(F83="","",TEXT('Getting Started'!C10+(H83-1)*7,"MMM D")&amp;" – "&amp;TEXT('Getting Started'!C10+I83*7,"MMM D")),"")</f>
        <v/>
      </c>
    </row>
    <row r="84" ht="18" customHeight="1">
      <c r="A84" s="53" t="n">
        <v>2</v>
      </c>
      <c r="B84" s="18" t="n"/>
      <c r="F84" s="55" t="n"/>
      <c r="G84" s="17">
        <f>IFERROR(SUM(F83:F84),"")</f>
        <v/>
      </c>
      <c r="H84" s="17">
        <f>IFERROR(IF(F84="","",FLOOR(G83/((IFERROR(B80,0)+IFERROR(G80,0))/(IFERROR('Getting Started'!C15,0)+IFERROR('Getting Started'!C23,0))),1)+1),"")</f>
        <v/>
      </c>
      <c r="I84" s="17">
        <f>IFERROR(IF(F84="","",CEILING(G84/((IFERROR(B80,0)+IFERROR(G80,0))/(IFERROR('Getting Started'!C15,0)+IFERROR('Getting Started'!C23,0))),1)),"")</f>
        <v/>
      </c>
      <c r="J84" s="54">
        <f>IFERROR(IF(F84="","",TEXT('Getting Started'!C10+(H84-1)*7,"MMM D")&amp;" – "&amp;TEXT('Getting Started'!C10+I84*7,"MMM D")),"")</f>
        <v/>
      </c>
    </row>
    <row r="85" ht="18" customHeight="1">
      <c r="A85" s="53" t="n">
        <v>3</v>
      </c>
      <c r="B85" s="5" t="n"/>
      <c r="F85" s="32" t="n"/>
      <c r="G85" s="17">
        <f>IFERROR(SUM(F83:F85),"")</f>
        <v/>
      </c>
      <c r="H85" s="17">
        <f>IFERROR(IF(F85="","",FLOOR(G84/((IFERROR(B80,0)+IFERROR(G80,0))/(IFERROR('Getting Started'!C15,0)+IFERROR('Getting Started'!C23,0))),1)+1),"")</f>
        <v/>
      </c>
      <c r="I85" s="17">
        <f>IFERROR(IF(F85="","",CEILING(G85/((IFERROR(B80,0)+IFERROR(G80,0))/(IFERROR('Getting Started'!C15,0)+IFERROR('Getting Started'!C23,0))),1)),"")</f>
        <v/>
      </c>
      <c r="J85" s="54">
        <f>IFERROR(IF(F85="","",TEXT('Getting Started'!C10+(H85-1)*7,"MMM D")&amp;" – "&amp;TEXT('Getting Started'!C10+I85*7,"MMM D")),"")</f>
        <v/>
      </c>
    </row>
    <row r="86" ht="18" customHeight="1">
      <c r="A86" s="53" t="n">
        <v>4</v>
      </c>
      <c r="B86" s="18" t="n"/>
      <c r="F86" s="55" t="n"/>
      <c r="G86" s="17">
        <f>IFERROR(SUM(F83:F86),"")</f>
        <v/>
      </c>
      <c r="H86" s="17">
        <f>IFERROR(IF(F86="","",FLOOR(G85/((IFERROR(B80,0)+IFERROR(G80,0))/(IFERROR('Getting Started'!C15,0)+IFERROR('Getting Started'!C23,0))),1)+1),"")</f>
        <v/>
      </c>
      <c r="I86" s="17">
        <f>IFERROR(IF(F86="","",CEILING(G86/((IFERROR(B80,0)+IFERROR(G80,0))/(IFERROR('Getting Started'!C15,0)+IFERROR('Getting Started'!C23,0))),1)),"")</f>
        <v/>
      </c>
      <c r="J86" s="54">
        <f>IFERROR(IF(F86="","",TEXT('Getting Started'!C10+(H86-1)*7,"MMM D")&amp;" – "&amp;TEXT('Getting Started'!C10+I86*7,"MMM D")),"")</f>
        <v/>
      </c>
    </row>
    <row r="87" ht="18" customHeight="1">
      <c r="A87" s="53" t="n">
        <v>5</v>
      </c>
      <c r="B87" s="5" t="n"/>
      <c r="F87" s="32" t="n"/>
      <c r="G87" s="17">
        <f>IFERROR(SUM(F83:F87),"")</f>
        <v/>
      </c>
      <c r="H87" s="17">
        <f>IFERROR(IF(F87="","",FLOOR(G86/((IFERROR(B80,0)+IFERROR(G80,0))/(IFERROR('Getting Started'!C15,0)+IFERROR('Getting Started'!C23,0))),1)+1),"")</f>
        <v/>
      </c>
      <c r="I87" s="17">
        <f>IFERROR(IF(F87="","",CEILING(G87/((IFERROR(B80,0)+IFERROR(G80,0))/(IFERROR('Getting Started'!C15,0)+IFERROR('Getting Started'!C23,0))),1)),"")</f>
        <v/>
      </c>
      <c r="J87" s="54">
        <f>IFERROR(IF(F87="","",TEXT('Getting Started'!C10+(H87-1)*7,"MMM D")&amp;" – "&amp;TEXT('Getting Started'!C10+I87*7,"MMM D")),"")</f>
        <v/>
      </c>
    </row>
    <row r="88" ht="18" customHeight="1">
      <c r="A88" s="53" t="n">
        <v>6</v>
      </c>
      <c r="B88" s="18" t="n"/>
      <c r="F88" s="55" t="n"/>
      <c r="G88" s="17">
        <f>IFERROR(SUM(F83:F88),"")</f>
        <v/>
      </c>
      <c r="H88" s="17">
        <f>IFERROR(IF(F88="","",FLOOR(G87/((IFERROR(B80,0)+IFERROR(G80,0))/(IFERROR('Getting Started'!C15,0)+IFERROR('Getting Started'!C23,0))),1)+1),"")</f>
        <v/>
      </c>
      <c r="I88" s="17">
        <f>IFERROR(IF(F88="","",CEILING(G88/((IFERROR(B80,0)+IFERROR(G80,0))/(IFERROR('Getting Started'!C15,0)+IFERROR('Getting Started'!C23,0))),1)),"")</f>
        <v/>
      </c>
      <c r="J88" s="54">
        <f>IFERROR(IF(F88="","",TEXT('Getting Started'!C10+(H88-1)*7,"MMM D")&amp;" – "&amp;TEXT('Getting Started'!C10+I88*7,"MMM D")),"")</f>
        <v/>
      </c>
    </row>
    <row r="89" ht="20" customHeight="1">
      <c r="A89" s="56">
        <f>IFERROR(IF('Course Content'!I84="","",'Course Content'!I84),"")</f>
        <v/>
      </c>
    </row>
    <row r="90" ht="8" customHeight="1"/>
    <row r="91" ht="24" customHeight="1">
      <c r="A91" s="44" t="inlineStr">
        <is>
          <t xml:space="preserve">  HEALTH</t>
        </is>
      </c>
      <c r="E91" s="45">
        <f>IFERROR(IF('Course Content'!E85="","← enter on Course Content tab",'Course Content'!E85),"")</f>
        <v/>
      </c>
    </row>
    <row r="92" ht="22" customHeight="1">
      <c r="B92" s="46">
        <f>'Course Content'!G85</f>
        <v/>
      </c>
      <c r="C92" s="47">
        <f>IFERROR(IF(B92="","",ROUND(B92/'Getting Started'!C15,1)),"")</f>
        <v/>
      </c>
      <c r="D92" s="47">
        <f>IFERROR(IF(C92="","",ROUND(C92/'Getting Started'!C7,1)),"")</f>
        <v/>
      </c>
      <c r="E92" s="48">
        <f>IFERROR(IF(B92="","",TEXT('Getting Started'!C10+(B92/D92),"MMM D, YYYY")),"")</f>
        <v/>
      </c>
      <c r="F92" s="39" t="n"/>
      <c r="G92" s="49">
        <f>'Course Content'!H85</f>
        <v/>
      </c>
      <c r="H92" s="50">
        <f>IFERROR(IF(G92="","",ROUND(G92/'Getting Started'!C23,1)),"")</f>
        <v/>
      </c>
      <c r="I92" s="50">
        <f>IFERROR(IF(H92="","",ROUND(H92/'Getting Started'!C7,1)),"")</f>
        <v/>
      </c>
      <c r="J92" s="51">
        <f>IFERROR(IF(G92="","",TEXT('Getting Started'!C18+(G92/I92),"MMM D, YYYY")),"")</f>
        <v/>
      </c>
    </row>
    <row r="93" ht="16" customHeight="1">
      <c r="A93" s="52" t="inlineStr">
        <is>
          <t xml:space="preserve">  Component Breakdown  (optional — use for multi-volume curricula)</t>
        </is>
      </c>
    </row>
    <row r="94" ht="22" customHeight="1">
      <c r="A94" s="28" t="inlineStr">
        <is>
          <t>#</t>
        </is>
      </c>
      <c r="B94" s="28" t="inlineStr">
        <is>
          <t>Book / Component Title</t>
        </is>
      </c>
      <c r="F94" s="28" t="inlineStr">
        <is>
          <t>Units</t>
        </is>
      </c>
      <c r="G94" s="28" t="inlineStr">
        <is>
          <t>Cumul.</t>
        </is>
      </c>
      <c r="H94" s="28" t="inlineStr">
        <is>
          <t>Start
Week</t>
        </is>
      </c>
      <c r="I94" s="28" t="inlineStr">
        <is>
          <t>End
Week</t>
        </is>
      </c>
      <c r="J94" s="28" t="inlineStr">
        <is>
          <t>Est. Dates</t>
        </is>
      </c>
    </row>
    <row r="95" ht="18" customHeight="1">
      <c r="A95" s="53" t="n">
        <v>1</v>
      </c>
      <c r="B95" s="5" t="n"/>
      <c r="F95" s="32" t="n"/>
      <c r="G95" s="17">
        <f>IFERROR(SUM(F95:F95),"")</f>
        <v/>
      </c>
      <c r="H95" s="17">
        <f>IF(F95="","",1)</f>
        <v/>
      </c>
      <c r="I95" s="17">
        <f>IFERROR(IF(F95="","",CEILING(G95/((IFERROR(B92,0)+IFERROR(G92,0))/(IFERROR('Getting Started'!C15,0)+IFERROR('Getting Started'!C23,0))),1)),"")</f>
        <v/>
      </c>
      <c r="J95" s="54">
        <f>IFERROR(IF(F95="","",TEXT('Getting Started'!C10+(H95-1)*7,"MMM D")&amp;" – "&amp;TEXT('Getting Started'!C10+I95*7,"MMM D")),"")</f>
        <v/>
      </c>
    </row>
    <row r="96" ht="18" customHeight="1">
      <c r="A96" s="53" t="n">
        <v>2</v>
      </c>
      <c r="B96" s="18" t="n"/>
      <c r="F96" s="55" t="n"/>
      <c r="G96" s="17">
        <f>IFERROR(SUM(F95:F96),"")</f>
        <v/>
      </c>
      <c r="H96" s="17">
        <f>IFERROR(IF(F96="","",FLOOR(G95/((IFERROR(B92,0)+IFERROR(G92,0))/(IFERROR('Getting Started'!C15,0)+IFERROR('Getting Started'!C23,0))),1)+1),"")</f>
        <v/>
      </c>
      <c r="I96" s="17">
        <f>IFERROR(IF(F96="","",CEILING(G96/((IFERROR(B92,0)+IFERROR(G92,0))/(IFERROR('Getting Started'!C15,0)+IFERROR('Getting Started'!C23,0))),1)),"")</f>
        <v/>
      </c>
      <c r="J96" s="54">
        <f>IFERROR(IF(F96="","",TEXT('Getting Started'!C10+(H96-1)*7,"MMM D")&amp;" – "&amp;TEXT('Getting Started'!C10+I96*7,"MMM D")),"")</f>
        <v/>
      </c>
    </row>
    <row r="97" ht="18" customHeight="1">
      <c r="A97" s="53" t="n">
        <v>3</v>
      </c>
      <c r="B97" s="5" t="n"/>
      <c r="F97" s="32" t="n"/>
      <c r="G97" s="17">
        <f>IFERROR(SUM(F95:F97),"")</f>
        <v/>
      </c>
      <c r="H97" s="17">
        <f>IFERROR(IF(F97="","",FLOOR(G96/((IFERROR(B92,0)+IFERROR(G92,0))/(IFERROR('Getting Started'!C15,0)+IFERROR('Getting Started'!C23,0))),1)+1),"")</f>
        <v/>
      </c>
      <c r="I97" s="17">
        <f>IFERROR(IF(F97="","",CEILING(G97/((IFERROR(B92,0)+IFERROR(G92,0))/(IFERROR('Getting Started'!C15,0)+IFERROR('Getting Started'!C23,0))),1)),"")</f>
        <v/>
      </c>
      <c r="J97" s="54">
        <f>IFERROR(IF(F97="","",TEXT('Getting Started'!C10+(H97-1)*7,"MMM D")&amp;" – "&amp;TEXT('Getting Started'!C10+I97*7,"MMM D")),"")</f>
        <v/>
      </c>
    </row>
    <row r="98" ht="18" customHeight="1">
      <c r="A98" s="53" t="n">
        <v>4</v>
      </c>
      <c r="B98" s="18" t="n"/>
      <c r="F98" s="55" t="n"/>
      <c r="G98" s="17">
        <f>IFERROR(SUM(F95:F98),"")</f>
        <v/>
      </c>
      <c r="H98" s="17">
        <f>IFERROR(IF(F98="","",FLOOR(G97/((IFERROR(B92,0)+IFERROR(G92,0))/(IFERROR('Getting Started'!C15,0)+IFERROR('Getting Started'!C23,0))),1)+1),"")</f>
        <v/>
      </c>
      <c r="I98" s="17">
        <f>IFERROR(IF(F98="","",CEILING(G98/((IFERROR(B92,0)+IFERROR(G92,0))/(IFERROR('Getting Started'!C15,0)+IFERROR('Getting Started'!C23,0))),1)),"")</f>
        <v/>
      </c>
      <c r="J98" s="54">
        <f>IFERROR(IF(F98="","",TEXT('Getting Started'!C10+(H98-1)*7,"MMM D")&amp;" – "&amp;TEXT('Getting Started'!C10+I98*7,"MMM D")),"")</f>
        <v/>
      </c>
    </row>
    <row r="99" ht="18" customHeight="1">
      <c r="A99" s="53" t="n">
        <v>5</v>
      </c>
      <c r="B99" s="5" t="n"/>
      <c r="F99" s="32" t="n"/>
      <c r="G99" s="17">
        <f>IFERROR(SUM(F95:F99),"")</f>
        <v/>
      </c>
      <c r="H99" s="17">
        <f>IFERROR(IF(F99="","",FLOOR(G98/((IFERROR(B92,0)+IFERROR(G92,0))/(IFERROR('Getting Started'!C15,0)+IFERROR('Getting Started'!C23,0))),1)+1),"")</f>
        <v/>
      </c>
      <c r="I99" s="17">
        <f>IFERROR(IF(F99="","",CEILING(G99/((IFERROR(B92,0)+IFERROR(G92,0))/(IFERROR('Getting Started'!C15,0)+IFERROR('Getting Started'!C23,0))),1)),"")</f>
        <v/>
      </c>
      <c r="J99" s="54">
        <f>IFERROR(IF(F99="","",TEXT('Getting Started'!C10+(H99-1)*7,"MMM D")&amp;" – "&amp;TEXT('Getting Started'!C10+I99*7,"MMM D")),"")</f>
        <v/>
      </c>
    </row>
    <row r="100" ht="18" customHeight="1">
      <c r="A100" s="53" t="n">
        <v>6</v>
      </c>
      <c r="B100" s="18" t="n"/>
      <c r="F100" s="55" t="n"/>
      <c r="G100" s="17">
        <f>IFERROR(SUM(F95:F100),"")</f>
        <v/>
      </c>
      <c r="H100" s="17">
        <f>IFERROR(IF(F100="","",FLOOR(G99/((IFERROR(B92,0)+IFERROR(G92,0))/(IFERROR('Getting Started'!C15,0)+IFERROR('Getting Started'!C23,0))),1)+1),"")</f>
        <v/>
      </c>
      <c r="I100" s="17">
        <f>IFERROR(IF(F100="","",CEILING(G100/((IFERROR(B92,0)+IFERROR(G92,0))/(IFERROR('Getting Started'!C15,0)+IFERROR('Getting Started'!C23,0))),1)),"")</f>
        <v/>
      </c>
      <c r="J100" s="54">
        <f>IFERROR(IF(F100="","",TEXT('Getting Started'!C10+(H100-1)*7,"MMM D")&amp;" – "&amp;TEXT('Getting Started'!C10+I100*7,"MMM D")),"")</f>
        <v/>
      </c>
    </row>
    <row r="101" ht="20" customHeight="1">
      <c r="A101" s="56">
        <f>IFERROR(IF('Course Content'!I85="","",'Course Content'!I85),"")</f>
        <v/>
      </c>
    </row>
    <row r="102" ht="8" customHeight="1"/>
    <row r="103" ht="24" customHeight="1">
      <c r="A103" s="44" t="inlineStr">
        <is>
          <t xml:space="preserve">  PHYSICAL EDUCATION</t>
        </is>
      </c>
      <c r="E103" s="45">
        <f>IFERROR(IF('Course Content'!E86="","← enter on Course Content tab",'Course Content'!E86),"")</f>
        <v/>
      </c>
    </row>
    <row r="104" ht="22" customHeight="1">
      <c r="B104" s="46">
        <f>'Course Content'!G86</f>
        <v/>
      </c>
      <c r="C104" s="47">
        <f>IFERROR(IF(B104="","",ROUND(B104/'Getting Started'!C15,1)),"")</f>
        <v/>
      </c>
      <c r="D104" s="47">
        <f>IFERROR(IF(C104="","",ROUND(C104/'Getting Started'!C7,1)),"")</f>
        <v/>
      </c>
      <c r="E104" s="48">
        <f>IFERROR(IF(B104="","",TEXT('Getting Started'!C10+(B104/D104),"MMM D, YYYY")),"")</f>
        <v/>
      </c>
      <c r="F104" s="39" t="n"/>
      <c r="G104" s="49">
        <f>'Course Content'!H86</f>
        <v/>
      </c>
      <c r="H104" s="50">
        <f>IFERROR(IF(G104="","",ROUND(G104/'Getting Started'!C23,1)),"")</f>
        <v/>
      </c>
      <c r="I104" s="50">
        <f>IFERROR(IF(H104="","",ROUND(H104/'Getting Started'!C7,1)),"")</f>
        <v/>
      </c>
      <c r="J104" s="51">
        <f>IFERROR(IF(G104="","",TEXT('Getting Started'!C18+(G104/I104),"MMM D, YYYY")),"")</f>
        <v/>
      </c>
    </row>
    <row r="105" ht="16" customHeight="1">
      <c r="A105" s="52" t="inlineStr">
        <is>
          <t xml:space="preserve">  Component Breakdown  (optional — use for multi-volume curricula)</t>
        </is>
      </c>
    </row>
    <row r="106" ht="22" customHeight="1">
      <c r="A106" s="28" t="inlineStr">
        <is>
          <t>#</t>
        </is>
      </c>
      <c r="B106" s="28" t="inlineStr">
        <is>
          <t>Book / Component Title</t>
        </is>
      </c>
      <c r="F106" s="28" t="inlineStr">
        <is>
          <t>Units</t>
        </is>
      </c>
      <c r="G106" s="28" t="inlineStr">
        <is>
          <t>Cumul.</t>
        </is>
      </c>
      <c r="H106" s="28" t="inlineStr">
        <is>
          <t>Start
Week</t>
        </is>
      </c>
      <c r="I106" s="28" t="inlineStr">
        <is>
          <t>End
Week</t>
        </is>
      </c>
      <c r="J106" s="28" t="inlineStr">
        <is>
          <t>Est. Dates</t>
        </is>
      </c>
    </row>
    <row r="107" ht="18" customHeight="1">
      <c r="A107" s="53" t="n">
        <v>1</v>
      </c>
      <c r="B107" s="5" t="n"/>
      <c r="F107" s="32" t="n"/>
      <c r="G107" s="17">
        <f>IFERROR(SUM(F107:F107),"")</f>
        <v/>
      </c>
      <c r="H107" s="17">
        <f>IF(F107="","",1)</f>
        <v/>
      </c>
      <c r="I107" s="17">
        <f>IFERROR(IF(F107="","",CEILING(G107/((IFERROR(B104,0)+IFERROR(G104,0))/(IFERROR('Getting Started'!C15,0)+IFERROR('Getting Started'!C23,0))),1)),"")</f>
        <v/>
      </c>
      <c r="J107" s="54">
        <f>IFERROR(IF(F107="","",TEXT('Getting Started'!C10+(H107-1)*7,"MMM D")&amp;" – "&amp;TEXT('Getting Started'!C10+I107*7,"MMM D")),"")</f>
        <v/>
      </c>
    </row>
    <row r="108" ht="18" customHeight="1">
      <c r="A108" s="53" t="n">
        <v>2</v>
      </c>
      <c r="B108" s="18" t="n"/>
      <c r="F108" s="55" t="n"/>
      <c r="G108" s="17">
        <f>IFERROR(SUM(F107:F108),"")</f>
        <v/>
      </c>
      <c r="H108" s="17">
        <f>IFERROR(IF(F108="","",FLOOR(G107/((IFERROR(B104,0)+IFERROR(G104,0))/(IFERROR('Getting Started'!C15,0)+IFERROR('Getting Started'!C23,0))),1)+1),"")</f>
        <v/>
      </c>
      <c r="I108" s="17">
        <f>IFERROR(IF(F108="","",CEILING(G108/((IFERROR(B104,0)+IFERROR(G104,0))/(IFERROR('Getting Started'!C15,0)+IFERROR('Getting Started'!C23,0))),1)),"")</f>
        <v/>
      </c>
      <c r="J108" s="54">
        <f>IFERROR(IF(F108="","",TEXT('Getting Started'!C10+(H108-1)*7,"MMM D")&amp;" – "&amp;TEXT('Getting Started'!C10+I108*7,"MMM D")),"")</f>
        <v/>
      </c>
    </row>
    <row r="109" ht="18" customHeight="1">
      <c r="A109" s="53" t="n">
        <v>3</v>
      </c>
      <c r="B109" s="5" t="n"/>
      <c r="F109" s="32" t="n"/>
      <c r="G109" s="17">
        <f>IFERROR(SUM(F107:F109),"")</f>
        <v/>
      </c>
      <c r="H109" s="17">
        <f>IFERROR(IF(F109="","",FLOOR(G108/((IFERROR(B104,0)+IFERROR(G104,0))/(IFERROR('Getting Started'!C15,0)+IFERROR('Getting Started'!C23,0))),1)+1),"")</f>
        <v/>
      </c>
      <c r="I109" s="17">
        <f>IFERROR(IF(F109="","",CEILING(G109/((IFERROR(B104,0)+IFERROR(G104,0))/(IFERROR('Getting Started'!C15,0)+IFERROR('Getting Started'!C23,0))),1)),"")</f>
        <v/>
      </c>
      <c r="J109" s="54">
        <f>IFERROR(IF(F109="","",TEXT('Getting Started'!C10+(H109-1)*7,"MMM D")&amp;" – "&amp;TEXT('Getting Started'!C10+I109*7,"MMM D")),"")</f>
        <v/>
      </c>
    </row>
    <row r="110" ht="18" customHeight="1">
      <c r="A110" s="53" t="n">
        <v>4</v>
      </c>
      <c r="B110" s="18" t="n"/>
      <c r="F110" s="55" t="n"/>
      <c r="G110" s="17">
        <f>IFERROR(SUM(F107:F110),"")</f>
        <v/>
      </c>
      <c r="H110" s="17">
        <f>IFERROR(IF(F110="","",FLOOR(G109/((IFERROR(B104,0)+IFERROR(G104,0))/(IFERROR('Getting Started'!C15,0)+IFERROR('Getting Started'!C23,0))),1)+1),"")</f>
        <v/>
      </c>
      <c r="I110" s="17">
        <f>IFERROR(IF(F110="","",CEILING(G110/((IFERROR(B104,0)+IFERROR(G104,0))/(IFERROR('Getting Started'!C15,0)+IFERROR('Getting Started'!C23,0))),1)),"")</f>
        <v/>
      </c>
      <c r="J110" s="54">
        <f>IFERROR(IF(F110="","",TEXT('Getting Started'!C10+(H110-1)*7,"MMM D")&amp;" – "&amp;TEXT('Getting Started'!C10+I110*7,"MMM D")),"")</f>
        <v/>
      </c>
    </row>
    <row r="111" ht="18" customHeight="1">
      <c r="A111" s="53" t="n">
        <v>5</v>
      </c>
      <c r="B111" s="5" t="n"/>
      <c r="F111" s="32" t="n"/>
      <c r="G111" s="17">
        <f>IFERROR(SUM(F107:F111),"")</f>
        <v/>
      </c>
      <c r="H111" s="17">
        <f>IFERROR(IF(F111="","",FLOOR(G110/((IFERROR(B104,0)+IFERROR(G104,0))/(IFERROR('Getting Started'!C15,0)+IFERROR('Getting Started'!C23,0))),1)+1),"")</f>
        <v/>
      </c>
      <c r="I111" s="17">
        <f>IFERROR(IF(F111="","",CEILING(G111/((IFERROR(B104,0)+IFERROR(G104,0))/(IFERROR('Getting Started'!C15,0)+IFERROR('Getting Started'!C23,0))),1)),"")</f>
        <v/>
      </c>
      <c r="J111" s="54">
        <f>IFERROR(IF(F111="","",TEXT('Getting Started'!C10+(H111-1)*7,"MMM D")&amp;" – "&amp;TEXT('Getting Started'!C10+I111*7,"MMM D")),"")</f>
        <v/>
      </c>
    </row>
    <row r="112" ht="18" customHeight="1">
      <c r="A112" s="53" t="n">
        <v>6</v>
      </c>
      <c r="B112" s="18" t="n"/>
      <c r="F112" s="55" t="n"/>
      <c r="G112" s="17">
        <f>IFERROR(SUM(F107:F112),"")</f>
        <v/>
      </c>
      <c r="H112" s="17">
        <f>IFERROR(IF(F112="","",FLOOR(G111/((IFERROR(B104,0)+IFERROR(G104,0))/(IFERROR('Getting Started'!C15,0)+IFERROR('Getting Started'!C23,0))),1)+1),"")</f>
        <v/>
      </c>
      <c r="I112" s="17">
        <f>IFERROR(IF(F112="","",CEILING(G112/((IFERROR(B104,0)+IFERROR(G104,0))/(IFERROR('Getting Started'!C15,0)+IFERROR('Getting Started'!C23,0))),1)),"")</f>
        <v/>
      </c>
      <c r="J112" s="54">
        <f>IFERROR(IF(F112="","",TEXT('Getting Started'!C10+(H112-1)*7,"MMM D")&amp;" – "&amp;TEXT('Getting Started'!C10+I112*7,"MMM D")),"")</f>
        <v/>
      </c>
    </row>
    <row r="113" ht="20" customHeight="1">
      <c r="A113" s="56">
        <f>IFERROR(IF('Course Content'!I86="","",'Course Content'!I86),"")</f>
        <v/>
      </c>
    </row>
    <row r="114" ht="8" customHeight="1"/>
    <row r="115" ht="24" customHeight="1">
      <c r="A115" s="44" t="inlineStr">
        <is>
          <t xml:space="preserve">  ART / MUSIC</t>
        </is>
      </c>
      <c r="E115" s="45">
        <f>IFERROR(IF('Course Content'!E87="","← enter on Course Content tab",'Course Content'!E87),"")</f>
        <v/>
      </c>
    </row>
    <row r="116" ht="22" customHeight="1">
      <c r="B116" s="46">
        <f>'Course Content'!G87</f>
        <v/>
      </c>
      <c r="C116" s="47">
        <f>IFERROR(IF(B116="","",ROUND(B116/'Getting Started'!C15,1)),"")</f>
        <v/>
      </c>
      <c r="D116" s="47">
        <f>IFERROR(IF(C116="","",ROUND(C116/'Getting Started'!C7,1)),"")</f>
        <v/>
      </c>
      <c r="E116" s="48">
        <f>IFERROR(IF(B116="","",TEXT('Getting Started'!C10+(B116/D116),"MMM D, YYYY")),"")</f>
        <v/>
      </c>
      <c r="F116" s="39" t="n"/>
      <c r="G116" s="49">
        <f>'Course Content'!H87</f>
        <v/>
      </c>
      <c r="H116" s="50">
        <f>IFERROR(IF(G116="","",ROUND(G116/'Getting Started'!C23,1)),"")</f>
        <v/>
      </c>
      <c r="I116" s="50">
        <f>IFERROR(IF(H116="","",ROUND(H116/'Getting Started'!C7,1)),"")</f>
        <v/>
      </c>
      <c r="J116" s="51">
        <f>IFERROR(IF(G116="","",TEXT('Getting Started'!C18+(G116/I116),"MMM D, YYYY")),"")</f>
        <v/>
      </c>
    </row>
    <row r="117" ht="16" customHeight="1">
      <c r="A117" s="52" t="inlineStr">
        <is>
          <t xml:space="preserve">  Component Breakdown  (optional — use for multi-volume curricula)</t>
        </is>
      </c>
    </row>
    <row r="118" ht="22" customHeight="1">
      <c r="A118" s="28" t="inlineStr">
        <is>
          <t>#</t>
        </is>
      </c>
      <c r="B118" s="28" t="inlineStr">
        <is>
          <t>Book / Component Title</t>
        </is>
      </c>
      <c r="F118" s="28" t="inlineStr">
        <is>
          <t>Units</t>
        </is>
      </c>
      <c r="G118" s="28" t="inlineStr">
        <is>
          <t>Cumul.</t>
        </is>
      </c>
      <c r="H118" s="28" t="inlineStr">
        <is>
          <t>Start
Week</t>
        </is>
      </c>
      <c r="I118" s="28" t="inlineStr">
        <is>
          <t>End
Week</t>
        </is>
      </c>
      <c r="J118" s="28" t="inlineStr">
        <is>
          <t>Est. Dates</t>
        </is>
      </c>
    </row>
    <row r="119" ht="18" customHeight="1">
      <c r="A119" s="53" t="n">
        <v>1</v>
      </c>
      <c r="B119" s="5" t="n"/>
      <c r="F119" s="32" t="n"/>
      <c r="G119" s="17">
        <f>IFERROR(SUM(F119:F119),"")</f>
        <v/>
      </c>
      <c r="H119" s="17">
        <f>IF(F119="","",1)</f>
        <v/>
      </c>
      <c r="I119" s="17">
        <f>IFERROR(IF(F119="","",CEILING(G119/((IFERROR(B116,0)+IFERROR(G116,0))/(IFERROR('Getting Started'!C15,0)+IFERROR('Getting Started'!C23,0))),1)),"")</f>
        <v/>
      </c>
      <c r="J119" s="54">
        <f>IFERROR(IF(F119="","",TEXT('Getting Started'!C10+(H119-1)*7,"MMM D")&amp;" – "&amp;TEXT('Getting Started'!C10+I119*7,"MMM D")),"")</f>
        <v/>
      </c>
    </row>
    <row r="120" ht="18" customHeight="1">
      <c r="A120" s="53" t="n">
        <v>2</v>
      </c>
      <c r="B120" s="18" t="n"/>
      <c r="F120" s="55" t="n"/>
      <c r="G120" s="17">
        <f>IFERROR(SUM(F119:F120),"")</f>
        <v/>
      </c>
      <c r="H120" s="17">
        <f>IFERROR(IF(F120="","",FLOOR(G119/((IFERROR(B116,0)+IFERROR(G116,0))/(IFERROR('Getting Started'!C15,0)+IFERROR('Getting Started'!C23,0))),1)+1),"")</f>
        <v/>
      </c>
      <c r="I120" s="17">
        <f>IFERROR(IF(F120="","",CEILING(G120/((IFERROR(B116,0)+IFERROR(G116,0))/(IFERROR('Getting Started'!C15,0)+IFERROR('Getting Started'!C23,0))),1)),"")</f>
        <v/>
      </c>
      <c r="J120" s="54">
        <f>IFERROR(IF(F120="","",TEXT('Getting Started'!C10+(H120-1)*7,"MMM D")&amp;" – "&amp;TEXT('Getting Started'!C10+I120*7,"MMM D")),"")</f>
        <v/>
      </c>
    </row>
    <row r="121" ht="18" customHeight="1">
      <c r="A121" s="53" t="n">
        <v>3</v>
      </c>
      <c r="B121" s="5" t="n"/>
      <c r="F121" s="32" t="n"/>
      <c r="G121" s="17">
        <f>IFERROR(SUM(F119:F121),"")</f>
        <v/>
      </c>
      <c r="H121" s="17">
        <f>IFERROR(IF(F121="","",FLOOR(G120/((IFERROR(B116,0)+IFERROR(G116,0))/(IFERROR('Getting Started'!C15,0)+IFERROR('Getting Started'!C23,0))),1)+1),"")</f>
        <v/>
      </c>
      <c r="I121" s="17">
        <f>IFERROR(IF(F121="","",CEILING(G121/((IFERROR(B116,0)+IFERROR(G116,0))/(IFERROR('Getting Started'!C15,0)+IFERROR('Getting Started'!C23,0))),1)),"")</f>
        <v/>
      </c>
      <c r="J121" s="54">
        <f>IFERROR(IF(F121="","",TEXT('Getting Started'!C10+(H121-1)*7,"MMM D")&amp;" – "&amp;TEXT('Getting Started'!C10+I121*7,"MMM D")),"")</f>
        <v/>
      </c>
    </row>
    <row r="122" ht="18" customHeight="1">
      <c r="A122" s="53" t="n">
        <v>4</v>
      </c>
      <c r="B122" s="18" t="n"/>
      <c r="F122" s="55" t="n"/>
      <c r="G122" s="17">
        <f>IFERROR(SUM(F119:F122),"")</f>
        <v/>
      </c>
      <c r="H122" s="17">
        <f>IFERROR(IF(F122="","",FLOOR(G121/((IFERROR(B116,0)+IFERROR(G116,0))/(IFERROR('Getting Started'!C15,0)+IFERROR('Getting Started'!C23,0))),1)+1),"")</f>
        <v/>
      </c>
      <c r="I122" s="17">
        <f>IFERROR(IF(F122="","",CEILING(G122/((IFERROR(B116,0)+IFERROR(G116,0))/(IFERROR('Getting Started'!C15,0)+IFERROR('Getting Started'!C23,0))),1)),"")</f>
        <v/>
      </c>
      <c r="J122" s="54">
        <f>IFERROR(IF(F122="","",TEXT('Getting Started'!C10+(H122-1)*7,"MMM D")&amp;" – "&amp;TEXT('Getting Started'!C10+I122*7,"MMM D")),"")</f>
        <v/>
      </c>
    </row>
    <row r="123" ht="18" customHeight="1">
      <c r="A123" s="53" t="n">
        <v>5</v>
      </c>
      <c r="B123" s="5" t="n"/>
      <c r="F123" s="32" t="n"/>
      <c r="G123" s="17">
        <f>IFERROR(SUM(F119:F123),"")</f>
        <v/>
      </c>
      <c r="H123" s="17">
        <f>IFERROR(IF(F123="","",FLOOR(G122/((IFERROR(B116,0)+IFERROR(G116,0))/(IFERROR('Getting Started'!C15,0)+IFERROR('Getting Started'!C23,0))),1)+1),"")</f>
        <v/>
      </c>
      <c r="I123" s="17">
        <f>IFERROR(IF(F123="","",CEILING(G123/((IFERROR(B116,0)+IFERROR(G116,0))/(IFERROR('Getting Started'!C15,0)+IFERROR('Getting Started'!C23,0))),1)),"")</f>
        <v/>
      </c>
      <c r="J123" s="54">
        <f>IFERROR(IF(F123="","",TEXT('Getting Started'!C10+(H123-1)*7,"MMM D")&amp;" – "&amp;TEXT('Getting Started'!C10+I123*7,"MMM D")),"")</f>
        <v/>
      </c>
    </row>
    <row r="124" ht="18" customHeight="1">
      <c r="A124" s="53" t="n">
        <v>6</v>
      </c>
      <c r="B124" s="18" t="n"/>
      <c r="F124" s="55" t="n"/>
      <c r="G124" s="17">
        <f>IFERROR(SUM(F119:F124),"")</f>
        <v/>
      </c>
      <c r="H124" s="17">
        <f>IFERROR(IF(F124="","",FLOOR(G123/((IFERROR(B116,0)+IFERROR(G116,0))/(IFERROR('Getting Started'!C15,0)+IFERROR('Getting Started'!C23,0))),1)+1),"")</f>
        <v/>
      </c>
      <c r="I124" s="17">
        <f>IFERROR(IF(F124="","",CEILING(G124/((IFERROR(B116,0)+IFERROR(G116,0))/(IFERROR('Getting Started'!C15,0)+IFERROR('Getting Started'!C23,0))),1)),"")</f>
        <v/>
      </c>
      <c r="J124" s="54">
        <f>IFERROR(IF(F124="","",TEXT('Getting Started'!C10+(H124-1)*7,"MMM D")&amp;" – "&amp;TEXT('Getting Started'!C10+I124*7,"MMM D")),"")</f>
        <v/>
      </c>
    </row>
    <row r="125" ht="20" customHeight="1">
      <c r="A125" s="56">
        <f>IFERROR(IF('Course Content'!I87="","",'Course Content'!I87),"")</f>
        <v/>
      </c>
    </row>
    <row r="126" ht="8" customHeight="1"/>
    <row r="127" ht="24" customHeight="1">
      <c r="A127" s="44">
        <f>IF('Course Content'!D88="","  ELECTIVE / OTHER 1","  "&amp;UPPER('Course Content'!D88))</f>
        <v/>
      </c>
      <c r="E127" s="45">
        <f>IFERROR(IF('Course Content'!E88="","← enter on Course Content tab",'Course Content'!E88),"")</f>
        <v/>
      </c>
    </row>
    <row r="128" ht="22" customHeight="1">
      <c r="B128" s="46">
        <f>'Course Content'!G88</f>
        <v/>
      </c>
      <c r="C128" s="47">
        <f>IFERROR(IF(B128="","",ROUND(B128/'Getting Started'!C15,1)),"")</f>
        <v/>
      </c>
      <c r="D128" s="47">
        <f>IFERROR(IF(C128="","",ROUND(C128/'Getting Started'!C7,1)),"")</f>
        <v/>
      </c>
      <c r="E128" s="48">
        <f>IFERROR(IF(B128="","",TEXT('Getting Started'!C10+(B128/D128),"MMM D, YYYY")),"")</f>
        <v/>
      </c>
      <c r="F128" s="39" t="n"/>
      <c r="G128" s="49">
        <f>'Course Content'!H88</f>
        <v/>
      </c>
      <c r="H128" s="50">
        <f>IFERROR(IF(G128="","",ROUND(G128/'Getting Started'!C23,1)),"")</f>
        <v/>
      </c>
      <c r="I128" s="50">
        <f>IFERROR(IF(H128="","",ROUND(H128/'Getting Started'!C7,1)),"")</f>
        <v/>
      </c>
      <c r="J128" s="51">
        <f>IFERROR(IF(G128="","",TEXT('Getting Started'!C18+(G128/I128),"MMM D, YYYY")),"")</f>
        <v/>
      </c>
    </row>
    <row r="129" ht="16" customHeight="1">
      <c r="A129" s="52" t="inlineStr">
        <is>
          <t xml:space="preserve">  Component Breakdown  (optional — use for multi-volume curricula)</t>
        </is>
      </c>
    </row>
    <row r="130" ht="22" customHeight="1">
      <c r="A130" s="28" t="inlineStr">
        <is>
          <t>#</t>
        </is>
      </c>
      <c r="B130" s="28" t="inlineStr">
        <is>
          <t>Book / Component Title</t>
        </is>
      </c>
      <c r="F130" s="28" t="inlineStr">
        <is>
          <t>Units</t>
        </is>
      </c>
      <c r="G130" s="28" t="inlineStr">
        <is>
          <t>Cumul.</t>
        </is>
      </c>
      <c r="H130" s="28" t="inlineStr">
        <is>
          <t>Start
Week</t>
        </is>
      </c>
      <c r="I130" s="28" t="inlineStr">
        <is>
          <t>End
Week</t>
        </is>
      </c>
      <c r="J130" s="28" t="inlineStr">
        <is>
          <t>Est. Dates</t>
        </is>
      </c>
    </row>
    <row r="131" ht="18" customHeight="1">
      <c r="A131" s="53" t="n">
        <v>1</v>
      </c>
      <c r="B131" s="5" t="n"/>
      <c r="F131" s="32" t="n"/>
      <c r="G131" s="17">
        <f>IFERROR(SUM(F131:F131),"")</f>
        <v/>
      </c>
      <c r="H131" s="17">
        <f>IF(F131="","",1)</f>
        <v/>
      </c>
      <c r="I131" s="17">
        <f>IFERROR(IF(F131="","",CEILING(G131/((IFERROR(B128,0)+IFERROR(G128,0))/(IFERROR('Getting Started'!C15,0)+IFERROR('Getting Started'!C23,0))),1)),"")</f>
        <v/>
      </c>
      <c r="J131" s="54">
        <f>IFERROR(IF(F131="","",TEXT('Getting Started'!C10+(H131-1)*7,"MMM D")&amp;" – "&amp;TEXT('Getting Started'!C10+I131*7,"MMM D")),"")</f>
        <v/>
      </c>
    </row>
    <row r="132" ht="18" customHeight="1">
      <c r="A132" s="53" t="n">
        <v>2</v>
      </c>
      <c r="B132" s="18" t="n"/>
      <c r="F132" s="55" t="n"/>
      <c r="G132" s="17">
        <f>IFERROR(SUM(F131:F132),"")</f>
        <v/>
      </c>
      <c r="H132" s="17">
        <f>IFERROR(IF(F132="","",FLOOR(G131/((IFERROR(B128,0)+IFERROR(G128,0))/(IFERROR('Getting Started'!C15,0)+IFERROR('Getting Started'!C23,0))),1)+1),"")</f>
        <v/>
      </c>
      <c r="I132" s="17">
        <f>IFERROR(IF(F132="","",CEILING(G132/((IFERROR(B128,0)+IFERROR(G128,0))/(IFERROR('Getting Started'!C15,0)+IFERROR('Getting Started'!C23,0))),1)),"")</f>
        <v/>
      </c>
      <c r="J132" s="54">
        <f>IFERROR(IF(F132="","",TEXT('Getting Started'!C10+(H132-1)*7,"MMM D")&amp;" – "&amp;TEXT('Getting Started'!C10+I132*7,"MMM D")),"")</f>
        <v/>
      </c>
    </row>
    <row r="133" ht="18" customHeight="1">
      <c r="A133" s="53" t="n">
        <v>3</v>
      </c>
      <c r="B133" s="5" t="n"/>
      <c r="F133" s="32" t="n"/>
      <c r="G133" s="17">
        <f>IFERROR(SUM(F131:F133),"")</f>
        <v/>
      </c>
      <c r="H133" s="17">
        <f>IFERROR(IF(F133="","",FLOOR(G132/((IFERROR(B128,0)+IFERROR(G128,0))/(IFERROR('Getting Started'!C15,0)+IFERROR('Getting Started'!C23,0))),1)+1),"")</f>
        <v/>
      </c>
      <c r="I133" s="17">
        <f>IFERROR(IF(F133="","",CEILING(G133/((IFERROR(B128,0)+IFERROR(G128,0))/(IFERROR('Getting Started'!C15,0)+IFERROR('Getting Started'!C23,0))),1)),"")</f>
        <v/>
      </c>
      <c r="J133" s="54">
        <f>IFERROR(IF(F133="","",TEXT('Getting Started'!C10+(H133-1)*7,"MMM D")&amp;" – "&amp;TEXT('Getting Started'!C10+I133*7,"MMM D")),"")</f>
        <v/>
      </c>
    </row>
    <row r="134" ht="18" customHeight="1">
      <c r="A134" s="53" t="n">
        <v>4</v>
      </c>
      <c r="B134" s="18" t="n"/>
      <c r="F134" s="55" t="n"/>
      <c r="G134" s="17">
        <f>IFERROR(SUM(F131:F134),"")</f>
        <v/>
      </c>
      <c r="H134" s="17">
        <f>IFERROR(IF(F134="","",FLOOR(G133/((IFERROR(B128,0)+IFERROR(G128,0))/(IFERROR('Getting Started'!C15,0)+IFERROR('Getting Started'!C23,0))),1)+1),"")</f>
        <v/>
      </c>
      <c r="I134" s="17">
        <f>IFERROR(IF(F134="","",CEILING(G134/((IFERROR(B128,0)+IFERROR(G128,0))/(IFERROR('Getting Started'!C15,0)+IFERROR('Getting Started'!C23,0))),1)),"")</f>
        <v/>
      </c>
      <c r="J134" s="54">
        <f>IFERROR(IF(F134="","",TEXT('Getting Started'!C10+(H134-1)*7,"MMM D")&amp;" – "&amp;TEXT('Getting Started'!C10+I134*7,"MMM D")),"")</f>
        <v/>
      </c>
    </row>
    <row r="135" ht="18" customHeight="1">
      <c r="A135" s="53" t="n">
        <v>5</v>
      </c>
      <c r="B135" s="5" t="n"/>
      <c r="F135" s="32" t="n"/>
      <c r="G135" s="17">
        <f>IFERROR(SUM(F131:F135),"")</f>
        <v/>
      </c>
      <c r="H135" s="17">
        <f>IFERROR(IF(F135="","",FLOOR(G134/((IFERROR(B128,0)+IFERROR(G128,0))/(IFERROR('Getting Started'!C15,0)+IFERROR('Getting Started'!C23,0))),1)+1),"")</f>
        <v/>
      </c>
      <c r="I135" s="17">
        <f>IFERROR(IF(F135="","",CEILING(G135/((IFERROR(B128,0)+IFERROR(G128,0))/(IFERROR('Getting Started'!C15,0)+IFERROR('Getting Started'!C23,0))),1)),"")</f>
        <v/>
      </c>
      <c r="J135" s="54">
        <f>IFERROR(IF(F135="","",TEXT('Getting Started'!C10+(H135-1)*7,"MMM D")&amp;" – "&amp;TEXT('Getting Started'!C10+I135*7,"MMM D")),"")</f>
        <v/>
      </c>
    </row>
    <row r="136" ht="18" customHeight="1">
      <c r="A136" s="53" t="n">
        <v>6</v>
      </c>
      <c r="B136" s="18" t="n"/>
      <c r="F136" s="55" t="n"/>
      <c r="G136" s="17">
        <f>IFERROR(SUM(F131:F136),"")</f>
        <v/>
      </c>
      <c r="H136" s="17">
        <f>IFERROR(IF(F136="","",FLOOR(G135/((IFERROR(B128,0)+IFERROR(G128,0))/(IFERROR('Getting Started'!C15,0)+IFERROR('Getting Started'!C23,0))),1)+1),"")</f>
        <v/>
      </c>
      <c r="I136" s="17">
        <f>IFERROR(IF(F136="","",CEILING(G136/((IFERROR(B128,0)+IFERROR(G128,0))/(IFERROR('Getting Started'!C15,0)+IFERROR('Getting Started'!C23,0))),1)),"")</f>
        <v/>
      </c>
      <c r="J136" s="54">
        <f>IFERROR(IF(F136="","",TEXT('Getting Started'!C10+(H136-1)*7,"MMM D")&amp;" – "&amp;TEXT('Getting Started'!C10+I136*7,"MMM D")),"")</f>
        <v/>
      </c>
    </row>
    <row r="137" ht="20" customHeight="1">
      <c r="A137" s="56">
        <f>IFERROR(IF('Course Content'!I88="","",'Course Content'!I88),"")</f>
        <v/>
      </c>
    </row>
    <row r="138" ht="8" customHeight="1"/>
    <row r="139" ht="24" customHeight="1">
      <c r="A139" s="44">
        <f>IF('Course Content'!D89="","  ELECTIVE / OTHER 2","  "&amp;UPPER('Course Content'!D89))</f>
        <v/>
      </c>
      <c r="E139" s="45">
        <f>IFERROR(IF('Course Content'!E89="","← enter on Course Content tab",'Course Content'!E89),"")</f>
        <v/>
      </c>
    </row>
    <row r="140" ht="22" customHeight="1">
      <c r="B140" s="46">
        <f>'Course Content'!G89</f>
        <v/>
      </c>
      <c r="C140" s="47">
        <f>IFERROR(IF(B140="","",ROUND(B140/'Getting Started'!C15,1)),"")</f>
        <v/>
      </c>
      <c r="D140" s="47">
        <f>IFERROR(IF(C140="","",ROUND(C140/'Getting Started'!C7,1)),"")</f>
        <v/>
      </c>
      <c r="E140" s="48">
        <f>IFERROR(IF(B140="","",TEXT('Getting Started'!C10+(B140/D140),"MMM D, YYYY")),"")</f>
        <v/>
      </c>
      <c r="F140" s="39" t="n"/>
      <c r="G140" s="49">
        <f>'Course Content'!H89</f>
        <v/>
      </c>
      <c r="H140" s="50">
        <f>IFERROR(IF(G140="","",ROUND(G140/'Getting Started'!C23,1)),"")</f>
        <v/>
      </c>
      <c r="I140" s="50">
        <f>IFERROR(IF(H140="","",ROUND(H140/'Getting Started'!C7,1)),"")</f>
        <v/>
      </c>
      <c r="J140" s="51">
        <f>IFERROR(IF(G140="","",TEXT('Getting Started'!C18+(G140/I140),"MMM D, YYYY")),"")</f>
        <v/>
      </c>
    </row>
    <row r="141" ht="16" customHeight="1">
      <c r="A141" s="52" t="inlineStr">
        <is>
          <t xml:space="preserve">  Component Breakdown  (optional — use for multi-volume curricula)</t>
        </is>
      </c>
    </row>
    <row r="142" ht="22" customHeight="1">
      <c r="A142" s="28" t="inlineStr">
        <is>
          <t>#</t>
        </is>
      </c>
      <c r="B142" s="28" t="inlineStr">
        <is>
          <t>Book / Component Title</t>
        </is>
      </c>
      <c r="F142" s="28" t="inlineStr">
        <is>
          <t>Units</t>
        </is>
      </c>
      <c r="G142" s="28" t="inlineStr">
        <is>
          <t>Cumul.</t>
        </is>
      </c>
      <c r="H142" s="28" t="inlineStr">
        <is>
          <t>Start
Week</t>
        </is>
      </c>
      <c r="I142" s="28" t="inlineStr">
        <is>
          <t>End
Week</t>
        </is>
      </c>
      <c r="J142" s="28" t="inlineStr">
        <is>
          <t>Est. Dates</t>
        </is>
      </c>
    </row>
    <row r="143" ht="18" customHeight="1">
      <c r="A143" s="53" t="n">
        <v>1</v>
      </c>
      <c r="B143" s="5" t="n"/>
      <c r="F143" s="32" t="n"/>
      <c r="G143" s="17">
        <f>IFERROR(SUM(F143:F143),"")</f>
        <v/>
      </c>
      <c r="H143" s="17">
        <f>IF(F143="","",1)</f>
        <v/>
      </c>
      <c r="I143" s="17">
        <f>IFERROR(IF(F143="","",CEILING(G143/((IFERROR(B140,0)+IFERROR(G140,0))/(IFERROR('Getting Started'!C15,0)+IFERROR('Getting Started'!C23,0))),1)),"")</f>
        <v/>
      </c>
      <c r="J143" s="54">
        <f>IFERROR(IF(F143="","",TEXT('Getting Started'!C10+(H143-1)*7,"MMM D")&amp;" – "&amp;TEXT('Getting Started'!C10+I143*7,"MMM D")),"")</f>
        <v/>
      </c>
    </row>
    <row r="144" ht="18" customHeight="1">
      <c r="A144" s="53" t="n">
        <v>2</v>
      </c>
      <c r="B144" s="18" t="n"/>
      <c r="F144" s="55" t="n"/>
      <c r="G144" s="17">
        <f>IFERROR(SUM(F143:F144),"")</f>
        <v/>
      </c>
      <c r="H144" s="17">
        <f>IFERROR(IF(F144="","",FLOOR(G143/((IFERROR(B140,0)+IFERROR(G140,0))/(IFERROR('Getting Started'!C15,0)+IFERROR('Getting Started'!C23,0))),1)+1),"")</f>
        <v/>
      </c>
      <c r="I144" s="17">
        <f>IFERROR(IF(F144="","",CEILING(G144/((IFERROR(B140,0)+IFERROR(G140,0))/(IFERROR('Getting Started'!C15,0)+IFERROR('Getting Started'!C23,0))),1)),"")</f>
        <v/>
      </c>
      <c r="J144" s="54">
        <f>IFERROR(IF(F144="","",TEXT('Getting Started'!C10+(H144-1)*7,"MMM D")&amp;" – "&amp;TEXT('Getting Started'!C10+I144*7,"MMM D")),"")</f>
        <v/>
      </c>
    </row>
    <row r="145" ht="18" customHeight="1">
      <c r="A145" s="53" t="n">
        <v>3</v>
      </c>
      <c r="B145" s="5" t="n"/>
      <c r="F145" s="32" t="n"/>
      <c r="G145" s="17">
        <f>IFERROR(SUM(F143:F145),"")</f>
        <v/>
      </c>
      <c r="H145" s="17">
        <f>IFERROR(IF(F145="","",FLOOR(G144/((IFERROR(B140,0)+IFERROR(G140,0))/(IFERROR('Getting Started'!C15,0)+IFERROR('Getting Started'!C23,0))),1)+1),"")</f>
        <v/>
      </c>
      <c r="I145" s="17">
        <f>IFERROR(IF(F145="","",CEILING(G145/((IFERROR(B140,0)+IFERROR(G140,0))/(IFERROR('Getting Started'!C15,0)+IFERROR('Getting Started'!C23,0))),1)),"")</f>
        <v/>
      </c>
      <c r="J145" s="54">
        <f>IFERROR(IF(F145="","",TEXT('Getting Started'!C10+(H145-1)*7,"MMM D")&amp;" – "&amp;TEXT('Getting Started'!C10+I145*7,"MMM D")),"")</f>
        <v/>
      </c>
    </row>
    <row r="146" ht="18" customHeight="1">
      <c r="A146" s="53" t="n">
        <v>4</v>
      </c>
      <c r="B146" s="18" t="n"/>
      <c r="F146" s="55" t="n"/>
      <c r="G146" s="17">
        <f>IFERROR(SUM(F143:F146),"")</f>
        <v/>
      </c>
      <c r="H146" s="17">
        <f>IFERROR(IF(F146="","",FLOOR(G145/((IFERROR(B140,0)+IFERROR(G140,0))/(IFERROR('Getting Started'!C15,0)+IFERROR('Getting Started'!C23,0))),1)+1),"")</f>
        <v/>
      </c>
      <c r="I146" s="17">
        <f>IFERROR(IF(F146="","",CEILING(G146/((IFERROR(B140,0)+IFERROR(G140,0))/(IFERROR('Getting Started'!C15,0)+IFERROR('Getting Started'!C23,0))),1)),"")</f>
        <v/>
      </c>
      <c r="J146" s="54">
        <f>IFERROR(IF(F146="","",TEXT('Getting Started'!C10+(H146-1)*7,"MMM D")&amp;" – "&amp;TEXT('Getting Started'!C10+I146*7,"MMM D")),"")</f>
        <v/>
      </c>
    </row>
    <row r="147" ht="18" customHeight="1">
      <c r="A147" s="53" t="n">
        <v>5</v>
      </c>
      <c r="B147" s="5" t="n"/>
      <c r="F147" s="32" t="n"/>
      <c r="G147" s="17">
        <f>IFERROR(SUM(F143:F147),"")</f>
        <v/>
      </c>
      <c r="H147" s="17">
        <f>IFERROR(IF(F147="","",FLOOR(G146/((IFERROR(B140,0)+IFERROR(G140,0))/(IFERROR('Getting Started'!C15,0)+IFERROR('Getting Started'!C23,0))),1)+1),"")</f>
        <v/>
      </c>
      <c r="I147" s="17">
        <f>IFERROR(IF(F147="","",CEILING(G147/((IFERROR(B140,0)+IFERROR(G140,0))/(IFERROR('Getting Started'!C15,0)+IFERROR('Getting Started'!C23,0))),1)),"")</f>
        <v/>
      </c>
      <c r="J147" s="54">
        <f>IFERROR(IF(F147="","",TEXT('Getting Started'!C10+(H147-1)*7,"MMM D")&amp;" – "&amp;TEXT('Getting Started'!C10+I147*7,"MMM D")),"")</f>
        <v/>
      </c>
    </row>
    <row r="148" ht="18" customHeight="1">
      <c r="A148" s="53" t="n">
        <v>6</v>
      </c>
      <c r="B148" s="18" t="n"/>
      <c r="F148" s="55" t="n"/>
      <c r="G148" s="17">
        <f>IFERROR(SUM(F143:F148),"")</f>
        <v/>
      </c>
      <c r="H148" s="17">
        <f>IFERROR(IF(F148="","",FLOOR(G147/((IFERROR(B140,0)+IFERROR(G140,0))/(IFERROR('Getting Started'!C15,0)+IFERROR('Getting Started'!C23,0))),1)+1),"")</f>
        <v/>
      </c>
      <c r="I148" s="17">
        <f>IFERROR(IF(F148="","",CEILING(G148/((IFERROR(B140,0)+IFERROR(G140,0))/(IFERROR('Getting Started'!C15,0)+IFERROR('Getting Started'!C23,0))),1)),"")</f>
        <v/>
      </c>
      <c r="J148" s="54">
        <f>IFERROR(IF(F148="","",TEXT('Getting Started'!C10+(H148-1)*7,"MMM D")&amp;" – "&amp;TEXT('Getting Started'!C10+I148*7,"MMM D")),"")</f>
        <v/>
      </c>
    </row>
    <row r="149" ht="20" customHeight="1">
      <c r="A149" s="56">
        <f>IFERROR(IF('Course Content'!I89="","",'Course Content'!I89),"")</f>
        <v/>
      </c>
    </row>
    <row r="150" ht="8" customHeight="1"/>
    <row r="151" ht="24" customHeight="1">
      <c r="A151" s="44">
        <f>IF('Course Content'!D90="","  ELECTIVE / OTHER 3","  "&amp;UPPER('Course Content'!D90))</f>
        <v/>
      </c>
      <c r="E151" s="45">
        <f>IFERROR(IF('Course Content'!E90="","← enter on Course Content tab",'Course Content'!E90),"")</f>
        <v/>
      </c>
    </row>
    <row r="152" ht="22" customHeight="1">
      <c r="B152" s="46">
        <f>'Course Content'!G90</f>
        <v/>
      </c>
      <c r="C152" s="47">
        <f>IFERROR(IF(B152="","",ROUND(B152/'Getting Started'!C15,1)),"")</f>
        <v/>
      </c>
      <c r="D152" s="47">
        <f>IFERROR(IF(C152="","",ROUND(C152/'Getting Started'!C7,1)),"")</f>
        <v/>
      </c>
      <c r="E152" s="48">
        <f>IFERROR(IF(B152="","",TEXT('Getting Started'!C10+(B152/D152),"MMM D, YYYY")),"")</f>
        <v/>
      </c>
      <c r="F152" s="39" t="n"/>
      <c r="G152" s="49">
        <f>'Course Content'!H90</f>
        <v/>
      </c>
      <c r="H152" s="50">
        <f>IFERROR(IF(G152="","",ROUND(G152/'Getting Started'!C23,1)),"")</f>
        <v/>
      </c>
      <c r="I152" s="50">
        <f>IFERROR(IF(H152="","",ROUND(H152/'Getting Started'!C7,1)),"")</f>
        <v/>
      </c>
      <c r="J152" s="51">
        <f>IFERROR(IF(G152="","",TEXT('Getting Started'!C18+(G152/I152),"MMM D, YYYY")),"")</f>
        <v/>
      </c>
    </row>
    <row r="153" ht="16" customHeight="1">
      <c r="A153" s="52" t="inlineStr">
        <is>
          <t xml:space="preserve">  Component Breakdown  (optional — use for multi-volume curricula)</t>
        </is>
      </c>
    </row>
    <row r="154" ht="22" customHeight="1">
      <c r="A154" s="28" t="inlineStr">
        <is>
          <t>#</t>
        </is>
      </c>
      <c r="B154" s="28" t="inlineStr">
        <is>
          <t>Book / Component Title</t>
        </is>
      </c>
      <c r="F154" s="28" t="inlineStr">
        <is>
          <t>Units</t>
        </is>
      </c>
      <c r="G154" s="28" t="inlineStr">
        <is>
          <t>Cumul.</t>
        </is>
      </c>
      <c r="H154" s="28" t="inlineStr">
        <is>
          <t>Start
Week</t>
        </is>
      </c>
      <c r="I154" s="28" t="inlineStr">
        <is>
          <t>End
Week</t>
        </is>
      </c>
      <c r="J154" s="28" t="inlineStr">
        <is>
          <t>Est. Dates</t>
        </is>
      </c>
    </row>
    <row r="155" ht="18" customHeight="1">
      <c r="A155" s="53" t="n">
        <v>1</v>
      </c>
      <c r="B155" s="5" t="n"/>
      <c r="F155" s="32" t="n"/>
      <c r="G155" s="17">
        <f>IFERROR(SUM(F155:F155),"")</f>
        <v/>
      </c>
      <c r="H155" s="17">
        <f>IF(F155="","",1)</f>
        <v/>
      </c>
      <c r="I155" s="17">
        <f>IFERROR(IF(F155="","",CEILING(G155/((IFERROR(B152,0)+IFERROR(G152,0))/(IFERROR('Getting Started'!C15,0)+IFERROR('Getting Started'!C23,0))),1)),"")</f>
        <v/>
      </c>
      <c r="J155" s="54">
        <f>IFERROR(IF(F155="","",TEXT('Getting Started'!C10+(H155-1)*7,"MMM D")&amp;" – "&amp;TEXT('Getting Started'!C10+I155*7,"MMM D")),"")</f>
        <v/>
      </c>
    </row>
    <row r="156" ht="18" customHeight="1">
      <c r="A156" s="53" t="n">
        <v>2</v>
      </c>
      <c r="B156" s="18" t="n"/>
      <c r="F156" s="55" t="n"/>
      <c r="G156" s="17">
        <f>IFERROR(SUM(F155:F156),"")</f>
        <v/>
      </c>
      <c r="H156" s="17">
        <f>IFERROR(IF(F156="","",FLOOR(G155/((IFERROR(B152,0)+IFERROR(G152,0))/(IFERROR('Getting Started'!C15,0)+IFERROR('Getting Started'!C23,0))),1)+1),"")</f>
        <v/>
      </c>
      <c r="I156" s="17">
        <f>IFERROR(IF(F156="","",CEILING(G156/((IFERROR(B152,0)+IFERROR(G152,0))/(IFERROR('Getting Started'!C15,0)+IFERROR('Getting Started'!C23,0))),1)),"")</f>
        <v/>
      </c>
      <c r="J156" s="54">
        <f>IFERROR(IF(F156="","",TEXT('Getting Started'!C10+(H156-1)*7,"MMM D")&amp;" – "&amp;TEXT('Getting Started'!C10+I156*7,"MMM D")),"")</f>
        <v/>
      </c>
    </row>
    <row r="157" ht="18" customHeight="1">
      <c r="A157" s="53" t="n">
        <v>3</v>
      </c>
      <c r="B157" s="5" t="n"/>
      <c r="F157" s="32" t="n"/>
      <c r="G157" s="17">
        <f>IFERROR(SUM(F155:F157),"")</f>
        <v/>
      </c>
      <c r="H157" s="17">
        <f>IFERROR(IF(F157="","",FLOOR(G156/((IFERROR(B152,0)+IFERROR(G152,0))/(IFERROR('Getting Started'!C15,0)+IFERROR('Getting Started'!C23,0))),1)+1),"")</f>
        <v/>
      </c>
      <c r="I157" s="17">
        <f>IFERROR(IF(F157="","",CEILING(G157/((IFERROR(B152,0)+IFERROR(G152,0))/(IFERROR('Getting Started'!C15,0)+IFERROR('Getting Started'!C23,0))),1)),"")</f>
        <v/>
      </c>
      <c r="J157" s="54">
        <f>IFERROR(IF(F157="","",TEXT('Getting Started'!C10+(H157-1)*7,"MMM D")&amp;" – "&amp;TEXT('Getting Started'!C10+I157*7,"MMM D")),"")</f>
        <v/>
      </c>
    </row>
    <row r="158" ht="18" customHeight="1">
      <c r="A158" s="53" t="n">
        <v>4</v>
      </c>
      <c r="B158" s="18" t="n"/>
      <c r="F158" s="55" t="n"/>
      <c r="G158" s="17">
        <f>IFERROR(SUM(F155:F158),"")</f>
        <v/>
      </c>
      <c r="H158" s="17">
        <f>IFERROR(IF(F158="","",FLOOR(G157/((IFERROR(B152,0)+IFERROR(G152,0))/(IFERROR('Getting Started'!C15,0)+IFERROR('Getting Started'!C23,0))),1)+1),"")</f>
        <v/>
      </c>
      <c r="I158" s="17">
        <f>IFERROR(IF(F158="","",CEILING(G158/((IFERROR(B152,0)+IFERROR(G152,0))/(IFERROR('Getting Started'!C15,0)+IFERROR('Getting Started'!C23,0))),1)),"")</f>
        <v/>
      </c>
      <c r="J158" s="54">
        <f>IFERROR(IF(F158="","",TEXT('Getting Started'!C10+(H158-1)*7,"MMM D")&amp;" – "&amp;TEXT('Getting Started'!C10+I158*7,"MMM D")),"")</f>
        <v/>
      </c>
    </row>
    <row r="159" ht="18" customHeight="1">
      <c r="A159" s="53" t="n">
        <v>5</v>
      </c>
      <c r="B159" s="5" t="n"/>
      <c r="F159" s="32" t="n"/>
      <c r="G159" s="17">
        <f>IFERROR(SUM(F155:F159),"")</f>
        <v/>
      </c>
      <c r="H159" s="17">
        <f>IFERROR(IF(F159="","",FLOOR(G158/((IFERROR(B152,0)+IFERROR(G152,0))/(IFERROR('Getting Started'!C15,0)+IFERROR('Getting Started'!C23,0))),1)+1),"")</f>
        <v/>
      </c>
      <c r="I159" s="17">
        <f>IFERROR(IF(F159="","",CEILING(G159/((IFERROR(B152,0)+IFERROR(G152,0))/(IFERROR('Getting Started'!C15,0)+IFERROR('Getting Started'!C23,0))),1)),"")</f>
        <v/>
      </c>
      <c r="J159" s="54">
        <f>IFERROR(IF(F159="","",TEXT('Getting Started'!C10+(H159-1)*7,"MMM D")&amp;" – "&amp;TEXT('Getting Started'!C10+I159*7,"MMM D")),"")</f>
        <v/>
      </c>
    </row>
    <row r="160" ht="18" customHeight="1">
      <c r="A160" s="53" t="n">
        <v>6</v>
      </c>
      <c r="B160" s="18" t="n"/>
      <c r="F160" s="55" t="n"/>
      <c r="G160" s="17">
        <f>IFERROR(SUM(F155:F160),"")</f>
        <v/>
      </c>
      <c r="H160" s="17">
        <f>IFERROR(IF(F160="","",FLOOR(G159/((IFERROR(B152,0)+IFERROR(G152,0))/(IFERROR('Getting Started'!C15,0)+IFERROR('Getting Started'!C23,0))),1)+1),"")</f>
        <v/>
      </c>
      <c r="I160" s="17">
        <f>IFERROR(IF(F160="","",CEILING(G160/((IFERROR(B152,0)+IFERROR(G152,0))/(IFERROR('Getting Started'!C15,0)+IFERROR('Getting Started'!C23,0))),1)),"")</f>
        <v/>
      </c>
      <c r="J160" s="54">
        <f>IFERROR(IF(F160="","",TEXT('Getting Started'!C10+(H160-1)*7,"MMM D")&amp;" – "&amp;TEXT('Getting Started'!C10+I160*7,"MMM D")),"")</f>
        <v/>
      </c>
    </row>
    <row r="161" ht="20" customHeight="1">
      <c r="A161" s="56">
        <f>IFERROR(IF('Course Content'!I90="","",'Course Content'!I90),"")</f>
        <v/>
      </c>
    </row>
    <row r="162" ht="8" customHeight="1"/>
    <row r="163" ht="24" customHeight="1">
      <c r="A163" s="44">
        <f>IF('Course Content'!D91="","  ELECTIVE / OTHER 4","  "&amp;UPPER('Course Content'!D91))</f>
        <v/>
      </c>
      <c r="E163" s="45">
        <f>IFERROR(IF('Course Content'!E91="","← enter on Course Content tab",'Course Content'!E91),"")</f>
        <v/>
      </c>
    </row>
    <row r="164" ht="22" customHeight="1">
      <c r="B164" s="46">
        <f>'Course Content'!G91</f>
        <v/>
      </c>
      <c r="C164" s="47">
        <f>IFERROR(IF(B164="","",ROUND(B164/'Getting Started'!C15,1)),"")</f>
        <v/>
      </c>
      <c r="D164" s="47">
        <f>IFERROR(IF(C164="","",ROUND(C164/'Getting Started'!C7,1)),"")</f>
        <v/>
      </c>
      <c r="E164" s="48">
        <f>IFERROR(IF(B164="","",TEXT('Getting Started'!C10+(B164/D164),"MMM D, YYYY")),"")</f>
        <v/>
      </c>
      <c r="F164" s="39" t="n"/>
      <c r="G164" s="49">
        <f>'Course Content'!H91</f>
        <v/>
      </c>
      <c r="H164" s="50">
        <f>IFERROR(IF(G164="","",ROUND(G164/'Getting Started'!C23,1)),"")</f>
        <v/>
      </c>
      <c r="I164" s="50">
        <f>IFERROR(IF(H164="","",ROUND(H164/'Getting Started'!C7,1)),"")</f>
        <v/>
      </c>
      <c r="J164" s="51">
        <f>IFERROR(IF(G164="","",TEXT('Getting Started'!C18+(G164/I164),"MMM D, YYYY")),"")</f>
        <v/>
      </c>
    </row>
    <row r="165" ht="16" customHeight="1">
      <c r="A165" s="52" t="inlineStr">
        <is>
          <t xml:space="preserve">  Component Breakdown  (optional — use for multi-volume curricula)</t>
        </is>
      </c>
    </row>
    <row r="166" ht="22" customHeight="1">
      <c r="A166" s="28" t="inlineStr">
        <is>
          <t>#</t>
        </is>
      </c>
      <c r="B166" s="28" t="inlineStr">
        <is>
          <t>Book / Component Title</t>
        </is>
      </c>
      <c r="F166" s="28" t="inlineStr">
        <is>
          <t>Units</t>
        </is>
      </c>
      <c r="G166" s="28" t="inlineStr">
        <is>
          <t>Cumul.</t>
        </is>
      </c>
      <c r="H166" s="28" t="inlineStr">
        <is>
          <t>Start
Week</t>
        </is>
      </c>
      <c r="I166" s="28" t="inlineStr">
        <is>
          <t>End
Week</t>
        </is>
      </c>
      <c r="J166" s="28" t="inlineStr">
        <is>
          <t>Est. Dates</t>
        </is>
      </c>
    </row>
    <row r="167" ht="18" customHeight="1">
      <c r="A167" s="53" t="n">
        <v>1</v>
      </c>
      <c r="B167" s="5" t="n"/>
      <c r="F167" s="32" t="n"/>
      <c r="G167" s="17">
        <f>IFERROR(SUM(F167:F167),"")</f>
        <v/>
      </c>
      <c r="H167" s="17">
        <f>IF(F167="","",1)</f>
        <v/>
      </c>
      <c r="I167" s="17">
        <f>IFERROR(IF(F167="","",CEILING(G167/((IFERROR(B164,0)+IFERROR(G164,0))/(IFERROR('Getting Started'!C15,0)+IFERROR('Getting Started'!C23,0))),1)),"")</f>
        <v/>
      </c>
      <c r="J167" s="54">
        <f>IFERROR(IF(F167="","",TEXT('Getting Started'!C10+(H167-1)*7,"MMM D")&amp;" – "&amp;TEXT('Getting Started'!C10+I167*7,"MMM D")),"")</f>
        <v/>
      </c>
    </row>
    <row r="168" ht="18" customHeight="1">
      <c r="A168" s="53" t="n">
        <v>2</v>
      </c>
      <c r="B168" s="18" t="n"/>
      <c r="F168" s="55" t="n"/>
      <c r="G168" s="17">
        <f>IFERROR(SUM(F167:F168),"")</f>
        <v/>
      </c>
      <c r="H168" s="17">
        <f>IFERROR(IF(F168="","",FLOOR(G167/((IFERROR(B164,0)+IFERROR(G164,0))/(IFERROR('Getting Started'!C15,0)+IFERROR('Getting Started'!C23,0))),1)+1),"")</f>
        <v/>
      </c>
      <c r="I168" s="17">
        <f>IFERROR(IF(F168="","",CEILING(G168/((IFERROR(B164,0)+IFERROR(G164,0))/(IFERROR('Getting Started'!C15,0)+IFERROR('Getting Started'!C23,0))),1)),"")</f>
        <v/>
      </c>
      <c r="J168" s="54">
        <f>IFERROR(IF(F168="","",TEXT('Getting Started'!C10+(H168-1)*7,"MMM D")&amp;" – "&amp;TEXT('Getting Started'!C10+I168*7,"MMM D")),"")</f>
        <v/>
      </c>
    </row>
    <row r="169" ht="18" customHeight="1">
      <c r="A169" s="53" t="n">
        <v>3</v>
      </c>
      <c r="B169" s="5" t="n"/>
      <c r="F169" s="32" t="n"/>
      <c r="G169" s="17">
        <f>IFERROR(SUM(F167:F169),"")</f>
        <v/>
      </c>
      <c r="H169" s="17">
        <f>IFERROR(IF(F169="","",FLOOR(G168/((IFERROR(B164,0)+IFERROR(G164,0))/(IFERROR('Getting Started'!C15,0)+IFERROR('Getting Started'!C23,0))),1)+1),"")</f>
        <v/>
      </c>
      <c r="I169" s="17">
        <f>IFERROR(IF(F169="","",CEILING(G169/((IFERROR(B164,0)+IFERROR(G164,0))/(IFERROR('Getting Started'!C15,0)+IFERROR('Getting Started'!C23,0))),1)),"")</f>
        <v/>
      </c>
      <c r="J169" s="54">
        <f>IFERROR(IF(F169="","",TEXT('Getting Started'!C10+(H169-1)*7,"MMM D")&amp;" – "&amp;TEXT('Getting Started'!C10+I169*7,"MMM D")),"")</f>
        <v/>
      </c>
    </row>
    <row r="170" ht="18" customHeight="1">
      <c r="A170" s="53" t="n">
        <v>4</v>
      </c>
      <c r="B170" s="18" t="n"/>
      <c r="F170" s="55" t="n"/>
      <c r="G170" s="17">
        <f>IFERROR(SUM(F167:F170),"")</f>
        <v/>
      </c>
      <c r="H170" s="17">
        <f>IFERROR(IF(F170="","",FLOOR(G169/((IFERROR(B164,0)+IFERROR(G164,0))/(IFERROR('Getting Started'!C15,0)+IFERROR('Getting Started'!C23,0))),1)+1),"")</f>
        <v/>
      </c>
      <c r="I170" s="17">
        <f>IFERROR(IF(F170="","",CEILING(G170/((IFERROR(B164,0)+IFERROR(G164,0))/(IFERROR('Getting Started'!C15,0)+IFERROR('Getting Started'!C23,0))),1)),"")</f>
        <v/>
      </c>
      <c r="J170" s="54">
        <f>IFERROR(IF(F170="","",TEXT('Getting Started'!C10+(H170-1)*7,"MMM D")&amp;" – "&amp;TEXT('Getting Started'!C10+I170*7,"MMM D")),"")</f>
        <v/>
      </c>
    </row>
    <row r="171" ht="18" customHeight="1">
      <c r="A171" s="53" t="n">
        <v>5</v>
      </c>
      <c r="B171" s="5" t="n"/>
      <c r="F171" s="32" t="n"/>
      <c r="G171" s="17">
        <f>IFERROR(SUM(F167:F171),"")</f>
        <v/>
      </c>
      <c r="H171" s="17">
        <f>IFERROR(IF(F171="","",FLOOR(G170/((IFERROR(B164,0)+IFERROR(G164,0))/(IFERROR('Getting Started'!C15,0)+IFERROR('Getting Started'!C23,0))),1)+1),"")</f>
        <v/>
      </c>
      <c r="I171" s="17">
        <f>IFERROR(IF(F171="","",CEILING(G171/((IFERROR(B164,0)+IFERROR(G164,0))/(IFERROR('Getting Started'!C15,0)+IFERROR('Getting Started'!C23,0))),1)),"")</f>
        <v/>
      </c>
      <c r="J171" s="54">
        <f>IFERROR(IF(F171="","",TEXT('Getting Started'!C10+(H171-1)*7,"MMM D")&amp;" – "&amp;TEXT('Getting Started'!C10+I171*7,"MMM D")),"")</f>
        <v/>
      </c>
    </row>
    <row r="172" ht="18" customHeight="1">
      <c r="A172" s="53" t="n">
        <v>6</v>
      </c>
      <c r="B172" s="18" t="n"/>
      <c r="F172" s="55" t="n"/>
      <c r="G172" s="17">
        <f>IFERROR(SUM(F167:F172),"")</f>
        <v/>
      </c>
      <c r="H172" s="17">
        <f>IFERROR(IF(F172="","",FLOOR(G171/((IFERROR(B164,0)+IFERROR(G164,0))/(IFERROR('Getting Started'!C15,0)+IFERROR('Getting Started'!C23,0))),1)+1),"")</f>
        <v/>
      </c>
      <c r="I172" s="17">
        <f>IFERROR(IF(F172="","",CEILING(G172/((IFERROR(B164,0)+IFERROR(G164,0))/(IFERROR('Getting Started'!C15,0)+IFERROR('Getting Started'!C23,0))),1)),"")</f>
        <v/>
      </c>
      <c r="J172" s="54">
        <f>IFERROR(IF(F172="","",TEXT('Getting Started'!C10+(H172-1)*7,"MMM D")&amp;" – "&amp;TEXT('Getting Started'!C10+I172*7,"MMM D")),"")</f>
        <v/>
      </c>
    </row>
    <row r="173" ht="20" customHeight="1">
      <c r="A173" s="56">
        <f>IFERROR(IF('Course Content'!I91="","",'Course Content'!I91),"")</f>
        <v/>
      </c>
    </row>
    <row r="174" ht="8" customHeight="1"/>
  </sheetData>
  <mergeCells count="158">
    <mergeCell ref="B146:E146"/>
    <mergeCell ref="E19:J19"/>
    <mergeCell ref="B74:E74"/>
    <mergeCell ref="G4:J4"/>
    <mergeCell ref="A165:J165"/>
    <mergeCell ref="B123:E123"/>
    <mergeCell ref="B36:E36"/>
    <mergeCell ref="B76:E76"/>
    <mergeCell ref="B110:E110"/>
    <mergeCell ref="A93:J93"/>
    <mergeCell ref="A31:D31"/>
    <mergeCell ref="A173:J173"/>
    <mergeCell ref="B100:E100"/>
    <mergeCell ref="A77:J77"/>
    <mergeCell ref="B109:E109"/>
    <mergeCell ref="B47:E47"/>
    <mergeCell ref="B22:E22"/>
    <mergeCell ref="B155:E155"/>
    <mergeCell ref="B12:E12"/>
    <mergeCell ref="B86:E86"/>
    <mergeCell ref="A69:J69"/>
    <mergeCell ref="A7:D7"/>
    <mergeCell ref="B39:E39"/>
    <mergeCell ref="E139:J139"/>
    <mergeCell ref="B14:E14"/>
    <mergeCell ref="B136:E136"/>
    <mergeCell ref="B23:E23"/>
    <mergeCell ref="B13:E13"/>
    <mergeCell ref="A163:D163"/>
    <mergeCell ref="B38:E38"/>
    <mergeCell ref="B112:E112"/>
    <mergeCell ref="E79:J79"/>
    <mergeCell ref="B87:E87"/>
    <mergeCell ref="B40:E40"/>
    <mergeCell ref="B49:E49"/>
    <mergeCell ref="B64:E64"/>
    <mergeCell ref="A29:J29"/>
    <mergeCell ref="A81:J81"/>
    <mergeCell ref="A19:D19"/>
    <mergeCell ref="B51:E51"/>
    <mergeCell ref="A161:J161"/>
    <mergeCell ref="B63:E63"/>
    <mergeCell ref="B26:E26"/>
    <mergeCell ref="B154:E154"/>
    <mergeCell ref="B35:E35"/>
    <mergeCell ref="B50:E50"/>
    <mergeCell ref="B106:E106"/>
    <mergeCell ref="A127:D127"/>
    <mergeCell ref="E163:J163"/>
    <mergeCell ref="B16:E16"/>
    <mergeCell ref="B25:E25"/>
    <mergeCell ref="B156:E156"/>
    <mergeCell ref="E91:J91"/>
    <mergeCell ref="B131:E131"/>
    <mergeCell ref="B27:E27"/>
    <mergeCell ref="A79:D79"/>
    <mergeCell ref="E115:J115"/>
    <mergeCell ref="B130:E130"/>
    <mergeCell ref="B11:E11"/>
    <mergeCell ref="B61:E61"/>
    <mergeCell ref="A4:E4"/>
    <mergeCell ref="B132:E132"/>
    <mergeCell ref="B166:E166"/>
    <mergeCell ref="A149:J149"/>
    <mergeCell ref="B119:E119"/>
    <mergeCell ref="E127:J127"/>
    <mergeCell ref="A139:D139"/>
    <mergeCell ref="B37:E37"/>
    <mergeCell ref="A2:J2"/>
    <mergeCell ref="B168:E168"/>
    <mergeCell ref="B84:E84"/>
    <mergeCell ref="B118:E118"/>
    <mergeCell ref="A141:J141"/>
    <mergeCell ref="A91:D91"/>
    <mergeCell ref="B158:E158"/>
    <mergeCell ref="B15:E15"/>
    <mergeCell ref="B142:E142"/>
    <mergeCell ref="B24:E24"/>
    <mergeCell ref="A125:J125"/>
    <mergeCell ref="B95:E95"/>
    <mergeCell ref="A115:D115"/>
    <mergeCell ref="B160:E160"/>
    <mergeCell ref="B169:E169"/>
    <mergeCell ref="B144:E144"/>
    <mergeCell ref="B97:E97"/>
    <mergeCell ref="B72:E72"/>
    <mergeCell ref="B134:E134"/>
    <mergeCell ref="B121:E121"/>
    <mergeCell ref="A103:D103"/>
    <mergeCell ref="B122:E122"/>
    <mergeCell ref="B71:E71"/>
    <mergeCell ref="B58:E58"/>
    <mergeCell ref="B52:E52"/>
    <mergeCell ref="A153:J153"/>
    <mergeCell ref="B120:E120"/>
    <mergeCell ref="A137:J137"/>
    <mergeCell ref="B107:E107"/>
    <mergeCell ref="A41:J41"/>
    <mergeCell ref="B60:E60"/>
    <mergeCell ref="E151:J151"/>
    <mergeCell ref="B170:E170"/>
    <mergeCell ref="E55:J55"/>
    <mergeCell ref="B148:E148"/>
    <mergeCell ref="B157:E157"/>
    <mergeCell ref="E67:J67"/>
    <mergeCell ref="B171:E171"/>
    <mergeCell ref="A101:J101"/>
    <mergeCell ref="B34:E34"/>
    <mergeCell ref="B172:E172"/>
    <mergeCell ref="B28:E28"/>
    <mergeCell ref="B99:E99"/>
    <mergeCell ref="A33:J33"/>
    <mergeCell ref="B108:E108"/>
    <mergeCell ref="E103:J103"/>
    <mergeCell ref="B83:E83"/>
    <mergeCell ref="A17:J17"/>
    <mergeCell ref="B143:E143"/>
    <mergeCell ref="A53:J53"/>
    <mergeCell ref="E31:J31"/>
    <mergeCell ref="B124:E124"/>
    <mergeCell ref="A43:D43"/>
    <mergeCell ref="B133:E133"/>
    <mergeCell ref="B85:E85"/>
    <mergeCell ref="B94:E94"/>
    <mergeCell ref="A117:J117"/>
    <mergeCell ref="A67:D67"/>
    <mergeCell ref="B75:E75"/>
    <mergeCell ref="A9:J9"/>
    <mergeCell ref="B135:E135"/>
    <mergeCell ref="B62:E62"/>
    <mergeCell ref="B59:E59"/>
    <mergeCell ref="B46:E46"/>
    <mergeCell ref="B159:E159"/>
    <mergeCell ref="E7:J7"/>
    <mergeCell ref="A1:J1"/>
    <mergeCell ref="A45:J45"/>
    <mergeCell ref="B96:E96"/>
    <mergeCell ref="B167:E167"/>
    <mergeCell ref="B70:E70"/>
    <mergeCell ref="B48:E48"/>
    <mergeCell ref="A65:J65"/>
    <mergeCell ref="E43:J43"/>
    <mergeCell ref="B111:E111"/>
    <mergeCell ref="B145:E145"/>
    <mergeCell ref="B98:E98"/>
    <mergeCell ref="A89:J89"/>
    <mergeCell ref="B73:E73"/>
    <mergeCell ref="B88:E88"/>
    <mergeCell ref="B82:E82"/>
    <mergeCell ref="A21:J21"/>
    <mergeCell ref="A55:D55"/>
    <mergeCell ref="A105:J105"/>
    <mergeCell ref="B147:E147"/>
    <mergeCell ref="A57:J57"/>
    <mergeCell ref="A113:J113"/>
    <mergeCell ref="A151:D151"/>
    <mergeCell ref="B10:E10"/>
    <mergeCell ref="A129:J129"/>
  </mergeCells>
  <pageMargins left="0.75" right="0.75" top="1" bottom="1" header="0.5" footer="0.5"/>
</worksheet>
</file>

<file path=xl/worksheets/sheet9.xml><?xml version="1.0" encoding="utf-8"?>
<worksheet xmlns="http://schemas.openxmlformats.org/spreadsheetml/2006/main">
  <sheetPr>
    <tabColor rgb="008A5C5C"/>
    <outlinePr summaryBelow="1" summaryRight="1"/>
    <pageSetUpPr/>
  </sheetPr>
  <dimension ref="A1:J173"/>
  <sheetViews>
    <sheetView workbookViewId="0">
      <pane ySplit="6" topLeftCell="A7"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8" customWidth="1" min="5" max="5"/>
    <col width="4" customWidth="1" min="6" max="6"/>
    <col width="14" customWidth="1" min="7" max="7"/>
    <col width="14" customWidth="1" min="8" max="8"/>
    <col width="14" customWidth="1" min="9" max="9"/>
    <col width="18" customWidth="1" min="10" max="10"/>
  </cols>
  <sheetData>
    <row r="1" ht="40" customHeight="1">
      <c r="A1" s="1">
        <f>IF('Getting Started'!B35="","Student 7",'Getting Started'!B35)</f>
        <v/>
      </c>
    </row>
    <row r="2" ht="22" customHeight="1">
      <c r="A2" s="37">
        <f>IFERROR("Grade: "&amp;'Getting Started'!F35&amp;"   ·   School Year: "&amp;'Getting Started'!C6,"")</f>
        <v/>
      </c>
    </row>
    <row r="3" ht="8" customHeight="1"/>
    <row r="4" ht="22" customHeight="1">
      <c r="A4" s="38">
        <f>IFERROR("SEMESTER 1   "&amp;TEXT('Getting Started'!C10,"MMM D")&amp;" – "&amp;TEXT('Getting Started'!C11,"MMM D, YYYY")&amp;"   ("&amp;'Getting Started'!C15&amp;" wks)","SEMESTER 1")</f>
        <v/>
      </c>
      <c r="F4" s="39" t="n"/>
      <c r="G4" s="40">
        <f>IFERROR("SEMESTER 2   "&amp;TEXT('Getting Started'!C18,"MMM D")&amp;" – "&amp;TEXT('Getting Started'!C19,"MMM D, YYYY")&amp;"   ("&amp;'Getting Started'!C23&amp;" wks)","SEMESTER 2")</f>
        <v/>
      </c>
    </row>
    <row r="5" ht="24" customHeight="1">
      <c r="A5" s="28" t="inlineStr">
        <is>
          <t>Subject  /  Curriculum</t>
        </is>
      </c>
      <c r="B5" s="41" t="inlineStr">
        <is>
          <t>Sem 1
Units</t>
        </is>
      </c>
      <c r="C5" s="41" t="inlineStr">
        <is>
          <t>/ Week</t>
        </is>
      </c>
      <c r="D5" s="41" t="inlineStr">
        <is>
          <t>/ Day</t>
        </is>
      </c>
      <c r="E5" s="41" t="inlineStr">
        <is>
          <t>Est. End</t>
        </is>
      </c>
      <c r="F5" s="42" t="inlineStr"/>
      <c r="G5" s="43" t="inlineStr">
        <is>
          <t>Sem 2
Units</t>
        </is>
      </c>
      <c r="H5" s="43" t="inlineStr">
        <is>
          <t>/ Week</t>
        </is>
      </c>
      <c r="I5" s="43" t="inlineStr">
        <is>
          <t>/ Day</t>
        </is>
      </c>
      <c r="J5" s="43" t="inlineStr">
        <is>
          <t>Est. End</t>
        </is>
      </c>
    </row>
    <row r="6" ht="8" customHeight="1"/>
    <row r="7" ht="24" customHeight="1">
      <c r="A7" s="44" t="inlineStr">
        <is>
          <t xml:space="preserve">  BIBLE</t>
        </is>
      </c>
      <c r="E7" s="45">
        <f>IFERROR(IF('Course Content'!E92="","← enter on Course Content tab",'Course Content'!E92),"")</f>
        <v/>
      </c>
    </row>
    <row r="8" ht="22" customHeight="1">
      <c r="B8" s="46">
        <f>'Course Content'!G92</f>
        <v/>
      </c>
      <c r="C8" s="47">
        <f>IFERROR(IF(B8="","",ROUND(B8/'Getting Started'!C15,1)),"")</f>
        <v/>
      </c>
      <c r="D8" s="47">
        <f>IFERROR(IF(C8="","",ROUND(C8/'Getting Started'!C7,1)),"")</f>
        <v/>
      </c>
      <c r="E8" s="48">
        <f>IFERROR(IF(B8="","",TEXT('Getting Started'!C10+(B8/D8),"MMM D, YYYY")),"")</f>
        <v/>
      </c>
      <c r="F8" s="39" t="n"/>
      <c r="G8" s="49">
        <f>'Course Content'!H92</f>
        <v/>
      </c>
      <c r="H8" s="50">
        <f>IFERROR(IF(G8="","",ROUND(G8/'Getting Started'!C23,1)),"")</f>
        <v/>
      </c>
      <c r="I8" s="50">
        <f>IFERROR(IF(H8="","",ROUND(H8/'Getting Started'!C7,1)),"")</f>
        <v/>
      </c>
      <c r="J8" s="51">
        <f>IFERROR(IF(G8="","",TEXT('Getting Started'!C18+(G8/I8),"MMM D, YYYY")),"")</f>
        <v/>
      </c>
    </row>
    <row r="9" ht="16" customHeight="1">
      <c r="A9" s="52" t="inlineStr">
        <is>
          <t xml:space="preserve">  Component Breakdown  (optional — use for multi-volume curricula)</t>
        </is>
      </c>
    </row>
    <row r="10" ht="22" customHeight="1">
      <c r="A10" s="28" t="inlineStr">
        <is>
          <t>#</t>
        </is>
      </c>
      <c r="B10" s="28" t="inlineStr">
        <is>
          <t>Book / Component Title</t>
        </is>
      </c>
      <c r="F10" s="28" t="inlineStr">
        <is>
          <t>Units</t>
        </is>
      </c>
      <c r="G10" s="28" t="inlineStr">
        <is>
          <t>Cumul.</t>
        </is>
      </c>
      <c r="H10" s="28" t="inlineStr">
        <is>
          <t>Start
Week</t>
        </is>
      </c>
      <c r="I10" s="28" t="inlineStr">
        <is>
          <t>End
Week</t>
        </is>
      </c>
      <c r="J10" s="28" t="inlineStr">
        <is>
          <t>Est. Dates</t>
        </is>
      </c>
    </row>
    <row r="11" ht="18" customHeight="1">
      <c r="A11" s="53" t="n">
        <v>1</v>
      </c>
      <c r="B11" s="5" t="n"/>
      <c r="F11" s="32" t="n"/>
      <c r="G11" s="17">
        <f>IFERROR(SUM(F11:F11),"")</f>
        <v/>
      </c>
      <c r="H11" s="17">
        <f>IF(F11="","",1)</f>
        <v/>
      </c>
      <c r="I11" s="17">
        <f>IFERROR(IF(F11="","",CEILING(G11/((IFERROR(B8,0)+IFERROR(G8,0))/(IFERROR('Getting Started'!C15,0)+IFERROR('Getting Started'!C23,0))),1)),"")</f>
        <v/>
      </c>
      <c r="J11" s="54">
        <f>IFERROR(IF(F11="","",TEXT('Getting Started'!C10+(H11-1)*7,"MMM D")&amp;" – "&amp;TEXT('Getting Started'!C10+I11*7,"MMM D")),"")</f>
        <v/>
      </c>
    </row>
    <row r="12" ht="18" customHeight="1">
      <c r="A12" s="53" t="n">
        <v>2</v>
      </c>
      <c r="B12" s="18" t="n"/>
      <c r="F12" s="55" t="n"/>
      <c r="G12" s="17">
        <f>IFERROR(SUM(F11:F12),"")</f>
        <v/>
      </c>
      <c r="H12" s="17">
        <f>IFERROR(IF(F12="","",FLOOR(G11/((IFERROR(B8,0)+IFERROR(G8,0))/(IFERROR('Getting Started'!C15,0)+IFERROR('Getting Started'!C23,0))),1)+1),"")</f>
        <v/>
      </c>
      <c r="I12" s="17">
        <f>IFERROR(IF(F12="","",CEILING(G12/((IFERROR(B8,0)+IFERROR(G8,0))/(IFERROR('Getting Started'!C15,0)+IFERROR('Getting Started'!C23,0))),1)),"")</f>
        <v/>
      </c>
      <c r="J12" s="54">
        <f>IFERROR(IF(F12="","",TEXT('Getting Started'!C10+(H12-1)*7,"MMM D")&amp;" – "&amp;TEXT('Getting Started'!C10+I12*7,"MMM D")),"")</f>
        <v/>
      </c>
    </row>
    <row r="13" ht="18" customHeight="1">
      <c r="A13" s="53" t="n">
        <v>3</v>
      </c>
      <c r="B13" s="5" t="n"/>
      <c r="F13" s="32" t="n"/>
      <c r="G13" s="17">
        <f>IFERROR(SUM(F11:F13),"")</f>
        <v/>
      </c>
      <c r="H13" s="17">
        <f>IFERROR(IF(F13="","",FLOOR(G12/((IFERROR(B8,0)+IFERROR(G8,0))/(IFERROR('Getting Started'!C15,0)+IFERROR('Getting Started'!C23,0))),1)+1),"")</f>
        <v/>
      </c>
      <c r="I13" s="17">
        <f>IFERROR(IF(F13="","",CEILING(G13/((IFERROR(B8,0)+IFERROR(G8,0))/(IFERROR('Getting Started'!C15,0)+IFERROR('Getting Started'!C23,0))),1)),"")</f>
        <v/>
      </c>
      <c r="J13" s="54">
        <f>IFERROR(IF(F13="","",TEXT('Getting Started'!C10+(H13-1)*7,"MMM D")&amp;" – "&amp;TEXT('Getting Started'!C10+I13*7,"MMM D")),"")</f>
        <v/>
      </c>
    </row>
    <row r="14" ht="18" customHeight="1">
      <c r="A14" s="53" t="n">
        <v>4</v>
      </c>
      <c r="B14" s="18" t="n"/>
      <c r="F14" s="55" t="n"/>
      <c r="G14" s="17">
        <f>IFERROR(SUM(F11:F14),"")</f>
        <v/>
      </c>
      <c r="H14" s="17">
        <f>IFERROR(IF(F14="","",FLOOR(G13/((IFERROR(B8,0)+IFERROR(G8,0))/(IFERROR('Getting Started'!C15,0)+IFERROR('Getting Started'!C23,0))),1)+1),"")</f>
        <v/>
      </c>
      <c r="I14" s="17">
        <f>IFERROR(IF(F14="","",CEILING(G14/((IFERROR(B8,0)+IFERROR(G8,0))/(IFERROR('Getting Started'!C15,0)+IFERROR('Getting Started'!C23,0))),1)),"")</f>
        <v/>
      </c>
      <c r="J14" s="54">
        <f>IFERROR(IF(F14="","",TEXT('Getting Started'!C10+(H14-1)*7,"MMM D")&amp;" – "&amp;TEXT('Getting Started'!C10+I14*7,"MMM D")),"")</f>
        <v/>
      </c>
    </row>
    <row r="15" ht="18" customHeight="1">
      <c r="A15" s="53" t="n">
        <v>5</v>
      </c>
      <c r="B15" s="5" t="n"/>
      <c r="F15" s="32" t="n"/>
      <c r="G15" s="17">
        <f>IFERROR(SUM(F11:F15),"")</f>
        <v/>
      </c>
      <c r="H15" s="17">
        <f>IFERROR(IF(F15="","",FLOOR(G14/((IFERROR(B8,0)+IFERROR(G8,0))/(IFERROR('Getting Started'!C15,0)+IFERROR('Getting Started'!C23,0))),1)+1),"")</f>
        <v/>
      </c>
      <c r="I15" s="17">
        <f>IFERROR(IF(F15="","",CEILING(G15/((IFERROR(B8,0)+IFERROR(G8,0))/(IFERROR('Getting Started'!C15,0)+IFERROR('Getting Started'!C23,0))),1)),"")</f>
        <v/>
      </c>
      <c r="J15" s="54">
        <f>IFERROR(IF(F15="","",TEXT('Getting Started'!C10+(H15-1)*7,"MMM D")&amp;" – "&amp;TEXT('Getting Started'!C10+I15*7,"MMM D")),"")</f>
        <v/>
      </c>
    </row>
    <row r="16" ht="18" customHeight="1">
      <c r="A16" s="53" t="n">
        <v>6</v>
      </c>
      <c r="B16" s="18" t="n"/>
      <c r="F16" s="55" t="n"/>
      <c r="G16" s="17">
        <f>IFERROR(SUM(F11:F16),"")</f>
        <v/>
      </c>
      <c r="H16" s="17">
        <f>IFERROR(IF(F16="","",FLOOR(G15/((IFERROR(B8,0)+IFERROR(G8,0))/(IFERROR('Getting Started'!C15,0)+IFERROR('Getting Started'!C23,0))),1)+1),"")</f>
        <v/>
      </c>
      <c r="I16" s="17">
        <f>IFERROR(IF(F16="","",CEILING(G16/((IFERROR(B8,0)+IFERROR(G8,0))/(IFERROR('Getting Started'!C15,0)+IFERROR('Getting Started'!C23,0))),1)),"")</f>
        <v/>
      </c>
      <c r="J16" s="54">
        <f>IFERROR(IF(F16="","",TEXT('Getting Started'!C10+(H16-1)*7,"MMM D")&amp;" – "&amp;TEXT('Getting Started'!C10+I16*7,"MMM D")),"")</f>
        <v/>
      </c>
    </row>
    <row r="17" ht="20" customHeight="1">
      <c r="A17" s="56">
        <f>IFERROR(IF('Course Content'!I92="","",'Course Content'!I92),"")</f>
        <v/>
      </c>
    </row>
    <row r="18" ht="8" customHeight="1"/>
    <row r="19" ht="24" customHeight="1">
      <c r="A19" s="44" t="inlineStr">
        <is>
          <t xml:space="preserve">  MATH</t>
        </is>
      </c>
      <c r="E19" s="45">
        <f>IFERROR(IF('Course Content'!E93="","← enter on Course Content tab",'Course Content'!E93),"")</f>
        <v/>
      </c>
    </row>
    <row r="20" ht="22" customHeight="1">
      <c r="B20" s="46">
        <f>'Course Content'!G93</f>
        <v/>
      </c>
      <c r="C20" s="47">
        <f>IFERROR(IF(B20="","",ROUND(B20/'Getting Started'!C15,1)),"")</f>
        <v/>
      </c>
      <c r="D20" s="47">
        <f>IFERROR(IF(C20="","",ROUND(C20/'Getting Started'!C7,1)),"")</f>
        <v/>
      </c>
      <c r="E20" s="48">
        <f>IFERROR(IF(B20="","",TEXT('Getting Started'!C10+(B20/D20),"MMM D, YYYY")),"")</f>
        <v/>
      </c>
      <c r="F20" s="39" t="n"/>
      <c r="G20" s="49">
        <f>'Course Content'!H93</f>
        <v/>
      </c>
      <c r="H20" s="50">
        <f>IFERROR(IF(G20="","",ROUND(G20/'Getting Started'!C23,1)),"")</f>
        <v/>
      </c>
      <c r="I20" s="50">
        <f>IFERROR(IF(H20="","",ROUND(H20/'Getting Started'!C7,1)),"")</f>
        <v/>
      </c>
      <c r="J20" s="51">
        <f>IFERROR(IF(G20="","",TEXT('Getting Started'!C18+(G20/I20),"MMM D, YYYY")),"")</f>
        <v/>
      </c>
    </row>
    <row r="21" ht="16" customHeight="1">
      <c r="A21" s="52" t="inlineStr">
        <is>
          <t xml:space="preserve">  Component Breakdown  (optional — use for multi-volume curricula)</t>
        </is>
      </c>
    </row>
    <row r="22" ht="22" customHeight="1">
      <c r="A22" s="28" t="inlineStr">
        <is>
          <t>#</t>
        </is>
      </c>
      <c r="B22" s="28" t="inlineStr">
        <is>
          <t>Book / Component Title</t>
        </is>
      </c>
      <c r="F22" s="28" t="inlineStr">
        <is>
          <t>Units</t>
        </is>
      </c>
      <c r="G22" s="28" t="inlineStr">
        <is>
          <t>Cumul.</t>
        </is>
      </c>
      <c r="H22" s="28" t="inlineStr">
        <is>
          <t>Start
Week</t>
        </is>
      </c>
      <c r="I22" s="28" t="inlineStr">
        <is>
          <t>End
Week</t>
        </is>
      </c>
      <c r="J22" s="28" t="inlineStr">
        <is>
          <t>Est. Dates</t>
        </is>
      </c>
    </row>
    <row r="23" ht="18" customHeight="1">
      <c r="A23" s="53" t="n">
        <v>1</v>
      </c>
      <c r="B23" s="5" t="n"/>
      <c r="F23" s="32" t="n"/>
      <c r="G23" s="17">
        <f>IFERROR(SUM(F23:F23),"")</f>
        <v/>
      </c>
      <c r="H23" s="17">
        <f>IF(F23="","",1)</f>
        <v/>
      </c>
      <c r="I23" s="17">
        <f>IFERROR(IF(F23="","",CEILING(G23/((IFERROR(B20,0)+IFERROR(G20,0))/(IFERROR('Getting Started'!C15,0)+IFERROR('Getting Started'!C23,0))),1)),"")</f>
        <v/>
      </c>
      <c r="J23" s="54">
        <f>IFERROR(IF(F23="","",TEXT('Getting Started'!C10+(H23-1)*7,"MMM D")&amp;" – "&amp;TEXT('Getting Started'!C10+I23*7,"MMM D")),"")</f>
        <v/>
      </c>
    </row>
    <row r="24" ht="18" customHeight="1">
      <c r="A24" s="53" t="n">
        <v>2</v>
      </c>
      <c r="B24" s="18" t="n"/>
      <c r="F24" s="55" t="n"/>
      <c r="G24" s="17">
        <f>IFERROR(SUM(F23:F24),"")</f>
        <v/>
      </c>
      <c r="H24" s="17">
        <f>IFERROR(IF(F24="","",FLOOR(G23/((IFERROR(B20,0)+IFERROR(G20,0))/(IFERROR('Getting Started'!C15,0)+IFERROR('Getting Started'!C23,0))),1)+1),"")</f>
        <v/>
      </c>
      <c r="I24" s="17">
        <f>IFERROR(IF(F24="","",CEILING(G24/((IFERROR(B20,0)+IFERROR(G20,0))/(IFERROR('Getting Started'!C15,0)+IFERROR('Getting Started'!C23,0))),1)),"")</f>
        <v/>
      </c>
      <c r="J24" s="54">
        <f>IFERROR(IF(F24="","",TEXT('Getting Started'!C10+(H24-1)*7,"MMM D")&amp;" – "&amp;TEXT('Getting Started'!C10+I24*7,"MMM D")),"")</f>
        <v/>
      </c>
    </row>
    <row r="25" ht="18" customHeight="1">
      <c r="A25" s="53" t="n">
        <v>3</v>
      </c>
      <c r="B25" s="5" t="n"/>
      <c r="F25" s="32" t="n"/>
      <c r="G25" s="17">
        <f>IFERROR(SUM(F23:F25),"")</f>
        <v/>
      </c>
      <c r="H25" s="17">
        <f>IFERROR(IF(F25="","",FLOOR(G24/((IFERROR(B20,0)+IFERROR(G20,0))/(IFERROR('Getting Started'!C15,0)+IFERROR('Getting Started'!C23,0))),1)+1),"")</f>
        <v/>
      </c>
      <c r="I25" s="17">
        <f>IFERROR(IF(F25="","",CEILING(G25/((IFERROR(B20,0)+IFERROR(G20,0))/(IFERROR('Getting Started'!C15,0)+IFERROR('Getting Started'!C23,0))),1)),"")</f>
        <v/>
      </c>
      <c r="J25" s="54">
        <f>IFERROR(IF(F25="","",TEXT('Getting Started'!C10+(H25-1)*7,"MMM D")&amp;" – "&amp;TEXT('Getting Started'!C10+I25*7,"MMM D")),"")</f>
        <v/>
      </c>
    </row>
    <row r="26" ht="18" customHeight="1">
      <c r="A26" s="53" t="n">
        <v>4</v>
      </c>
      <c r="B26" s="18" t="n"/>
      <c r="F26" s="55" t="n"/>
      <c r="G26" s="17">
        <f>IFERROR(SUM(F23:F26),"")</f>
        <v/>
      </c>
      <c r="H26" s="17">
        <f>IFERROR(IF(F26="","",FLOOR(G25/((IFERROR(B20,0)+IFERROR(G20,0))/(IFERROR('Getting Started'!C15,0)+IFERROR('Getting Started'!C23,0))),1)+1),"")</f>
        <v/>
      </c>
      <c r="I26" s="17">
        <f>IFERROR(IF(F26="","",CEILING(G26/((IFERROR(B20,0)+IFERROR(G20,0))/(IFERROR('Getting Started'!C15,0)+IFERROR('Getting Started'!C23,0))),1)),"")</f>
        <v/>
      </c>
      <c r="J26" s="54">
        <f>IFERROR(IF(F26="","",TEXT('Getting Started'!C10+(H26-1)*7,"MMM D")&amp;" – "&amp;TEXT('Getting Started'!C10+I26*7,"MMM D")),"")</f>
        <v/>
      </c>
    </row>
    <row r="27" ht="18" customHeight="1">
      <c r="A27" s="53" t="n">
        <v>5</v>
      </c>
      <c r="B27" s="5" t="n"/>
      <c r="F27" s="32" t="n"/>
      <c r="G27" s="17">
        <f>IFERROR(SUM(F23:F27),"")</f>
        <v/>
      </c>
      <c r="H27" s="17">
        <f>IFERROR(IF(F27="","",FLOOR(G26/((IFERROR(B20,0)+IFERROR(G20,0))/(IFERROR('Getting Started'!C15,0)+IFERROR('Getting Started'!C23,0))),1)+1),"")</f>
        <v/>
      </c>
      <c r="I27" s="17">
        <f>IFERROR(IF(F27="","",CEILING(G27/((IFERROR(B20,0)+IFERROR(G20,0))/(IFERROR('Getting Started'!C15,0)+IFERROR('Getting Started'!C23,0))),1)),"")</f>
        <v/>
      </c>
      <c r="J27" s="54">
        <f>IFERROR(IF(F27="","",TEXT('Getting Started'!C10+(H27-1)*7,"MMM D")&amp;" – "&amp;TEXT('Getting Started'!C10+I27*7,"MMM D")),"")</f>
        <v/>
      </c>
    </row>
    <row r="28" ht="18" customHeight="1">
      <c r="A28" s="53" t="n">
        <v>6</v>
      </c>
      <c r="B28" s="18" t="n"/>
      <c r="F28" s="55" t="n"/>
      <c r="G28" s="17">
        <f>IFERROR(SUM(F23:F28),"")</f>
        <v/>
      </c>
      <c r="H28" s="17">
        <f>IFERROR(IF(F28="","",FLOOR(G27/((IFERROR(B20,0)+IFERROR(G20,0))/(IFERROR('Getting Started'!C15,0)+IFERROR('Getting Started'!C23,0))),1)+1),"")</f>
        <v/>
      </c>
      <c r="I28" s="17">
        <f>IFERROR(IF(F28="","",CEILING(G28/((IFERROR(B20,0)+IFERROR(G20,0))/(IFERROR('Getting Started'!C15,0)+IFERROR('Getting Started'!C23,0))),1)),"")</f>
        <v/>
      </c>
      <c r="J28" s="54">
        <f>IFERROR(IF(F28="","",TEXT('Getting Started'!C10+(H28-1)*7,"MMM D")&amp;" – "&amp;TEXT('Getting Started'!C10+I28*7,"MMM D")),"")</f>
        <v/>
      </c>
    </row>
    <row r="29" ht="20" customHeight="1">
      <c r="A29" s="56">
        <f>IFERROR(IF('Course Content'!I93="","",'Course Content'!I93),"")</f>
        <v/>
      </c>
    </row>
    <row r="30" ht="8" customHeight="1"/>
    <row r="31" ht="24" customHeight="1">
      <c r="A31" s="44" t="inlineStr">
        <is>
          <t xml:space="preserve">  ENGLISH / LANGUAGE ARTS</t>
        </is>
      </c>
      <c r="E31" s="45">
        <f>IFERROR(IF('Course Content'!E94="","← enter on Course Content tab",'Course Content'!E94),"")</f>
        <v/>
      </c>
    </row>
    <row r="32" ht="22" customHeight="1">
      <c r="B32" s="46">
        <f>'Course Content'!G94</f>
        <v/>
      </c>
      <c r="C32" s="47">
        <f>IFERROR(IF(B32="","",ROUND(B32/'Getting Started'!C15,1)),"")</f>
        <v/>
      </c>
      <c r="D32" s="47">
        <f>IFERROR(IF(C32="","",ROUND(C32/'Getting Started'!C7,1)),"")</f>
        <v/>
      </c>
      <c r="E32" s="48">
        <f>IFERROR(IF(B32="","",TEXT('Getting Started'!C10+(B32/D32),"MMM D, YYYY")),"")</f>
        <v/>
      </c>
      <c r="F32" s="39" t="n"/>
      <c r="G32" s="49">
        <f>'Course Content'!H94</f>
        <v/>
      </c>
      <c r="H32" s="50">
        <f>IFERROR(IF(G32="","",ROUND(G32/'Getting Started'!C23,1)),"")</f>
        <v/>
      </c>
      <c r="I32" s="50">
        <f>IFERROR(IF(H32="","",ROUND(H32/'Getting Started'!C7,1)),"")</f>
        <v/>
      </c>
      <c r="J32" s="51">
        <f>IFERROR(IF(G32="","",TEXT('Getting Started'!C18+(G32/I32),"MMM D, YYYY")),"")</f>
        <v/>
      </c>
    </row>
    <row r="33" ht="16" customHeight="1">
      <c r="A33" s="52" t="inlineStr">
        <is>
          <t xml:space="preserve">  Component Breakdown  (optional — use for multi-volume curricula)</t>
        </is>
      </c>
    </row>
    <row r="34" ht="22" customHeight="1">
      <c r="A34" s="28" t="inlineStr">
        <is>
          <t>#</t>
        </is>
      </c>
      <c r="B34" s="28" t="inlineStr">
        <is>
          <t>Book / Component Title</t>
        </is>
      </c>
      <c r="F34" s="28" t="inlineStr">
        <is>
          <t>Units</t>
        </is>
      </c>
      <c r="G34" s="28" t="inlineStr">
        <is>
          <t>Cumul.</t>
        </is>
      </c>
      <c r="H34" s="28" t="inlineStr">
        <is>
          <t>Start
Week</t>
        </is>
      </c>
      <c r="I34" s="28" t="inlineStr">
        <is>
          <t>End
Week</t>
        </is>
      </c>
      <c r="J34" s="28" t="inlineStr">
        <is>
          <t>Est. Dates</t>
        </is>
      </c>
    </row>
    <row r="35" ht="18" customHeight="1">
      <c r="A35" s="53" t="n">
        <v>1</v>
      </c>
      <c r="B35" s="5" t="n"/>
      <c r="F35" s="32" t="n"/>
      <c r="G35" s="17">
        <f>IFERROR(SUM(F35:F35),"")</f>
        <v/>
      </c>
      <c r="H35" s="17">
        <f>IF(F35="","",1)</f>
        <v/>
      </c>
      <c r="I35" s="17">
        <f>IFERROR(IF(F35="","",CEILING(G35/((IFERROR(B32,0)+IFERROR(G32,0))/(IFERROR('Getting Started'!C15,0)+IFERROR('Getting Started'!C23,0))),1)),"")</f>
        <v/>
      </c>
      <c r="J35" s="54">
        <f>IFERROR(IF(F35="","",TEXT('Getting Started'!C10+(H35-1)*7,"MMM D")&amp;" – "&amp;TEXT('Getting Started'!C10+I35*7,"MMM D")),"")</f>
        <v/>
      </c>
    </row>
    <row r="36" ht="18" customHeight="1">
      <c r="A36" s="53" t="n">
        <v>2</v>
      </c>
      <c r="B36" s="18" t="n"/>
      <c r="F36" s="55" t="n"/>
      <c r="G36" s="17">
        <f>IFERROR(SUM(F35:F36),"")</f>
        <v/>
      </c>
      <c r="H36" s="17">
        <f>IFERROR(IF(F36="","",FLOOR(G35/((IFERROR(B32,0)+IFERROR(G32,0))/(IFERROR('Getting Started'!C15,0)+IFERROR('Getting Started'!C23,0))),1)+1),"")</f>
        <v/>
      </c>
      <c r="I36" s="17">
        <f>IFERROR(IF(F36="","",CEILING(G36/((IFERROR(B32,0)+IFERROR(G32,0))/(IFERROR('Getting Started'!C15,0)+IFERROR('Getting Started'!C23,0))),1)),"")</f>
        <v/>
      </c>
      <c r="J36" s="54">
        <f>IFERROR(IF(F36="","",TEXT('Getting Started'!C10+(H36-1)*7,"MMM D")&amp;" – "&amp;TEXT('Getting Started'!C10+I36*7,"MMM D")),"")</f>
        <v/>
      </c>
    </row>
    <row r="37" ht="18" customHeight="1">
      <c r="A37" s="53" t="n">
        <v>3</v>
      </c>
      <c r="B37" s="5" t="n"/>
      <c r="F37" s="32" t="n"/>
      <c r="G37" s="17">
        <f>IFERROR(SUM(F35:F37),"")</f>
        <v/>
      </c>
      <c r="H37" s="17">
        <f>IFERROR(IF(F37="","",FLOOR(G36/((IFERROR(B32,0)+IFERROR(G32,0))/(IFERROR('Getting Started'!C15,0)+IFERROR('Getting Started'!C23,0))),1)+1),"")</f>
        <v/>
      </c>
      <c r="I37" s="17">
        <f>IFERROR(IF(F37="","",CEILING(G37/((IFERROR(B32,0)+IFERROR(G32,0))/(IFERROR('Getting Started'!C15,0)+IFERROR('Getting Started'!C23,0))),1)),"")</f>
        <v/>
      </c>
      <c r="J37" s="54">
        <f>IFERROR(IF(F37="","",TEXT('Getting Started'!C10+(H37-1)*7,"MMM D")&amp;" – "&amp;TEXT('Getting Started'!C10+I37*7,"MMM D")),"")</f>
        <v/>
      </c>
    </row>
    <row r="38" ht="18" customHeight="1">
      <c r="A38" s="53" t="n">
        <v>4</v>
      </c>
      <c r="B38" s="18" t="n"/>
      <c r="F38" s="55" t="n"/>
      <c r="G38" s="17">
        <f>IFERROR(SUM(F35:F38),"")</f>
        <v/>
      </c>
      <c r="H38" s="17">
        <f>IFERROR(IF(F38="","",FLOOR(G37/((IFERROR(B32,0)+IFERROR(G32,0))/(IFERROR('Getting Started'!C15,0)+IFERROR('Getting Started'!C23,0))),1)+1),"")</f>
        <v/>
      </c>
      <c r="I38" s="17">
        <f>IFERROR(IF(F38="","",CEILING(G38/((IFERROR(B32,0)+IFERROR(G32,0))/(IFERROR('Getting Started'!C15,0)+IFERROR('Getting Started'!C23,0))),1)),"")</f>
        <v/>
      </c>
      <c r="J38" s="54">
        <f>IFERROR(IF(F38="","",TEXT('Getting Started'!C10+(H38-1)*7,"MMM D")&amp;" – "&amp;TEXT('Getting Started'!C10+I38*7,"MMM D")),"")</f>
        <v/>
      </c>
    </row>
    <row r="39" ht="18" customHeight="1">
      <c r="A39" s="53" t="n">
        <v>5</v>
      </c>
      <c r="B39" s="5" t="n"/>
      <c r="F39" s="32" t="n"/>
      <c r="G39" s="17">
        <f>IFERROR(SUM(F35:F39),"")</f>
        <v/>
      </c>
      <c r="H39" s="17">
        <f>IFERROR(IF(F39="","",FLOOR(G38/((IFERROR(B32,0)+IFERROR(G32,0))/(IFERROR('Getting Started'!C15,0)+IFERROR('Getting Started'!C23,0))),1)+1),"")</f>
        <v/>
      </c>
      <c r="I39" s="17">
        <f>IFERROR(IF(F39="","",CEILING(G39/((IFERROR(B32,0)+IFERROR(G32,0))/(IFERROR('Getting Started'!C15,0)+IFERROR('Getting Started'!C23,0))),1)),"")</f>
        <v/>
      </c>
      <c r="J39" s="54">
        <f>IFERROR(IF(F39="","",TEXT('Getting Started'!C10+(H39-1)*7,"MMM D")&amp;" – "&amp;TEXT('Getting Started'!C10+I39*7,"MMM D")),"")</f>
        <v/>
      </c>
    </row>
    <row r="40" ht="18" customHeight="1">
      <c r="A40" s="53" t="n">
        <v>6</v>
      </c>
      <c r="B40" s="18" t="n"/>
      <c r="F40" s="55" t="n"/>
      <c r="G40" s="17">
        <f>IFERROR(SUM(F35:F40),"")</f>
        <v/>
      </c>
      <c r="H40" s="17">
        <f>IFERROR(IF(F40="","",FLOOR(G39/((IFERROR(B32,0)+IFERROR(G32,0))/(IFERROR('Getting Started'!C15,0)+IFERROR('Getting Started'!C23,0))),1)+1),"")</f>
        <v/>
      </c>
      <c r="I40" s="17">
        <f>IFERROR(IF(F40="","",CEILING(G40/((IFERROR(B32,0)+IFERROR(G32,0))/(IFERROR('Getting Started'!C15,0)+IFERROR('Getting Started'!C23,0))),1)),"")</f>
        <v/>
      </c>
      <c r="J40" s="54">
        <f>IFERROR(IF(F40="","",TEXT('Getting Started'!C10+(H40-1)*7,"MMM D")&amp;" – "&amp;TEXT('Getting Started'!C10+I40*7,"MMM D")),"")</f>
        <v/>
      </c>
    </row>
    <row r="41" ht="20" customHeight="1">
      <c r="A41" s="56">
        <f>IFERROR(IF('Course Content'!I94="","",'Course Content'!I94),"")</f>
        <v/>
      </c>
    </row>
    <row r="42" ht="8" customHeight="1"/>
    <row r="43" ht="24" customHeight="1">
      <c r="A43" s="44" t="inlineStr">
        <is>
          <t xml:space="preserve">  READING</t>
        </is>
      </c>
      <c r="E43" s="45">
        <f>IFERROR(IF('Course Content'!E95="","← enter on Course Content tab",'Course Content'!E95),"")</f>
        <v/>
      </c>
    </row>
    <row r="44" ht="22" customHeight="1">
      <c r="B44" s="46">
        <f>'Course Content'!G95</f>
        <v/>
      </c>
      <c r="C44" s="47">
        <f>IFERROR(IF(B44="","",ROUND(B44/'Getting Started'!C15,1)),"")</f>
        <v/>
      </c>
      <c r="D44" s="47">
        <f>IFERROR(IF(C44="","",ROUND(C44/'Getting Started'!C7,1)),"")</f>
        <v/>
      </c>
      <c r="E44" s="48">
        <f>IFERROR(IF(B44="","",TEXT('Getting Started'!C10+(B44/D44),"MMM D, YYYY")),"")</f>
        <v/>
      </c>
      <c r="F44" s="39" t="n"/>
      <c r="G44" s="49">
        <f>'Course Content'!H95</f>
        <v/>
      </c>
      <c r="H44" s="50">
        <f>IFERROR(IF(G44="","",ROUND(G44/'Getting Started'!C23,1)),"")</f>
        <v/>
      </c>
      <c r="I44" s="50">
        <f>IFERROR(IF(H44="","",ROUND(H44/'Getting Started'!C7,1)),"")</f>
        <v/>
      </c>
      <c r="J44" s="51">
        <f>IFERROR(IF(G44="","",TEXT('Getting Started'!C18+(G44/I44),"MMM D, YYYY")),"")</f>
        <v/>
      </c>
    </row>
    <row r="45" ht="16" customHeight="1">
      <c r="A45" s="52" t="inlineStr">
        <is>
          <t xml:space="preserve">  Component Breakdown  (optional — use for multi-volume curricula)</t>
        </is>
      </c>
    </row>
    <row r="46" ht="22" customHeight="1">
      <c r="A46" s="28" t="inlineStr">
        <is>
          <t>#</t>
        </is>
      </c>
      <c r="B46" s="28" t="inlineStr">
        <is>
          <t>Book / Component Title</t>
        </is>
      </c>
      <c r="F46" s="28" t="inlineStr">
        <is>
          <t>Units</t>
        </is>
      </c>
      <c r="G46" s="28" t="inlineStr">
        <is>
          <t>Cumul.</t>
        </is>
      </c>
      <c r="H46" s="28" t="inlineStr">
        <is>
          <t>Start
Week</t>
        </is>
      </c>
      <c r="I46" s="28" t="inlineStr">
        <is>
          <t>End
Week</t>
        </is>
      </c>
      <c r="J46" s="28" t="inlineStr">
        <is>
          <t>Est. Dates</t>
        </is>
      </c>
    </row>
    <row r="47" ht="18" customHeight="1">
      <c r="A47" s="53" t="n">
        <v>1</v>
      </c>
      <c r="B47" s="5" t="n"/>
      <c r="F47" s="32" t="n"/>
      <c r="G47" s="17">
        <f>IFERROR(SUM(F47:F47),"")</f>
        <v/>
      </c>
      <c r="H47" s="17">
        <f>IF(F47="","",1)</f>
        <v/>
      </c>
      <c r="I47" s="17">
        <f>IFERROR(IF(F47="","",CEILING(G47/((IFERROR(B44,0)+IFERROR(G44,0))/(IFERROR('Getting Started'!C15,0)+IFERROR('Getting Started'!C23,0))),1)),"")</f>
        <v/>
      </c>
      <c r="J47" s="54">
        <f>IFERROR(IF(F47="","",TEXT('Getting Started'!C10+(H47-1)*7,"MMM D")&amp;" – "&amp;TEXT('Getting Started'!C10+I47*7,"MMM D")),"")</f>
        <v/>
      </c>
    </row>
    <row r="48" ht="18" customHeight="1">
      <c r="A48" s="53" t="n">
        <v>2</v>
      </c>
      <c r="B48" s="18" t="n"/>
      <c r="F48" s="55" t="n"/>
      <c r="G48" s="17">
        <f>IFERROR(SUM(F47:F48),"")</f>
        <v/>
      </c>
      <c r="H48" s="17">
        <f>IFERROR(IF(F48="","",FLOOR(G47/((IFERROR(B44,0)+IFERROR(G44,0))/(IFERROR('Getting Started'!C15,0)+IFERROR('Getting Started'!C23,0))),1)+1),"")</f>
        <v/>
      </c>
      <c r="I48" s="17">
        <f>IFERROR(IF(F48="","",CEILING(G48/((IFERROR(B44,0)+IFERROR(G44,0))/(IFERROR('Getting Started'!C15,0)+IFERROR('Getting Started'!C23,0))),1)),"")</f>
        <v/>
      </c>
      <c r="J48" s="54">
        <f>IFERROR(IF(F48="","",TEXT('Getting Started'!C10+(H48-1)*7,"MMM D")&amp;" – "&amp;TEXT('Getting Started'!C10+I48*7,"MMM D")),"")</f>
        <v/>
      </c>
    </row>
    <row r="49" ht="18" customHeight="1">
      <c r="A49" s="53" t="n">
        <v>3</v>
      </c>
      <c r="B49" s="5" t="n"/>
      <c r="F49" s="32" t="n"/>
      <c r="G49" s="17">
        <f>IFERROR(SUM(F47:F49),"")</f>
        <v/>
      </c>
      <c r="H49" s="17">
        <f>IFERROR(IF(F49="","",FLOOR(G48/((IFERROR(B44,0)+IFERROR(G44,0))/(IFERROR('Getting Started'!C15,0)+IFERROR('Getting Started'!C23,0))),1)+1),"")</f>
        <v/>
      </c>
      <c r="I49" s="17">
        <f>IFERROR(IF(F49="","",CEILING(G49/((IFERROR(B44,0)+IFERROR(G44,0))/(IFERROR('Getting Started'!C15,0)+IFERROR('Getting Started'!C23,0))),1)),"")</f>
        <v/>
      </c>
      <c r="J49" s="54">
        <f>IFERROR(IF(F49="","",TEXT('Getting Started'!C10+(H49-1)*7,"MMM D")&amp;" – "&amp;TEXT('Getting Started'!C10+I49*7,"MMM D")),"")</f>
        <v/>
      </c>
    </row>
    <row r="50" ht="18" customHeight="1">
      <c r="A50" s="53" t="n">
        <v>4</v>
      </c>
      <c r="B50" s="18" t="n"/>
      <c r="F50" s="55" t="n"/>
      <c r="G50" s="17">
        <f>IFERROR(SUM(F47:F50),"")</f>
        <v/>
      </c>
      <c r="H50" s="17">
        <f>IFERROR(IF(F50="","",FLOOR(G49/((IFERROR(B44,0)+IFERROR(G44,0))/(IFERROR('Getting Started'!C15,0)+IFERROR('Getting Started'!C23,0))),1)+1),"")</f>
        <v/>
      </c>
      <c r="I50" s="17">
        <f>IFERROR(IF(F50="","",CEILING(G50/((IFERROR(B44,0)+IFERROR(G44,0))/(IFERROR('Getting Started'!C15,0)+IFERROR('Getting Started'!C23,0))),1)),"")</f>
        <v/>
      </c>
      <c r="J50" s="54">
        <f>IFERROR(IF(F50="","",TEXT('Getting Started'!C10+(H50-1)*7,"MMM D")&amp;" – "&amp;TEXT('Getting Started'!C10+I50*7,"MMM D")),"")</f>
        <v/>
      </c>
    </row>
    <row r="51" ht="18" customHeight="1">
      <c r="A51" s="53" t="n">
        <v>5</v>
      </c>
      <c r="B51" s="5" t="n"/>
      <c r="F51" s="32" t="n"/>
      <c r="G51" s="17">
        <f>IFERROR(SUM(F47:F51),"")</f>
        <v/>
      </c>
      <c r="H51" s="17">
        <f>IFERROR(IF(F51="","",FLOOR(G50/((IFERROR(B44,0)+IFERROR(G44,0))/(IFERROR('Getting Started'!C15,0)+IFERROR('Getting Started'!C23,0))),1)+1),"")</f>
        <v/>
      </c>
      <c r="I51" s="17">
        <f>IFERROR(IF(F51="","",CEILING(G51/((IFERROR(B44,0)+IFERROR(G44,0))/(IFERROR('Getting Started'!C15,0)+IFERROR('Getting Started'!C23,0))),1)),"")</f>
        <v/>
      </c>
      <c r="J51" s="54">
        <f>IFERROR(IF(F51="","",TEXT('Getting Started'!C10+(H51-1)*7,"MMM D")&amp;" – "&amp;TEXT('Getting Started'!C10+I51*7,"MMM D")),"")</f>
        <v/>
      </c>
    </row>
    <row r="52" ht="18" customHeight="1">
      <c r="A52" s="53" t="n">
        <v>6</v>
      </c>
      <c r="B52" s="18" t="n"/>
      <c r="F52" s="55" t="n"/>
      <c r="G52" s="17">
        <f>IFERROR(SUM(F47:F52),"")</f>
        <v/>
      </c>
      <c r="H52" s="17">
        <f>IFERROR(IF(F52="","",FLOOR(G51/((IFERROR(B44,0)+IFERROR(G44,0))/(IFERROR('Getting Started'!C15,0)+IFERROR('Getting Started'!C23,0))),1)+1),"")</f>
        <v/>
      </c>
      <c r="I52" s="17">
        <f>IFERROR(IF(F52="","",CEILING(G52/((IFERROR(B44,0)+IFERROR(G44,0))/(IFERROR('Getting Started'!C15,0)+IFERROR('Getting Started'!C23,0))),1)),"")</f>
        <v/>
      </c>
      <c r="J52" s="54">
        <f>IFERROR(IF(F52="","",TEXT('Getting Started'!C10+(H52-1)*7,"MMM D")&amp;" – "&amp;TEXT('Getting Started'!C10+I52*7,"MMM D")),"")</f>
        <v/>
      </c>
    </row>
    <row r="53" ht="20" customHeight="1">
      <c r="A53" s="56">
        <f>IFERROR(IF('Course Content'!I95="","",'Course Content'!I95),"")</f>
        <v/>
      </c>
    </row>
    <row r="54" ht="8" customHeight="1"/>
    <row r="55" ht="24" customHeight="1">
      <c r="A55" s="44" t="inlineStr">
        <is>
          <t xml:space="preserve">  WRITING / COMPOSITION</t>
        </is>
      </c>
      <c r="E55" s="45">
        <f>IFERROR(IF('Course Content'!E96="","← enter on Course Content tab",'Course Content'!E96),"")</f>
        <v/>
      </c>
    </row>
    <row r="56" ht="22" customHeight="1">
      <c r="B56" s="46">
        <f>'Course Content'!G96</f>
        <v/>
      </c>
      <c r="C56" s="47">
        <f>IFERROR(IF(B56="","",ROUND(B56/'Getting Started'!C15,1)),"")</f>
        <v/>
      </c>
      <c r="D56" s="47">
        <f>IFERROR(IF(C56="","",ROUND(C56/'Getting Started'!C7,1)),"")</f>
        <v/>
      </c>
      <c r="E56" s="48">
        <f>IFERROR(IF(B56="","",TEXT('Getting Started'!C10+(B56/D56),"MMM D, YYYY")),"")</f>
        <v/>
      </c>
      <c r="F56" s="39" t="n"/>
      <c r="G56" s="49">
        <f>'Course Content'!H96</f>
        <v/>
      </c>
      <c r="H56" s="50">
        <f>IFERROR(IF(G56="","",ROUND(G56/'Getting Started'!C23,1)),"")</f>
        <v/>
      </c>
      <c r="I56" s="50">
        <f>IFERROR(IF(H56="","",ROUND(H56/'Getting Started'!C7,1)),"")</f>
        <v/>
      </c>
      <c r="J56" s="51">
        <f>IFERROR(IF(G56="","",TEXT('Getting Started'!C18+(G56/I56),"MMM D, YYYY")),"")</f>
        <v/>
      </c>
    </row>
    <row r="57" ht="16" customHeight="1">
      <c r="A57" s="52" t="inlineStr">
        <is>
          <t xml:space="preserve">  Component Breakdown  (optional — use for multi-volume curricula)</t>
        </is>
      </c>
    </row>
    <row r="58" ht="22" customHeight="1">
      <c r="A58" s="28" t="inlineStr">
        <is>
          <t>#</t>
        </is>
      </c>
      <c r="B58" s="28" t="inlineStr">
        <is>
          <t>Book / Component Title</t>
        </is>
      </c>
      <c r="F58" s="28" t="inlineStr">
        <is>
          <t>Units</t>
        </is>
      </c>
      <c r="G58" s="28" t="inlineStr">
        <is>
          <t>Cumul.</t>
        </is>
      </c>
      <c r="H58" s="28" t="inlineStr">
        <is>
          <t>Start
Week</t>
        </is>
      </c>
      <c r="I58" s="28" t="inlineStr">
        <is>
          <t>End
Week</t>
        </is>
      </c>
      <c r="J58" s="28" t="inlineStr">
        <is>
          <t>Est. Dates</t>
        </is>
      </c>
    </row>
    <row r="59" ht="18" customHeight="1">
      <c r="A59" s="53" t="n">
        <v>1</v>
      </c>
      <c r="B59" s="5" t="n"/>
      <c r="F59" s="32" t="n"/>
      <c r="G59" s="17">
        <f>IFERROR(SUM(F59:F59),"")</f>
        <v/>
      </c>
      <c r="H59" s="17">
        <f>IF(F59="","",1)</f>
        <v/>
      </c>
      <c r="I59" s="17">
        <f>IFERROR(IF(F59="","",CEILING(G59/((IFERROR(B56,0)+IFERROR(G56,0))/(IFERROR('Getting Started'!C15,0)+IFERROR('Getting Started'!C23,0))),1)),"")</f>
        <v/>
      </c>
      <c r="J59" s="54">
        <f>IFERROR(IF(F59="","",TEXT('Getting Started'!C10+(H59-1)*7,"MMM D")&amp;" – "&amp;TEXT('Getting Started'!C10+I59*7,"MMM D")),"")</f>
        <v/>
      </c>
    </row>
    <row r="60" ht="18" customHeight="1">
      <c r="A60" s="53" t="n">
        <v>2</v>
      </c>
      <c r="B60" s="18" t="n"/>
      <c r="F60" s="55" t="n"/>
      <c r="G60" s="17">
        <f>IFERROR(SUM(F59:F60),"")</f>
        <v/>
      </c>
      <c r="H60" s="17">
        <f>IFERROR(IF(F60="","",FLOOR(G59/((IFERROR(B56,0)+IFERROR(G56,0))/(IFERROR('Getting Started'!C15,0)+IFERROR('Getting Started'!C23,0))),1)+1),"")</f>
        <v/>
      </c>
      <c r="I60" s="17">
        <f>IFERROR(IF(F60="","",CEILING(G60/((IFERROR(B56,0)+IFERROR(G56,0))/(IFERROR('Getting Started'!C15,0)+IFERROR('Getting Started'!C23,0))),1)),"")</f>
        <v/>
      </c>
      <c r="J60" s="54">
        <f>IFERROR(IF(F60="","",TEXT('Getting Started'!C10+(H60-1)*7,"MMM D")&amp;" – "&amp;TEXT('Getting Started'!C10+I60*7,"MMM D")),"")</f>
        <v/>
      </c>
    </row>
    <row r="61" ht="18" customHeight="1">
      <c r="A61" s="53" t="n">
        <v>3</v>
      </c>
      <c r="B61" s="5" t="n"/>
      <c r="F61" s="32" t="n"/>
      <c r="G61" s="17">
        <f>IFERROR(SUM(F59:F61),"")</f>
        <v/>
      </c>
      <c r="H61" s="17">
        <f>IFERROR(IF(F61="","",FLOOR(G60/((IFERROR(B56,0)+IFERROR(G56,0))/(IFERROR('Getting Started'!C15,0)+IFERROR('Getting Started'!C23,0))),1)+1),"")</f>
        <v/>
      </c>
      <c r="I61" s="17">
        <f>IFERROR(IF(F61="","",CEILING(G61/((IFERROR(B56,0)+IFERROR(G56,0))/(IFERROR('Getting Started'!C15,0)+IFERROR('Getting Started'!C23,0))),1)),"")</f>
        <v/>
      </c>
      <c r="J61" s="54">
        <f>IFERROR(IF(F61="","",TEXT('Getting Started'!C10+(H61-1)*7,"MMM D")&amp;" – "&amp;TEXT('Getting Started'!C10+I61*7,"MMM D")),"")</f>
        <v/>
      </c>
    </row>
    <row r="62" ht="18" customHeight="1">
      <c r="A62" s="53" t="n">
        <v>4</v>
      </c>
      <c r="B62" s="18" t="n"/>
      <c r="F62" s="55" t="n"/>
      <c r="G62" s="17">
        <f>IFERROR(SUM(F59:F62),"")</f>
        <v/>
      </c>
      <c r="H62" s="17">
        <f>IFERROR(IF(F62="","",FLOOR(G61/((IFERROR(B56,0)+IFERROR(G56,0))/(IFERROR('Getting Started'!C15,0)+IFERROR('Getting Started'!C23,0))),1)+1),"")</f>
        <v/>
      </c>
      <c r="I62" s="17">
        <f>IFERROR(IF(F62="","",CEILING(G62/((IFERROR(B56,0)+IFERROR(G56,0))/(IFERROR('Getting Started'!C15,0)+IFERROR('Getting Started'!C23,0))),1)),"")</f>
        <v/>
      </c>
      <c r="J62" s="54">
        <f>IFERROR(IF(F62="","",TEXT('Getting Started'!C10+(H62-1)*7,"MMM D")&amp;" – "&amp;TEXT('Getting Started'!C10+I62*7,"MMM D")),"")</f>
        <v/>
      </c>
    </row>
    <row r="63" ht="18" customHeight="1">
      <c r="A63" s="53" t="n">
        <v>5</v>
      </c>
      <c r="B63" s="5" t="n"/>
      <c r="F63" s="32" t="n"/>
      <c r="G63" s="17">
        <f>IFERROR(SUM(F59:F63),"")</f>
        <v/>
      </c>
      <c r="H63" s="17">
        <f>IFERROR(IF(F63="","",FLOOR(G62/((IFERROR(B56,0)+IFERROR(G56,0))/(IFERROR('Getting Started'!C15,0)+IFERROR('Getting Started'!C23,0))),1)+1),"")</f>
        <v/>
      </c>
      <c r="I63" s="17">
        <f>IFERROR(IF(F63="","",CEILING(G63/((IFERROR(B56,0)+IFERROR(G56,0))/(IFERROR('Getting Started'!C15,0)+IFERROR('Getting Started'!C23,0))),1)),"")</f>
        <v/>
      </c>
      <c r="J63" s="54">
        <f>IFERROR(IF(F63="","",TEXT('Getting Started'!C10+(H63-1)*7,"MMM D")&amp;" – "&amp;TEXT('Getting Started'!C10+I63*7,"MMM D")),"")</f>
        <v/>
      </c>
    </row>
    <row r="64" ht="18" customHeight="1">
      <c r="A64" s="53" t="n">
        <v>6</v>
      </c>
      <c r="B64" s="18" t="n"/>
      <c r="F64" s="55" t="n"/>
      <c r="G64" s="17">
        <f>IFERROR(SUM(F59:F64),"")</f>
        <v/>
      </c>
      <c r="H64" s="17">
        <f>IFERROR(IF(F64="","",FLOOR(G63/((IFERROR(B56,0)+IFERROR(G56,0))/(IFERROR('Getting Started'!C15,0)+IFERROR('Getting Started'!C23,0))),1)+1),"")</f>
        <v/>
      </c>
      <c r="I64" s="17">
        <f>IFERROR(IF(F64="","",CEILING(G64/((IFERROR(B56,0)+IFERROR(G56,0))/(IFERROR('Getting Started'!C15,0)+IFERROR('Getting Started'!C23,0))),1)),"")</f>
        <v/>
      </c>
      <c r="J64" s="54">
        <f>IFERROR(IF(F64="","",TEXT('Getting Started'!C10+(H64-1)*7,"MMM D")&amp;" – "&amp;TEXT('Getting Started'!C10+I64*7,"MMM D")),"")</f>
        <v/>
      </c>
    </row>
    <row r="65" ht="20" customHeight="1">
      <c r="A65" s="56">
        <f>IFERROR(IF('Course Content'!I96="","",'Course Content'!I96),"")</f>
        <v/>
      </c>
    </row>
    <row r="66" ht="8" customHeight="1"/>
    <row r="67" ht="24" customHeight="1">
      <c r="A67" s="44" t="inlineStr">
        <is>
          <t xml:space="preserve">  SCIENCE</t>
        </is>
      </c>
      <c r="E67" s="45">
        <f>IFERROR(IF('Course Content'!E97="","← enter on Course Content tab",'Course Content'!E97),"")</f>
        <v/>
      </c>
    </row>
    <row r="68" ht="22" customHeight="1">
      <c r="B68" s="46">
        <f>'Course Content'!G97</f>
        <v/>
      </c>
      <c r="C68" s="47">
        <f>IFERROR(IF(B68="","",ROUND(B68/'Getting Started'!C15,1)),"")</f>
        <v/>
      </c>
      <c r="D68" s="47">
        <f>IFERROR(IF(C68="","",ROUND(C68/'Getting Started'!C7,1)),"")</f>
        <v/>
      </c>
      <c r="E68" s="48">
        <f>IFERROR(IF(B68="","",TEXT('Getting Started'!C10+(B68/D68),"MMM D, YYYY")),"")</f>
        <v/>
      </c>
      <c r="F68" s="39" t="n"/>
      <c r="G68" s="49">
        <f>'Course Content'!H97</f>
        <v/>
      </c>
      <c r="H68" s="50">
        <f>IFERROR(IF(G68="","",ROUND(G68/'Getting Started'!C23,1)),"")</f>
        <v/>
      </c>
      <c r="I68" s="50">
        <f>IFERROR(IF(H68="","",ROUND(H68/'Getting Started'!C7,1)),"")</f>
        <v/>
      </c>
      <c r="J68" s="51">
        <f>IFERROR(IF(G68="","",TEXT('Getting Started'!C18+(G68/I68),"MMM D, YYYY")),"")</f>
        <v/>
      </c>
    </row>
    <row r="69" ht="16" customHeight="1">
      <c r="A69" s="52" t="inlineStr">
        <is>
          <t xml:space="preserve">  Component Breakdown  (optional — use for multi-volume curricula)</t>
        </is>
      </c>
    </row>
    <row r="70" ht="22" customHeight="1">
      <c r="A70" s="28" t="inlineStr">
        <is>
          <t>#</t>
        </is>
      </c>
      <c r="B70" s="28" t="inlineStr">
        <is>
          <t>Book / Component Title</t>
        </is>
      </c>
      <c r="F70" s="28" t="inlineStr">
        <is>
          <t>Units</t>
        </is>
      </c>
      <c r="G70" s="28" t="inlineStr">
        <is>
          <t>Cumul.</t>
        </is>
      </c>
      <c r="H70" s="28" t="inlineStr">
        <is>
          <t>Start
Week</t>
        </is>
      </c>
      <c r="I70" s="28" t="inlineStr">
        <is>
          <t>End
Week</t>
        </is>
      </c>
      <c r="J70" s="28" t="inlineStr">
        <is>
          <t>Est. Dates</t>
        </is>
      </c>
    </row>
    <row r="71" ht="18" customHeight="1">
      <c r="A71" s="53" t="n">
        <v>1</v>
      </c>
      <c r="B71" s="5" t="n"/>
      <c r="F71" s="32" t="n"/>
      <c r="G71" s="17">
        <f>IFERROR(SUM(F71:F71),"")</f>
        <v/>
      </c>
      <c r="H71" s="17">
        <f>IF(F71="","",1)</f>
        <v/>
      </c>
      <c r="I71" s="17">
        <f>IFERROR(IF(F71="","",CEILING(G71/((IFERROR(B68,0)+IFERROR(G68,0))/(IFERROR('Getting Started'!C15,0)+IFERROR('Getting Started'!C23,0))),1)),"")</f>
        <v/>
      </c>
      <c r="J71" s="54">
        <f>IFERROR(IF(F71="","",TEXT('Getting Started'!C10+(H71-1)*7,"MMM D")&amp;" – "&amp;TEXT('Getting Started'!C10+I71*7,"MMM D")),"")</f>
        <v/>
      </c>
    </row>
    <row r="72" ht="18" customHeight="1">
      <c r="A72" s="53" t="n">
        <v>2</v>
      </c>
      <c r="B72" s="18" t="n"/>
      <c r="F72" s="55" t="n"/>
      <c r="G72" s="17">
        <f>IFERROR(SUM(F71:F72),"")</f>
        <v/>
      </c>
      <c r="H72" s="17">
        <f>IFERROR(IF(F72="","",FLOOR(G71/((IFERROR(B68,0)+IFERROR(G68,0))/(IFERROR('Getting Started'!C15,0)+IFERROR('Getting Started'!C23,0))),1)+1),"")</f>
        <v/>
      </c>
      <c r="I72" s="17">
        <f>IFERROR(IF(F72="","",CEILING(G72/((IFERROR(B68,0)+IFERROR(G68,0))/(IFERROR('Getting Started'!C15,0)+IFERROR('Getting Started'!C23,0))),1)),"")</f>
        <v/>
      </c>
      <c r="J72" s="54">
        <f>IFERROR(IF(F72="","",TEXT('Getting Started'!C10+(H72-1)*7,"MMM D")&amp;" – "&amp;TEXT('Getting Started'!C10+I72*7,"MMM D")),"")</f>
        <v/>
      </c>
    </row>
    <row r="73" ht="18" customHeight="1">
      <c r="A73" s="53" t="n">
        <v>3</v>
      </c>
      <c r="B73" s="5" t="n"/>
      <c r="F73" s="32" t="n"/>
      <c r="G73" s="17">
        <f>IFERROR(SUM(F71:F73),"")</f>
        <v/>
      </c>
      <c r="H73" s="17">
        <f>IFERROR(IF(F73="","",FLOOR(G72/((IFERROR(B68,0)+IFERROR(G68,0))/(IFERROR('Getting Started'!C15,0)+IFERROR('Getting Started'!C23,0))),1)+1),"")</f>
        <v/>
      </c>
      <c r="I73" s="17">
        <f>IFERROR(IF(F73="","",CEILING(G73/((IFERROR(B68,0)+IFERROR(G68,0))/(IFERROR('Getting Started'!C15,0)+IFERROR('Getting Started'!C23,0))),1)),"")</f>
        <v/>
      </c>
      <c r="J73" s="54">
        <f>IFERROR(IF(F73="","",TEXT('Getting Started'!C10+(H73-1)*7,"MMM D")&amp;" – "&amp;TEXT('Getting Started'!C10+I73*7,"MMM D")),"")</f>
        <v/>
      </c>
    </row>
    <row r="74" ht="18" customHeight="1">
      <c r="A74" s="53" t="n">
        <v>4</v>
      </c>
      <c r="B74" s="18" t="n"/>
      <c r="F74" s="55" t="n"/>
      <c r="G74" s="17">
        <f>IFERROR(SUM(F71:F74),"")</f>
        <v/>
      </c>
      <c r="H74" s="17">
        <f>IFERROR(IF(F74="","",FLOOR(G73/((IFERROR(B68,0)+IFERROR(G68,0))/(IFERROR('Getting Started'!C15,0)+IFERROR('Getting Started'!C23,0))),1)+1),"")</f>
        <v/>
      </c>
      <c r="I74" s="17">
        <f>IFERROR(IF(F74="","",CEILING(G74/((IFERROR(B68,0)+IFERROR(G68,0))/(IFERROR('Getting Started'!C15,0)+IFERROR('Getting Started'!C23,0))),1)),"")</f>
        <v/>
      </c>
      <c r="J74" s="54">
        <f>IFERROR(IF(F74="","",TEXT('Getting Started'!C10+(H74-1)*7,"MMM D")&amp;" – "&amp;TEXT('Getting Started'!C10+I74*7,"MMM D")),"")</f>
        <v/>
      </c>
    </row>
    <row r="75" ht="18" customHeight="1">
      <c r="A75" s="53" t="n">
        <v>5</v>
      </c>
      <c r="B75" s="5" t="n"/>
      <c r="F75" s="32" t="n"/>
      <c r="G75" s="17">
        <f>IFERROR(SUM(F71:F75),"")</f>
        <v/>
      </c>
      <c r="H75" s="17">
        <f>IFERROR(IF(F75="","",FLOOR(G74/((IFERROR(B68,0)+IFERROR(G68,0))/(IFERROR('Getting Started'!C15,0)+IFERROR('Getting Started'!C23,0))),1)+1),"")</f>
        <v/>
      </c>
      <c r="I75" s="17">
        <f>IFERROR(IF(F75="","",CEILING(G75/((IFERROR(B68,0)+IFERROR(G68,0))/(IFERROR('Getting Started'!C15,0)+IFERROR('Getting Started'!C23,0))),1)),"")</f>
        <v/>
      </c>
      <c r="J75" s="54">
        <f>IFERROR(IF(F75="","",TEXT('Getting Started'!C10+(H75-1)*7,"MMM D")&amp;" – "&amp;TEXT('Getting Started'!C10+I75*7,"MMM D")),"")</f>
        <v/>
      </c>
    </row>
    <row r="76" ht="18" customHeight="1">
      <c r="A76" s="53" t="n">
        <v>6</v>
      </c>
      <c r="B76" s="18" t="n"/>
      <c r="F76" s="55" t="n"/>
      <c r="G76" s="17">
        <f>IFERROR(SUM(F71:F76),"")</f>
        <v/>
      </c>
      <c r="H76" s="17">
        <f>IFERROR(IF(F76="","",FLOOR(G75/((IFERROR(B68,0)+IFERROR(G68,0))/(IFERROR('Getting Started'!C15,0)+IFERROR('Getting Started'!C23,0))),1)+1),"")</f>
        <v/>
      </c>
      <c r="I76" s="17">
        <f>IFERROR(IF(F76="","",CEILING(G76/((IFERROR(B68,0)+IFERROR(G68,0))/(IFERROR('Getting Started'!C15,0)+IFERROR('Getting Started'!C23,0))),1)),"")</f>
        <v/>
      </c>
      <c r="J76" s="54">
        <f>IFERROR(IF(F76="","",TEXT('Getting Started'!C10+(H76-1)*7,"MMM D")&amp;" – "&amp;TEXT('Getting Started'!C10+I76*7,"MMM D")),"")</f>
        <v/>
      </c>
    </row>
    <row r="77" ht="20" customHeight="1">
      <c r="A77" s="56">
        <f>IFERROR(IF('Course Content'!I97="","",'Course Content'!I97),"")</f>
        <v/>
      </c>
    </row>
    <row r="78" ht="8" customHeight="1"/>
    <row r="79" ht="24" customHeight="1">
      <c r="A79" s="44" t="inlineStr">
        <is>
          <t xml:space="preserve">  SOCIAL STUDIES / HISTORY</t>
        </is>
      </c>
      <c r="E79" s="45">
        <f>IFERROR(IF('Course Content'!E98="","← enter on Course Content tab",'Course Content'!E98),"")</f>
        <v/>
      </c>
    </row>
    <row r="80" ht="22" customHeight="1">
      <c r="B80" s="46">
        <f>'Course Content'!G98</f>
        <v/>
      </c>
      <c r="C80" s="47">
        <f>IFERROR(IF(B80="","",ROUND(B80/'Getting Started'!C15,1)),"")</f>
        <v/>
      </c>
      <c r="D80" s="47">
        <f>IFERROR(IF(C80="","",ROUND(C80/'Getting Started'!C7,1)),"")</f>
        <v/>
      </c>
      <c r="E80" s="48">
        <f>IFERROR(IF(B80="","",TEXT('Getting Started'!C10+(B80/D80),"MMM D, YYYY")),"")</f>
        <v/>
      </c>
      <c r="F80" s="39" t="n"/>
      <c r="G80" s="49">
        <f>'Course Content'!H98</f>
        <v/>
      </c>
      <c r="H80" s="50">
        <f>IFERROR(IF(G80="","",ROUND(G80/'Getting Started'!C23,1)),"")</f>
        <v/>
      </c>
      <c r="I80" s="50">
        <f>IFERROR(IF(H80="","",ROUND(H80/'Getting Started'!C7,1)),"")</f>
        <v/>
      </c>
      <c r="J80" s="51">
        <f>IFERROR(IF(G80="","",TEXT('Getting Started'!C18+(G80/I80),"MMM D, YYYY")),"")</f>
        <v/>
      </c>
    </row>
    <row r="81" ht="16" customHeight="1">
      <c r="A81" s="52" t="inlineStr">
        <is>
          <t xml:space="preserve">  Component Breakdown  (optional — use for multi-volume curricula)</t>
        </is>
      </c>
    </row>
    <row r="82" ht="22" customHeight="1">
      <c r="A82" s="28" t="inlineStr">
        <is>
          <t>#</t>
        </is>
      </c>
      <c r="B82" s="28" t="inlineStr">
        <is>
          <t>Book / Component Title</t>
        </is>
      </c>
      <c r="F82" s="28" t="inlineStr">
        <is>
          <t>Units</t>
        </is>
      </c>
      <c r="G82" s="28" t="inlineStr">
        <is>
          <t>Cumul.</t>
        </is>
      </c>
      <c r="H82" s="28" t="inlineStr">
        <is>
          <t>Start
Week</t>
        </is>
      </c>
      <c r="I82" s="28" t="inlineStr">
        <is>
          <t>End
Week</t>
        </is>
      </c>
      <c r="J82" s="28" t="inlineStr">
        <is>
          <t>Est. Dates</t>
        </is>
      </c>
    </row>
    <row r="83" ht="18" customHeight="1">
      <c r="A83" s="53" t="n">
        <v>1</v>
      </c>
      <c r="B83" s="5" t="n"/>
      <c r="F83" s="32" t="n"/>
      <c r="G83" s="17">
        <f>IFERROR(SUM(F83:F83),"")</f>
        <v/>
      </c>
      <c r="H83" s="17">
        <f>IF(F83="","",1)</f>
        <v/>
      </c>
      <c r="I83" s="17">
        <f>IFERROR(IF(F83="","",CEILING(G83/((IFERROR(B80,0)+IFERROR(G80,0))/(IFERROR('Getting Started'!C15,0)+IFERROR('Getting Started'!C23,0))),1)),"")</f>
        <v/>
      </c>
      <c r="J83" s="54">
        <f>IFERROR(IF(F83="","",TEXT('Getting Started'!C10+(H83-1)*7,"MMM D")&amp;" – "&amp;TEXT('Getting Started'!C10+I83*7,"MMM D")),"")</f>
        <v/>
      </c>
    </row>
    <row r="84" ht="18" customHeight="1">
      <c r="A84" s="53" t="n">
        <v>2</v>
      </c>
      <c r="B84" s="18" t="n"/>
      <c r="F84" s="55" t="n"/>
      <c r="G84" s="17">
        <f>IFERROR(SUM(F83:F84),"")</f>
        <v/>
      </c>
      <c r="H84" s="17">
        <f>IFERROR(IF(F84="","",FLOOR(G83/((IFERROR(B80,0)+IFERROR(G80,0))/(IFERROR('Getting Started'!C15,0)+IFERROR('Getting Started'!C23,0))),1)+1),"")</f>
        <v/>
      </c>
      <c r="I84" s="17">
        <f>IFERROR(IF(F84="","",CEILING(G84/((IFERROR(B80,0)+IFERROR(G80,0))/(IFERROR('Getting Started'!C15,0)+IFERROR('Getting Started'!C23,0))),1)),"")</f>
        <v/>
      </c>
      <c r="J84" s="54">
        <f>IFERROR(IF(F84="","",TEXT('Getting Started'!C10+(H84-1)*7,"MMM D")&amp;" – "&amp;TEXT('Getting Started'!C10+I84*7,"MMM D")),"")</f>
        <v/>
      </c>
    </row>
    <row r="85" ht="18" customHeight="1">
      <c r="A85" s="53" t="n">
        <v>3</v>
      </c>
      <c r="B85" s="5" t="n"/>
      <c r="F85" s="32" t="n"/>
      <c r="G85" s="17">
        <f>IFERROR(SUM(F83:F85),"")</f>
        <v/>
      </c>
      <c r="H85" s="17">
        <f>IFERROR(IF(F85="","",FLOOR(G84/((IFERROR(B80,0)+IFERROR(G80,0))/(IFERROR('Getting Started'!C15,0)+IFERROR('Getting Started'!C23,0))),1)+1),"")</f>
        <v/>
      </c>
      <c r="I85" s="17">
        <f>IFERROR(IF(F85="","",CEILING(G85/((IFERROR(B80,0)+IFERROR(G80,0))/(IFERROR('Getting Started'!C15,0)+IFERROR('Getting Started'!C23,0))),1)),"")</f>
        <v/>
      </c>
      <c r="J85" s="54">
        <f>IFERROR(IF(F85="","",TEXT('Getting Started'!C10+(H85-1)*7,"MMM D")&amp;" – "&amp;TEXT('Getting Started'!C10+I85*7,"MMM D")),"")</f>
        <v/>
      </c>
    </row>
    <row r="86" ht="18" customHeight="1">
      <c r="A86" s="53" t="n">
        <v>4</v>
      </c>
      <c r="B86" s="18" t="n"/>
      <c r="F86" s="55" t="n"/>
      <c r="G86" s="17">
        <f>IFERROR(SUM(F83:F86),"")</f>
        <v/>
      </c>
      <c r="H86" s="17">
        <f>IFERROR(IF(F86="","",FLOOR(G85/((IFERROR(B80,0)+IFERROR(G80,0))/(IFERROR('Getting Started'!C15,0)+IFERROR('Getting Started'!C23,0))),1)+1),"")</f>
        <v/>
      </c>
      <c r="I86" s="17">
        <f>IFERROR(IF(F86="","",CEILING(G86/((IFERROR(B80,0)+IFERROR(G80,0))/(IFERROR('Getting Started'!C15,0)+IFERROR('Getting Started'!C23,0))),1)),"")</f>
        <v/>
      </c>
      <c r="J86" s="54">
        <f>IFERROR(IF(F86="","",TEXT('Getting Started'!C10+(H86-1)*7,"MMM D")&amp;" – "&amp;TEXT('Getting Started'!C10+I86*7,"MMM D")),"")</f>
        <v/>
      </c>
    </row>
    <row r="87" ht="18" customHeight="1">
      <c r="A87" s="53" t="n">
        <v>5</v>
      </c>
      <c r="B87" s="5" t="n"/>
      <c r="F87" s="32" t="n"/>
      <c r="G87" s="17">
        <f>IFERROR(SUM(F83:F87),"")</f>
        <v/>
      </c>
      <c r="H87" s="17">
        <f>IFERROR(IF(F87="","",FLOOR(G86/((IFERROR(B80,0)+IFERROR(G80,0))/(IFERROR('Getting Started'!C15,0)+IFERROR('Getting Started'!C23,0))),1)+1),"")</f>
        <v/>
      </c>
      <c r="I87" s="17">
        <f>IFERROR(IF(F87="","",CEILING(G87/((IFERROR(B80,0)+IFERROR(G80,0))/(IFERROR('Getting Started'!C15,0)+IFERROR('Getting Started'!C23,0))),1)),"")</f>
        <v/>
      </c>
      <c r="J87" s="54">
        <f>IFERROR(IF(F87="","",TEXT('Getting Started'!C10+(H87-1)*7,"MMM D")&amp;" – "&amp;TEXT('Getting Started'!C10+I87*7,"MMM D")),"")</f>
        <v/>
      </c>
    </row>
    <row r="88" ht="18" customHeight="1">
      <c r="A88" s="53" t="n">
        <v>6</v>
      </c>
      <c r="B88" s="18" t="n"/>
      <c r="F88" s="55" t="n"/>
      <c r="G88" s="17">
        <f>IFERROR(SUM(F83:F88),"")</f>
        <v/>
      </c>
      <c r="H88" s="17">
        <f>IFERROR(IF(F88="","",FLOOR(G87/((IFERROR(B80,0)+IFERROR(G80,0))/(IFERROR('Getting Started'!C15,0)+IFERROR('Getting Started'!C23,0))),1)+1),"")</f>
        <v/>
      </c>
      <c r="I88" s="17">
        <f>IFERROR(IF(F88="","",CEILING(G88/((IFERROR(B80,0)+IFERROR(G80,0))/(IFERROR('Getting Started'!C15,0)+IFERROR('Getting Started'!C23,0))),1)),"")</f>
        <v/>
      </c>
      <c r="J88" s="54">
        <f>IFERROR(IF(F88="","",TEXT('Getting Started'!C10+(H88-1)*7,"MMM D")&amp;" – "&amp;TEXT('Getting Started'!C10+I88*7,"MMM D")),"")</f>
        <v/>
      </c>
    </row>
    <row r="89" ht="20" customHeight="1">
      <c r="A89" s="56">
        <f>IFERROR(IF('Course Content'!I98="","",'Course Content'!I98),"")</f>
        <v/>
      </c>
    </row>
    <row r="90" ht="8" customHeight="1"/>
    <row r="91" ht="24" customHeight="1">
      <c r="A91" s="44" t="inlineStr">
        <is>
          <t xml:space="preserve">  HEALTH</t>
        </is>
      </c>
      <c r="E91" s="45">
        <f>IFERROR(IF('Course Content'!E99="","← enter on Course Content tab",'Course Content'!E99),"")</f>
        <v/>
      </c>
    </row>
    <row r="92" ht="22" customHeight="1">
      <c r="B92" s="46">
        <f>'Course Content'!G99</f>
        <v/>
      </c>
      <c r="C92" s="47">
        <f>IFERROR(IF(B92="","",ROUND(B92/'Getting Started'!C15,1)),"")</f>
        <v/>
      </c>
      <c r="D92" s="47">
        <f>IFERROR(IF(C92="","",ROUND(C92/'Getting Started'!C7,1)),"")</f>
        <v/>
      </c>
      <c r="E92" s="48">
        <f>IFERROR(IF(B92="","",TEXT('Getting Started'!C10+(B92/D92),"MMM D, YYYY")),"")</f>
        <v/>
      </c>
      <c r="F92" s="39" t="n"/>
      <c r="G92" s="49">
        <f>'Course Content'!H99</f>
        <v/>
      </c>
      <c r="H92" s="50">
        <f>IFERROR(IF(G92="","",ROUND(G92/'Getting Started'!C23,1)),"")</f>
        <v/>
      </c>
      <c r="I92" s="50">
        <f>IFERROR(IF(H92="","",ROUND(H92/'Getting Started'!C7,1)),"")</f>
        <v/>
      </c>
      <c r="J92" s="51">
        <f>IFERROR(IF(G92="","",TEXT('Getting Started'!C18+(G92/I92),"MMM D, YYYY")),"")</f>
        <v/>
      </c>
    </row>
    <row r="93" ht="16" customHeight="1">
      <c r="A93" s="52" t="inlineStr">
        <is>
          <t xml:space="preserve">  Component Breakdown  (optional — use for multi-volume curricula)</t>
        </is>
      </c>
    </row>
    <row r="94" ht="22" customHeight="1">
      <c r="A94" s="28" t="inlineStr">
        <is>
          <t>#</t>
        </is>
      </c>
      <c r="B94" s="28" t="inlineStr">
        <is>
          <t>Book / Component Title</t>
        </is>
      </c>
      <c r="F94" s="28" t="inlineStr">
        <is>
          <t>Units</t>
        </is>
      </c>
      <c r="G94" s="28" t="inlineStr">
        <is>
          <t>Cumul.</t>
        </is>
      </c>
      <c r="H94" s="28" t="inlineStr">
        <is>
          <t>Start
Week</t>
        </is>
      </c>
      <c r="I94" s="28" t="inlineStr">
        <is>
          <t>End
Week</t>
        </is>
      </c>
      <c r="J94" s="28" t="inlineStr">
        <is>
          <t>Est. Dates</t>
        </is>
      </c>
    </row>
    <row r="95" ht="18" customHeight="1">
      <c r="A95" s="53" t="n">
        <v>1</v>
      </c>
      <c r="B95" s="5" t="n"/>
      <c r="F95" s="32" t="n"/>
      <c r="G95" s="17">
        <f>IFERROR(SUM(F95:F95),"")</f>
        <v/>
      </c>
      <c r="H95" s="17">
        <f>IF(F95="","",1)</f>
        <v/>
      </c>
      <c r="I95" s="17">
        <f>IFERROR(IF(F95="","",CEILING(G95/((IFERROR(B92,0)+IFERROR(G92,0))/(IFERROR('Getting Started'!C15,0)+IFERROR('Getting Started'!C23,0))),1)),"")</f>
        <v/>
      </c>
      <c r="J95" s="54">
        <f>IFERROR(IF(F95="","",TEXT('Getting Started'!C10+(H95-1)*7,"MMM D")&amp;" – "&amp;TEXT('Getting Started'!C10+I95*7,"MMM D")),"")</f>
        <v/>
      </c>
    </row>
    <row r="96" ht="18" customHeight="1">
      <c r="A96" s="53" t="n">
        <v>2</v>
      </c>
      <c r="B96" s="18" t="n"/>
      <c r="F96" s="55" t="n"/>
      <c r="G96" s="17">
        <f>IFERROR(SUM(F95:F96),"")</f>
        <v/>
      </c>
      <c r="H96" s="17">
        <f>IFERROR(IF(F96="","",FLOOR(G95/((IFERROR(B92,0)+IFERROR(G92,0))/(IFERROR('Getting Started'!C15,0)+IFERROR('Getting Started'!C23,0))),1)+1),"")</f>
        <v/>
      </c>
      <c r="I96" s="17">
        <f>IFERROR(IF(F96="","",CEILING(G96/((IFERROR(B92,0)+IFERROR(G92,0))/(IFERROR('Getting Started'!C15,0)+IFERROR('Getting Started'!C23,0))),1)),"")</f>
        <v/>
      </c>
      <c r="J96" s="54">
        <f>IFERROR(IF(F96="","",TEXT('Getting Started'!C10+(H96-1)*7,"MMM D")&amp;" – "&amp;TEXT('Getting Started'!C10+I96*7,"MMM D")),"")</f>
        <v/>
      </c>
    </row>
    <row r="97" ht="18" customHeight="1">
      <c r="A97" s="53" t="n">
        <v>3</v>
      </c>
      <c r="B97" s="5" t="n"/>
      <c r="F97" s="32" t="n"/>
      <c r="G97" s="17">
        <f>IFERROR(SUM(F95:F97),"")</f>
        <v/>
      </c>
      <c r="H97" s="17">
        <f>IFERROR(IF(F97="","",FLOOR(G96/((IFERROR(B92,0)+IFERROR(G92,0))/(IFERROR('Getting Started'!C15,0)+IFERROR('Getting Started'!C23,0))),1)+1),"")</f>
        <v/>
      </c>
      <c r="I97" s="17">
        <f>IFERROR(IF(F97="","",CEILING(G97/((IFERROR(B92,0)+IFERROR(G92,0))/(IFERROR('Getting Started'!C15,0)+IFERROR('Getting Started'!C23,0))),1)),"")</f>
        <v/>
      </c>
      <c r="J97" s="54">
        <f>IFERROR(IF(F97="","",TEXT('Getting Started'!C10+(H97-1)*7,"MMM D")&amp;" – "&amp;TEXT('Getting Started'!C10+I97*7,"MMM D")),"")</f>
        <v/>
      </c>
    </row>
    <row r="98" ht="18" customHeight="1">
      <c r="A98" s="53" t="n">
        <v>4</v>
      </c>
      <c r="B98" s="18" t="n"/>
      <c r="F98" s="55" t="n"/>
      <c r="G98" s="17">
        <f>IFERROR(SUM(F95:F98),"")</f>
        <v/>
      </c>
      <c r="H98" s="17">
        <f>IFERROR(IF(F98="","",FLOOR(G97/((IFERROR(B92,0)+IFERROR(G92,0))/(IFERROR('Getting Started'!C15,0)+IFERROR('Getting Started'!C23,0))),1)+1),"")</f>
        <v/>
      </c>
      <c r="I98" s="17">
        <f>IFERROR(IF(F98="","",CEILING(G98/((IFERROR(B92,0)+IFERROR(G92,0))/(IFERROR('Getting Started'!C15,0)+IFERROR('Getting Started'!C23,0))),1)),"")</f>
        <v/>
      </c>
      <c r="J98" s="54">
        <f>IFERROR(IF(F98="","",TEXT('Getting Started'!C10+(H98-1)*7,"MMM D")&amp;" – "&amp;TEXT('Getting Started'!C10+I98*7,"MMM D")),"")</f>
        <v/>
      </c>
    </row>
    <row r="99" ht="18" customHeight="1">
      <c r="A99" s="53" t="n">
        <v>5</v>
      </c>
      <c r="B99" s="5" t="n"/>
      <c r="F99" s="32" t="n"/>
      <c r="G99" s="17">
        <f>IFERROR(SUM(F95:F99),"")</f>
        <v/>
      </c>
      <c r="H99" s="17">
        <f>IFERROR(IF(F99="","",FLOOR(G98/((IFERROR(B92,0)+IFERROR(G92,0))/(IFERROR('Getting Started'!C15,0)+IFERROR('Getting Started'!C23,0))),1)+1),"")</f>
        <v/>
      </c>
      <c r="I99" s="17">
        <f>IFERROR(IF(F99="","",CEILING(G99/((IFERROR(B92,0)+IFERROR(G92,0))/(IFERROR('Getting Started'!C15,0)+IFERROR('Getting Started'!C23,0))),1)),"")</f>
        <v/>
      </c>
      <c r="J99" s="54">
        <f>IFERROR(IF(F99="","",TEXT('Getting Started'!C10+(H99-1)*7,"MMM D")&amp;" – "&amp;TEXT('Getting Started'!C10+I99*7,"MMM D")),"")</f>
        <v/>
      </c>
    </row>
    <row r="100" ht="18" customHeight="1">
      <c r="A100" s="53" t="n">
        <v>6</v>
      </c>
      <c r="B100" s="18" t="n"/>
      <c r="F100" s="55" t="n"/>
      <c r="G100" s="17">
        <f>IFERROR(SUM(F95:F100),"")</f>
        <v/>
      </c>
      <c r="H100" s="17">
        <f>IFERROR(IF(F100="","",FLOOR(G99/((IFERROR(B92,0)+IFERROR(G92,0))/(IFERROR('Getting Started'!C15,0)+IFERROR('Getting Started'!C23,0))),1)+1),"")</f>
        <v/>
      </c>
      <c r="I100" s="17">
        <f>IFERROR(IF(F100="","",CEILING(G100/((IFERROR(B92,0)+IFERROR(G92,0))/(IFERROR('Getting Started'!C15,0)+IFERROR('Getting Started'!C23,0))),1)),"")</f>
        <v/>
      </c>
      <c r="J100" s="54">
        <f>IFERROR(IF(F100="","",TEXT('Getting Started'!C10+(H100-1)*7,"MMM D")&amp;" – "&amp;TEXT('Getting Started'!C10+I100*7,"MMM D")),"")</f>
        <v/>
      </c>
    </row>
    <row r="101" ht="20" customHeight="1">
      <c r="A101" s="56">
        <f>IFERROR(IF('Course Content'!I99="","",'Course Content'!I99),"")</f>
        <v/>
      </c>
    </row>
    <row r="102" ht="8" customHeight="1"/>
    <row r="103" ht="24" customHeight="1">
      <c r="A103" s="44" t="inlineStr">
        <is>
          <t xml:space="preserve">  PHYSICAL EDUCATION</t>
        </is>
      </c>
      <c r="E103" s="45">
        <f>IFERROR(IF('Course Content'!E100="","← enter on Course Content tab",'Course Content'!E100),"")</f>
        <v/>
      </c>
    </row>
    <row r="104" ht="22" customHeight="1">
      <c r="B104" s="46">
        <f>'Course Content'!G100</f>
        <v/>
      </c>
      <c r="C104" s="47">
        <f>IFERROR(IF(B104="","",ROUND(B104/'Getting Started'!C15,1)),"")</f>
        <v/>
      </c>
      <c r="D104" s="47">
        <f>IFERROR(IF(C104="","",ROUND(C104/'Getting Started'!C7,1)),"")</f>
        <v/>
      </c>
      <c r="E104" s="48">
        <f>IFERROR(IF(B104="","",TEXT('Getting Started'!C10+(B104/D104),"MMM D, YYYY")),"")</f>
        <v/>
      </c>
      <c r="F104" s="39" t="n"/>
      <c r="G104" s="49">
        <f>'Course Content'!H100</f>
        <v/>
      </c>
      <c r="H104" s="50">
        <f>IFERROR(IF(G104="","",ROUND(G104/'Getting Started'!C23,1)),"")</f>
        <v/>
      </c>
      <c r="I104" s="50">
        <f>IFERROR(IF(H104="","",ROUND(H104/'Getting Started'!C7,1)),"")</f>
        <v/>
      </c>
      <c r="J104" s="51">
        <f>IFERROR(IF(G104="","",TEXT('Getting Started'!C18+(G104/I104),"MMM D, YYYY")),"")</f>
        <v/>
      </c>
    </row>
    <row r="105" ht="16" customHeight="1">
      <c r="A105" s="52" t="inlineStr">
        <is>
          <t xml:space="preserve">  Component Breakdown  (optional — use for multi-volume curricula)</t>
        </is>
      </c>
    </row>
    <row r="106" ht="22" customHeight="1">
      <c r="A106" s="28" t="inlineStr">
        <is>
          <t>#</t>
        </is>
      </c>
      <c r="B106" s="28" t="inlineStr">
        <is>
          <t>Book / Component Title</t>
        </is>
      </c>
      <c r="F106" s="28" t="inlineStr">
        <is>
          <t>Units</t>
        </is>
      </c>
      <c r="G106" s="28" t="inlineStr">
        <is>
          <t>Cumul.</t>
        </is>
      </c>
      <c r="H106" s="28" t="inlineStr">
        <is>
          <t>Start
Week</t>
        </is>
      </c>
      <c r="I106" s="28" t="inlineStr">
        <is>
          <t>End
Week</t>
        </is>
      </c>
      <c r="J106" s="28" t="inlineStr">
        <is>
          <t>Est. Dates</t>
        </is>
      </c>
    </row>
    <row r="107" ht="18" customHeight="1">
      <c r="A107" s="53" t="n">
        <v>1</v>
      </c>
      <c r="B107" s="5" t="n"/>
      <c r="F107" s="32" t="n"/>
      <c r="G107" s="17">
        <f>IFERROR(SUM(F107:F107),"")</f>
        <v/>
      </c>
      <c r="H107" s="17">
        <f>IF(F107="","",1)</f>
        <v/>
      </c>
      <c r="I107" s="17">
        <f>IFERROR(IF(F107="","",CEILING(G107/((IFERROR(B104,0)+IFERROR(G104,0))/(IFERROR('Getting Started'!C15,0)+IFERROR('Getting Started'!C23,0))),1)),"")</f>
        <v/>
      </c>
      <c r="J107" s="54">
        <f>IFERROR(IF(F107="","",TEXT('Getting Started'!C10+(H107-1)*7,"MMM D")&amp;" – "&amp;TEXT('Getting Started'!C10+I107*7,"MMM D")),"")</f>
        <v/>
      </c>
    </row>
    <row r="108" ht="18" customHeight="1">
      <c r="A108" s="53" t="n">
        <v>2</v>
      </c>
      <c r="B108" s="18" t="n"/>
      <c r="F108" s="55" t="n"/>
      <c r="G108" s="17">
        <f>IFERROR(SUM(F107:F108),"")</f>
        <v/>
      </c>
      <c r="H108" s="17">
        <f>IFERROR(IF(F108="","",FLOOR(G107/((IFERROR(B104,0)+IFERROR(G104,0))/(IFERROR('Getting Started'!C15,0)+IFERROR('Getting Started'!C23,0))),1)+1),"")</f>
        <v/>
      </c>
      <c r="I108" s="17">
        <f>IFERROR(IF(F108="","",CEILING(G108/((IFERROR(B104,0)+IFERROR(G104,0))/(IFERROR('Getting Started'!C15,0)+IFERROR('Getting Started'!C23,0))),1)),"")</f>
        <v/>
      </c>
      <c r="J108" s="54">
        <f>IFERROR(IF(F108="","",TEXT('Getting Started'!C10+(H108-1)*7,"MMM D")&amp;" – "&amp;TEXT('Getting Started'!C10+I108*7,"MMM D")),"")</f>
        <v/>
      </c>
    </row>
    <row r="109" ht="18" customHeight="1">
      <c r="A109" s="53" t="n">
        <v>3</v>
      </c>
      <c r="B109" s="5" t="n"/>
      <c r="F109" s="32" t="n"/>
      <c r="G109" s="17">
        <f>IFERROR(SUM(F107:F109),"")</f>
        <v/>
      </c>
      <c r="H109" s="17">
        <f>IFERROR(IF(F109="","",FLOOR(G108/((IFERROR(B104,0)+IFERROR(G104,0))/(IFERROR('Getting Started'!C15,0)+IFERROR('Getting Started'!C23,0))),1)+1),"")</f>
        <v/>
      </c>
      <c r="I109" s="17">
        <f>IFERROR(IF(F109="","",CEILING(G109/((IFERROR(B104,0)+IFERROR(G104,0))/(IFERROR('Getting Started'!C15,0)+IFERROR('Getting Started'!C23,0))),1)),"")</f>
        <v/>
      </c>
      <c r="J109" s="54">
        <f>IFERROR(IF(F109="","",TEXT('Getting Started'!C10+(H109-1)*7,"MMM D")&amp;" – "&amp;TEXT('Getting Started'!C10+I109*7,"MMM D")),"")</f>
        <v/>
      </c>
    </row>
    <row r="110" ht="18" customHeight="1">
      <c r="A110" s="53" t="n">
        <v>4</v>
      </c>
      <c r="B110" s="18" t="n"/>
      <c r="F110" s="55" t="n"/>
      <c r="G110" s="17">
        <f>IFERROR(SUM(F107:F110),"")</f>
        <v/>
      </c>
      <c r="H110" s="17">
        <f>IFERROR(IF(F110="","",FLOOR(G109/((IFERROR(B104,0)+IFERROR(G104,0))/(IFERROR('Getting Started'!C15,0)+IFERROR('Getting Started'!C23,0))),1)+1),"")</f>
        <v/>
      </c>
      <c r="I110" s="17">
        <f>IFERROR(IF(F110="","",CEILING(G110/((IFERROR(B104,0)+IFERROR(G104,0))/(IFERROR('Getting Started'!C15,0)+IFERROR('Getting Started'!C23,0))),1)),"")</f>
        <v/>
      </c>
      <c r="J110" s="54">
        <f>IFERROR(IF(F110="","",TEXT('Getting Started'!C10+(H110-1)*7,"MMM D")&amp;" – "&amp;TEXT('Getting Started'!C10+I110*7,"MMM D")),"")</f>
        <v/>
      </c>
    </row>
    <row r="111" ht="18" customHeight="1">
      <c r="A111" s="53" t="n">
        <v>5</v>
      </c>
      <c r="B111" s="5" t="n"/>
      <c r="F111" s="32" t="n"/>
      <c r="G111" s="17">
        <f>IFERROR(SUM(F107:F111),"")</f>
        <v/>
      </c>
      <c r="H111" s="17">
        <f>IFERROR(IF(F111="","",FLOOR(G110/((IFERROR(B104,0)+IFERROR(G104,0))/(IFERROR('Getting Started'!C15,0)+IFERROR('Getting Started'!C23,0))),1)+1),"")</f>
        <v/>
      </c>
      <c r="I111" s="17">
        <f>IFERROR(IF(F111="","",CEILING(G111/((IFERROR(B104,0)+IFERROR(G104,0))/(IFERROR('Getting Started'!C15,0)+IFERROR('Getting Started'!C23,0))),1)),"")</f>
        <v/>
      </c>
      <c r="J111" s="54">
        <f>IFERROR(IF(F111="","",TEXT('Getting Started'!C10+(H111-1)*7,"MMM D")&amp;" – "&amp;TEXT('Getting Started'!C10+I111*7,"MMM D")),"")</f>
        <v/>
      </c>
    </row>
    <row r="112" ht="18" customHeight="1">
      <c r="A112" s="53" t="n">
        <v>6</v>
      </c>
      <c r="B112" s="18" t="n"/>
      <c r="F112" s="55" t="n"/>
      <c r="G112" s="17">
        <f>IFERROR(SUM(F107:F112),"")</f>
        <v/>
      </c>
      <c r="H112" s="17">
        <f>IFERROR(IF(F112="","",FLOOR(G111/((IFERROR(B104,0)+IFERROR(G104,0))/(IFERROR('Getting Started'!C15,0)+IFERROR('Getting Started'!C23,0))),1)+1),"")</f>
        <v/>
      </c>
      <c r="I112" s="17">
        <f>IFERROR(IF(F112="","",CEILING(G112/((IFERROR(B104,0)+IFERROR(G104,0))/(IFERROR('Getting Started'!C15,0)+IFERROR('Getting Started'!C23,0))),1)),"")</f>
        <v/>
      </c>
      <c r="J112" s="54">
        <f>IFERROR(IF(F112="","",TEXT('Getting Started'!C10+(H112-1)*7,"MMM D")&amp;" – "&amp;TEXT('Getting Started'!C10+I112*7,"MMM D")),"")</f>
        <v/>
      </c>
    </row>
    <row r="113" ht="20" customHeight="1">
      <c r="A113" s="56">
        <f>IFERROR(IF('Course Content'!I100="","",'Course Content'!I100),"")</f>
        <v/>
      </c>
    </row>
    <row r="114" ht="8" customHeight="1"/>
    <row r="115" ht="24" customHeight="1">
      <c r="A115" s="44" t="inlineStr">
        <is>
          <t xml:space="preserve">  ART / MUSIC</t>
        </is>
      </c>
      <c r="E115" s="45">
        <f>IFERROR(IF('Course Content'!E101="","← enter on Course Content tab",'Course Content'!E101),"")</f>
        <v/>
      </c>
    </row>
    <row r="116" ht="22" customHeight="1">
      <c r="B116" s="46">
        <f>'Course Content'!G101</f>
        <v/>
      </c>
      <c r="C116" s="47">
        <f>IFERROR(IF(B116="","",ROUND(B116/'Getting Started'!C15,1)),"")</f>
        <v/>
      </c>
      <c r="D116" s="47">
        <f>IFERROR(IF(C116="","",ROUND(C116/'Getting Started'!C7,1)),"")</f>
        <v/>
      </c>
      <c r="E116" s="48">
        <f>IFERROR(IF(B116="","",TEXT('Getting Started'!C10+(B116/D116),"MMM D, YYYY")),"")</f>
        <v/>
      </c>
      <c r="F116" s="39" t="n"/>
      <c r="G116" s="49">
        <f>'Course Content'!H101</f>
        <v/>
      </c>
      <c r="H116" s="50">
        <f>IFERROR(IF(G116="","",ROUND(G116/'Getting Started'!C23,1)),"")</f>
        <v/>
      </c>
      <c r="I116" s="50">
        <f>IFERROR(IF(H116="","",ROUND(H116/'Getting Started'!C7,1)),"")</f>
        <v/>
      </c>
      <c r="J116" s="51">
        <f>IFERROR(IF(G116="","",TEXT('Getting Started'!C18+(G116/I116),"MMM D, YYYY")),"")</f>
        <v/>
      </c>
    </row>
    <row r="117" ht="16" customHeight="1">
      <c r="A117" s="52" t="inlineStr">
        <is>
          <t xml:space="preserve">  Component Breakdown  (optional — use for multi-volume curricula)</t>
        </is>
      </c>
    </row>
    <row r="118" ht="22" customHeight="1">
      <c r="A118" s="28" t="inlineStr">
        <is>
          <t>#</t>
        </is>
      </c>
      <c r="B118" s="28" t="inlineStr">
        <is>
          <t>Book / Component Title</t>
        </is>
      </c>
      <c r="F118" s="28" t="inlineStr">
        <is>
          <t>Units</t>
        </is>
      </c>
      <c r="G118" s="28" t="inlineStr">
        <is>
          <t>Cumul.</t>
        </is>
      </c>
      <c r="H118" s="28" t="inlineStr">
        <is>
          <t>Start
Week</t>
        </is>
      </c>
      <c r="I118" s="28" t="inlineStr">
        <is>
          <t>End
Week</t>
        </is>
      </c>
      <c r="J118" s="28" t="inlineStr">
        <is>
          <t>Est. Dates</t>
        </is>
      </c>
    </row>
    <row r="119" ht="18" customHeight="1">
      <c r="A119" s="53" t="n">
        <v>1</v>
      </c>
      <c r="B119" s="5" t="n"/>
      <c r="F119" s="32" t="n"/>
      <c r="G119" s="17">
        <f>IFERROR(SUM(F119:F119),"")</f>
        <v/>
      </c>
      <c r="H119" s="17">
        <f>IF(F119="","",1)</f>
        <v/>
      </c>
      <c r="I119" s="17">
        <f>IFERROR(IF(F119="","",CEILING(G119/((IFERROR(B116,0)+IFERROR(G116,0))/(IFERROR('Getting Started'!C15,0)+IFERROR('Getting Started'!C23,0))),1)),"")</f>
        <v/>
      </c>
      <c r="J119" s="54">
        <f>IFERROR(IF(F119="","",TEXT('Getting Started'!C10+(H119-1)*7,"MMM D")&amp;" – "&amp;TEXT('Getting Started'!C10+I119*7,"MMM D")),"")</f>
        <v/>
      </c>
    </row>
    <row r="120" ht="18" customHeight="1">
      <c r="A120" s="53" t="n">
        <v>2</v>
      </c>
      <c r="B120" s="18" t="n"/>
      <c r="F120" s="55" t="n"/>
      <c r="G120" s="17">
        <f>IFERROR(SUM(F119:F120),"")</f>
        <v/>
      </c>
      <c r="H120" s="17">
        <f>IFERROR(IF(F120="","",FLOOR(G119/((IFERROR(B116,0)+IFERROR(G116,0))/(IFERROR('Getting Started'!C15,0)+IFERROR('Getting Started'!C23,0))),1)+1),"")</f>
        <v/>
      </c>
      <c r="I120" s="17">
        <f>IFERROR(IF(F120="","",CEILING(G120/((IFERROR(B116,0)+IFERROR(G116,0))/(IFERROR('Getting Started'!C15,0)+IFERROR('Getting Started'!C23,0))),1)),"")</f>
        <v/>
      </c>
      <c r="J120" s="54">
        <f>IFERROR(IF(F120="","",TEXT('Getting Started'!C10+(H120-1)*7,"MMM D")&amp;" – "&amp;TEXT('Getting Started'!C10+I120*7,"MMM D")),"")</f>
        <v/>
      </c>
    </row>
    <row r="121" ht="18" customHeight="1">
      <c r="A121" s="53" t="n">
        <v>3</v>
      </c>
      <c r="B121" s="5" t="n"/>
      <c r="F121" s="32" t="n"/>
      <c r="G121" s="17">
        <f>IFERROR(SUM(F119:F121),"")</f>
        <v/>
      </c>
      <c r="H121" s="17">
        <f>IFERROR(IF(F121="","",FLOOR(G120/((IFERROR(B116,0)+IFERROR(G116,0))/(IFERROR('Getting Started'!C15,0)+IFERROR('Getting Started'!C23,0))),1)+1),"")</f>
        <v/>
      </c>
      <c r="I121" s="17">
        <f>IFERROR(IF(F121="","",CEILING(G121/((IFERROR(B116,0)+IFERROR(G116,0))/(IFERROR('Getting Started'!C15,0)+IFERROR('Getting Started'!C23,0))),1)),"")</f>
        <v/>
      </c>
      <c r="J121" s="54">
        <f>IFERROR(IF(F121="","",TEXT('Getting Started'!C10+(H121-1)*7,"MMM D")&amp;" – "&amp;TEXT('Getting Started'!C10+I121*7,"MMM D")),"")</f>
        <v/>
      </c>
    </row>
    <row r="122" ht="18" customHeight="1">
      <c r="A122" s="53" t="n">
        <v>4</v>
      </c>
      <c r="B122" s="18" t="n"/>
      <c r="F122" s="55" t="n"/>
      <c r="G122" s="17">
        <f>IFERROR(SUM(F119:F122),"")</f>
        <v/>
      </c>
      <c r="H122" s="17">
        <f>IFERROR(IF(F122="","",FLOOR(G121/((IFERROR(B116,0)+IFERROR(G116,0))/(IFERROR('Getting Started'!C15,0)+IFERROR('Getting Started'!C23,0))),1)+1),"")</f>
        <v/>
      </c>
      <c r="I122" s="17">
        <f>IFERROR(IF(F122="","",CEILING(G122/((IFERROR(B116,0)+IFERROR(G116,0))/(IFERROR('Getting Started'!C15,0)+IFERROR('Getting Started'!C23,0))),1)),"")</f>
        <v/>
      </c>
      <c r="J122" s="54">
        <f>IFERROR(IF(F122="","",TEXT('Getting Started'!C10+(H122-1)*7,"MMM D")&amp;" – "&amp;TEXT('Getting Started'!C10+I122*7,"MMM D")),"")</f>
        <v/>
      </c>
    </row>
    <row r="123" ht="18" customHeight="1">
      <c r="A123" s="53" t="n">
        <v>5</v>
      </c>
      <c r="B123" s="5" t="n"/>
      <c r="F123" s="32" t="n"/>
      <c r="G123" s="17">
        <f>IFERROR(SUM(F119:F123),"")</f>
        <v/>
      </c>
      <c r="H123" s="17">
        <f>IFERROR(IF(F123="","",FLOOR(G122/((IFERROR(B116,0)+IFERROR(G116,0))/(IFERROR('Getting Started'!C15,0)+IFERROR('Getting Started'!C23,0))),1)+1),"")</f>
        <v/>
      </c>
      <c r="I123" s="17">
        <f>IFERROR(IF(F123="","",CEILING(G123/((IFERROR(B116,0)+IFERROR(G116,0))/(IFERROR('Getting Started'!C15,0)+IFERROR('Getting Started'!C23,0))),1)),"")</f>
        <v/>
      </c>
      <c r="J123" s="54">
        <f>IFERROR(IF(F123="","",TEXT('Getting Started'!C10+(H123-1)*7,"MMM D")&amp;" – "&amp;TEXT('Getting Started'!C10+I123*7,"MMM D")),"")</f>
        <v/>
      </c>
    </row>
    <row r="124" ht="18" customHeight="1">
      <c r="A124" s="53" t="n">
        <v>6</v>
      </c>
      <c r="B124" s="18" t="n"/>
      <c r="F124" s="55" t="n"/>
      <c r="G124" s="17">
        <f>IFERROR(SUM(F119:F124),"")</f>
        <v/>
      </c>
      <c r="H124" s="17">
        <f>IFERROR(IF(F124="","",FLOOR(G123/((IFERROR(B116,0)+IFERROR(G116,0))/(IFERROR('Getting Started'!C15,0)+IFERROR('Getting Started'!C23,0))),1)+1),"")</f>
        <v/>
      </c>
      <c r="I124" s="17">
        <f>IFERROR(IF(F124="","",CEILING(G124/((IFERROR(B116,0)+IFERROR(G116,0))/(IFERROR('Getting Started'!C15,0)+IFERROR('Getting Started'!C23,0))),1)),"")</f>
        <v/>
      </c>
      <c r="J124" s="54">
        <f>IFERROR(IF(F124="","",TEXT('Getting Started'!C10+(H124-1)*7,"MMM D")&amp;" – "&amp;TEXT('Getting Started'!C10+I124*7,"MMM D")),"")</f>
        <v/>
      </c>
    </row>
    <row r="125" ht="20" customHeight="1">
      <c r="A125" s="56">
        <f>IFERROR(IF('Course Content'!I101="","",'Course Content'!I101),"")</f>
        <v/>
      </c>
    </row>
    <row r="126" ht="8" customHeight="1"/>
    <row r="127" ht="24" customHeight="1">
      <c r="A127" s="44">
        <f>IF('Course Content'!D102="","  ELECTIVE / OTHER 1","  "&amp;UPPER('Course Content'!D102))</f>
        <v/>
      </c>
      <c r="E127" s="45">
        <f>IFERROR(IF('Course Content'!E102="","← enter on Course Content tab",'Course Content'!E102),"")</f>
        <v/>
      </c>
    </row>
    <row r="128" ht="22" customHeight="1">
      <c r="B128" s="46">
        <f>'Course Content'!G102</f>
        <v/>
      </c>
      <c r="C128" s="47">
        <f>IFERROR(IF(B128="","",ROUND(B128/'Getting Started'!C15,1)),"")</f>
        <v/>
      </c>
      <c r="D128" s="47">
        <f>IFERROR(IF(C128="","",ROUND(C128/'Getting Started'!C7,1)),"")</f>
        <v/>
      </c>
      <c r="E128" s="48">
        <f>IFERROR(IF(B128="","",TEXT('Getting Started'!C10+(B128/D128),"MMM D, YYYY")),"")</f>
        <v/>
      </c>
      <c r="F128" s="39" t="n"/>
      <c r="G128" s="49">
        <f>'Course Content'!H102</f>
        <v/>
      </c>
      <c r="H128" s="50">
        <f>IFERROR(IF(G128="","",ROUND(G128/'Getting Started'!C23,1)),"")</f>
        <v/>
      </c>
      <c r="I128" s="50">
        <f>IFERROR(IF(H128="","",ROUND(H128/'Getting Started'!C7,1)),"")</f>
        <v/>
      </c>
      <c r="J128" s="51">
        <f>IFERROR(IF(G128="","",TEXT('Getting Started'!C18+(G128/I128),"MMM D, YYYY")),"")</f>
        <v/>
      </c>
    </row>
    <row r="129" ht="16" customHeight="1">
      <c r="A129" s="52" t="inlineStr">
        <is>
          <t xml:space="preserve">  Component Breakdown  (optional — use for multi-volume curricula)</t>
        </is>
      </c>
    </row>
    <row r="130" ht="22" customHeight="1">
      <c r="A130" s="28" t="inlineStr">
        <is>
          <t>#</t>
        </is>
      </c>
      <c r="B130" s="28" t="inlineStr">
        <is>
          <t>Book / Component Title</t>
        </is>
      </c>
      <c r="F130" s="28" t="inlineStr">
        <is>
          <t>Units</t>
        </is>
      </c>
      <c r="G130" s="28" t="inlineStr">
        <is>
          <t>Cumul.</t>
        </is>
      </c>
      <c r="H130" s="28" t="inlineStr">
        <is>
          <t>Start
Week</t>
        </is>
      </c>
      <c r="I130" s="28" t="inlineStr">
        <is>
          <t>End
Week</t>
        </is>
      </c>
      <c r="J130" s="28" t="inlineStr">
        <is>
          <t>Est. Dates</t>
        </is>
      </c>
    </row>
    <row r="131" ht="18" customHeight="1">
      <c r="A131" s="53" t="n">
        <v>1</v>
      </c>
      <c r="B131" s="5" t="n"/>
      <c r="F131" s="32" t="n"/>
      <c r="G131" s="17">
        <f>IFERROR(SUM(F131:F131),"")</f>
        <v/>
      </c>
      <c r="H131" s="17">
        <f>IF(F131="","",1)</f>
        <v/>
      </c>
      <c r="I131" s="17">
        <f>IFERROR(IF(F131="","",CEILING(G131/((IFERROR(B128,0)+IFERROR(G128,0))/(IFERROR('Getting Started'!C15,0)+IFERROR('Getting Started'!C23,0))),1)),"")</f>
        <v/>
      </c>
      <c r="J131" s="54">
        <f>IFERROR(IF(F131="","",TEXT('Getting Started'!C10+(H131-1)*7,"MMM D")&amp;" – "&amp;TEXT('Getting Started'!C10+I131*7,"MMM D")),"")</f>
        <v/>
      </c>
    </row>
    <row r="132" ht="18" customHeight="1">
      <c r="A132" s="53" t="n">
        <v>2</v>
      </c>
      <c r="B132" s="18" t="n"/>
      <c r="F132" s="55" t="n"/>
      <c r="G132" s="17">
        <f>IFERROR(SUM(F131:F132),"")</f>
        <v/>
      </c>
      <c r="H132" s="17">
        <f>IFERROR(IF(F132="","",FLOOR(G131/((IFERROR(B128,0)+IFERROR(G128,0))/(IFERROR('Getting Started'!C15,0)+IFERROR('Getting Started'!C23,0))),1)+1),"")</f>
        <v/>
      </c>
      <c r="I132" s="17">
        <f>IFERROR(IF(F132="","",CEILING(G132/((IFERROR(B128,0)+IFERROR(G128,0))/(IFERROR('Getting Started'!C15,0)+IFERROR('Getting Started'!C23,0))),1)),"")</f>
        <v/>
      </c>
      <c r="J132" s="54">
        <f>IFERROR(IF(F132="","",TEXT('Getting Started'!C10+(H132-1)*7,"MMM D")&amp;" – "&amp;TEXT('Getting Started'!C10+I132*7,"MMM D")),"")</f>
        <v/>
      </c>
    </row>
    <row r="133" ht="18" customHeight="1">
      <c r="A133" s="53" t="n">
        <v>3</v>
      </c>
      <c r="B133" s="5" t="n"/>
      <c r="F133" s="32" t="n"/>
      <c r="G133" s="17">
        <f>IFERROR(SUM(F131:F133),"")</f>
        <v/>
      </c>
      <c r="H133" s="17">
        <f>IFERROR(IF(F133="","",FLOOR(G132/((IFERROR(B128,0)+IFERROR(G128,0))/(IFERROR('Getting Started'!C15,0)+IFERROR('Getting Started'!C23,0))),1)+1),"")</f>
        <v/>
      </c>
      <c r="I133" s="17">
        <f>IFERROR(IF(F133="","",CEILING(G133/((IFERROR(B128,0)+IFERROR(G128,0))/(IFERROR('Getting Started'!C15,0)+IFERROR('Getting Started'!C23,0))),1)),"")</f>
        <v/>
      </c>
      <c r="J133" s="54">
        <f>IFERROR(IF(F133="","",TEXT('Getting Started'!C10+(H133-1)*7,"MMM D")&amp;" – "&amp;TEXT('Getting Started'!C10+I133*7,"MMM D")),"")</f>
        <v/>
      </c>
    </row>
    <row r="134" ht="18" customHeight="1">
      <c r="A134" s="53" t="n">
        <v>4</v>
      </c>
      <c r="B134" s="18" t="n"/>
      <c r="F134" s="55" t="n"/>
      <c r="G134" s="17">
        <f>IFERROR(SUM(F131:F134),"")</f>
        <v/>
      </c>
      <c r="H134" s="17">
        <f>IFERROR(IF(F134="","",FLOOR(G133/((IFERROR(B128,0)+IFERROR(G128,0))/(IFERROR('Getting Started'!C15,0)+IFERROR('Getting Started'!C23,0))),1)+1),"")</f>
        <v/>
      </c>
      <c r="I134" s="17">
        <f>IFERROR(IF(F134="","",CEILING(G134/((IFERROR(B128,0)+IFERROR(G128,0))/(IFERROR('Getting Started'!C15,0)+IFERROR('Getting Started'!C23,0))),1)),"")</f>
        <v/>
      </c>
      <c r="J134" s="54">
        <f>IFERROR(IF(F134="","",TEXT('Getting Started'!C10+(H134-1)*7,"MMM D")&amp;" – "&amp;TEXT('Getting Started'!C10+I134*7,"MMM D")),"")</f>
        <v/>
      </c>
    </row>
    <row r="135" ht="18" customHeight="1">
      <c r="A135" s="53" t="n">
        <v>5</v>
      </c>
      <c r="B135" s="5" t="n"/>
      <c r="F135" s="32" t="n"/>
      <c r="G135" s="17">
        <f>IFERROR(SUM(F131:F135),"")</f>
        <v/>
      </c>
      <c r="H135" s="17">
        <f>IFERROR(IF(F135="","",FLOOR(G134/((IFERROR(B128,0)+IFERROR(G128,0))/(IFERROR('Getting Started'!C15,0)+IFERROR('Getting Started'!C23,0))),1)+1),"")</f>
        <v/>
      </c>
      <c r="I135" s="17">
        <f>IFERROR(IF(F135="","",CEILING(G135/((IFERROR(B128,0)+IFERROR(G128,0))/(IFERROR('Getting Started'!C15,0)+IFERROR('Getting Started'!C23,0))),1)),"")</f>
        <v/>
      </c>
      <c r="J135" s="54">
        <f>IFERROR(IF(F135="","",TEXT('Getting Started'!C10+(H135-1)*7,"MMM D")&amp;" – "&amp;TEXT('Getting Started'!C10+I135*7,"MMM D")),"")</f>
        <v/>
      </c>
    </row>
    <row r="136" ht="18" customHeight="1">
      <c r="A136" s="53" t="n">
        <v>6</v>
      </c>
      <c r="B136" s="18" t="n"/>
      <c r="F136" s="55" t="n"/>
      <c r="G136" s="17">
        <f>IFERROR(SUM(F131:F136),"")</f>
        <v/>
      </c>
      <c r="H136" s="17">
        <f>IFERROR(IF(F136="","",FLOOR(G135/((IFERROR(B128,0)+IFERROR(G128,0))/(IFERROR('Getting Started'!C15,0)+IFERROR('Getting Started'!C23,0))),1)+1),"")</f>
        <v/>
      </c>
      <c r="I136" s="17">
        <f>IFERROR(IF(F136="","",CEILING(G136/((IFERROR(B128,0)+IFERROR(G128,0))/(IFERROR('Getting Started'!C15,0)+IFERROR('Getting Started'!C23,0))),1)),"")</f>
        <v/>
      </c>
      <c r="J136" s="54">
        <f>IFERROR(IF(F136="","",TEXT('Getting Started'!C10+(H136-1)*7,"MMM D")&amp;" – "&amp;TEXT('Getting Started'!C10+I136*7,"MMM D")),"")</f>
        <v/>
      </c>
    </row>
    <row r="137" ht="20" customHeight="1">
      <c r="A137" s="56">
        <f>IFERROR(IF('Course Content'!I102="","",'Course Content'!I102),"")</f>
        <v/>
      </c>
    </row>
    <row r="138" ht="8" customHeight="1"/>
    <row r="139" ht="24" customHeight="1">
      <c r="A139" s="44">
        <f>IF('Course Content'!D103="","  ELECTIVE / OTHER 2","  "&amp;UPPER('Course Content'!D103))</f>
        <v/>
      </c>
      <c r="E139" s="45">
        <f>IFERROR(IF('Course Content'!E103="","← enter on Course Content tab",'Course Content'!E103),"")</f>
        <v/>
      </c>
    </row>
    <row r="140" ht="22" customHeight="1">
      <c r="B140" s="46">
        <f>'Course Content'!G103</f>
        <v/>
      </c>
      <c r="C140" s="47">
        <f>IFERROR(IF(B140="","",ROUND(B140/'Getting Started'!C15,1)),"")</f>
        <v/>
      </c>
      <c r="D140" s="47">
        <f>IFERROR(IF(C140="","",ROUND(C140/'Getting Started'!C7,1)),"")</f>
        <v/>
      </c>
      <c r="E140" s="48">
        <f>IFERROR(IF(B140="","",TEXT('Getting Started'!C10+(B140/D140),"MMM D, YYYY")),"")</f>
        <v/>
      </c>
      <c r="F140" s="39" t="n"/>
      <c r="G140" s="49">
        <f>'Course Content'!H103</f>
        <v/>
      </c>
      <c r="H140" s="50">
        <f>IFERROR(IF(G140="","",ROUND(G140/'Getting Started'!C23,1)),"")</f>
        <v/>
      </c>
      <c r="I140" s="50">
        <f>IFERROR(IF(H140="","",ROUND(H140/'Getting Started'!C7,1)),"")</f>
        <v/>
      </c>
      <c r="J140" s="51">
        <f>IFERROR(IF(G140="","",TEXT('Getting Started'!C18+(G140/I140),"MMM D, YYYY")),"")</f>
        <v/>
      </c>
    </row>
    <row r="141" ht="16" customHeight="1">
      <c r="A141" s="52" t="inlineStr">
        <is>
          <t xml:space="preserve">  Component Breakdown  (optional — use for multi-volume curricula)</t>
        </is>
      </c>
    </row>
    <row r="142" ht="22" customHeight="1">
      <c r="A142" s="28" t="inlineStr">
        <is>
          <t>#</t>
        </is>
      </c>
      <c r="B142" s="28" t="inlineStr">
        <is>
          <t>Book / Component Title</t>
        </is>
      </c>
      <c r="F142" s="28" t="inlineStr">
        <is>
          <t>Units</t>
        </is>
      </c>
      <c r="G142" s="28" t="inlineStr">
        <is>
          <t>Cumul.</t>
        </is>
      </c>
      <c r="H142" s="28" t="inlineStr">
        <is>
          <t>Start
Week</t>
        </is>
      </c>
      <c r="I142" s="28" t="inlineStr">
        <is>
          <t>End
Week</t>
        </is>
      </c>
      <c r="J142" s="28" t="inlineStr">
        <is>
          <t>Est. Dates</t>
        </is>
      </c>
    </row>
    <row r="143" ht="18" customHeight="1">
      <c r="A143" s="53" t="n">
        <v>1</v>
      </c>
      <c r="B143" s="5" t="n"/>
      <c r="F143" s="32" t="n"/>
      <c r="G143" s="17">
        <f>IFERROR(SUM(F143:F143),"")</f>
        <v/>
      </c>
      <c r="H143" s="17">
        <f>IF(F143="","",1)</f>
        <v/>
      </c>
      <c r="I143" s="17">
        <f>IFERROR(IF(F143="","",CEILING(G143/((IFERROR(B140,0)+IFERROR(G140,0))/(IFERROR('Getting Started'!C15,0)+IFERROR('Getting Started'!C23,0))),1)),"")</f>
        <v/>
      </c>
      <c r="J143" s="54">
        <f>IFERROR(IF(F143="","",TEXT('Getting Started'!C10+(H143-1)*7,"MMM D")&amp;" – "&amp;TEXT('Getting Started'!C10+I143*7,"MMM D")),"")</f>
        <v/>
      </c>
    </row>
    <row r="144" ht="18" customHeight="1">
      <c r="A144" s="53" t="n">
        <v>2</v>
      </c>
      <c r="B144" s="18" t="n"/>
      <c r="F144" s="55" t="n"/>
      <c r="G144" s="17">
        <f>IFERROR(SUM(F143:F144),"")</f>
        <v/>
      </c>
      <c r="H144" s="17">
        <f>IFERROR(IF(F144="","",FLOOR(G143/((IFERROR(B140,0)+IFERROR(G140,0))/(IFERROR('Getting Started'!C15,0)+IFERROR('Getting Started'!C23,0))),1)+1),"")</f>
        <v/>
      </c>
      <c r="I144" s="17">
        <f>IFERROR(IF(F144="","",CEILING(G144/((IFERROR(B140,0)+IFERROR(G140,0))/(IFERROR('Getting Started'!C15,0)+IFERROR('Getting Started'!C23,0))),1)),"")</f>
        <v/>
      </c>
      <c r="J144" s="54">
        <f>IFERROR(IF(F144="","",TEXT('Getting Started'!C10+(H144-1)*7,"MMM D")&amp;" – "&amp;TEXT('Getting Started'!C10+I144*7,"MMM D")),"")</f>
        <v/>
      </c>
    </row>
    <row r="145" ht="18" customHeight="1">
      <c r="A145" s="53" t="n">
        <v>3</v>
      </c>
      <c r="B145" s="5" t="n"/>
      <c r="F145" s="32" t="n"/>
      <c r="G145" s="17">
        <f>IFERROR(SUM(F143:F145),"")</f>
        <v/>
      </c>
      <c r="H145" s="17">
        <f>IFERROR(IF(F145="","",FLOOR(G144/((IFERROR(B140,0)+IFERROR(G140,0))/(IFERROR('Getting Started'!C15,0)+IFERROR('Getting Started'!C23,0))),1)+1),"")</f>
        <v/>
      </c>
      <c r="I145" s="17">
        <f>IFERROR(IF(F145="","",CEILING(G145/((IFERROR(B140,0)+IFERROR(G140,0))/(IFERROR('Getting Started'!C15,0)+IFERROR('Getting Started'!C23,0))),1)),"")</f>
        <v/>
      </c>
      <c r="J145" s="54">
        <f>IFERROR(IF(F145="","",TEXT('Getting Started'!C10+(H145-1)*7,"MMM D")&amp;" – "&amp;TEXT('Getting Started'!C10+I145*7,"MMM D")),"")</f>
        <v/>
      </c>
    </row>
    <row r="146" ht="18" customHeight="1">
      <c r="A146" s="53" t="n">
        <v>4</v>
      </c>
      <c r="B146" s="18" t="n"/>
      <c r="F146" s="55" t="n"/>
      <c r="G146" s="17">
        <f>IFERROR(SUM(F143:F146),"")</f>
        <v/>
      </c>
      <c r="H146" s="17">
        <f>IFERROR(IF(F146="","",FLOOR(G145/((IFERROR(B140,0)+IFERROR(G140,0))/(IFERROR('Getting Started'!C15,0)+IFERROR('Getting Started'!C23,0))),1)+1),"")</f>
        <v/>
      </c>
      <c r="I146" s="17">
        <f>IFERROR(IF(F146="","",CEILING(G146/((IFERROR(B140,0)+IFERROR(G140,0))/(IFERROR('Getting Started'!C15,0)+IFERROR('Getting Started'!C23,0))),1)),"")</f>
        <v/>
      </c>
      <c r="J146" s="54">
        <f>IFERROR(IF(F146="","",TEXT('Getting Started'!C10+(H146-1)*7,"MMM D")&amp;" – "&amp;TEXT('Getting Started'!C10+I146*7,"MMM D")),"")</f>
        <v/>
      </c>
    </row>
    <row r="147" ht="18" customHeight="1">
      <c r="A147" s="53" t="n">
        <v>5</v>
      </c>
      <c r="B147" s="5" t="n"/>
      <c r="F147" s="32" t="n"/>
      <c r="G147" s="17">
        <f>IFERROR(SUM(F143:F147),"")</f>
        <v/>
      </c>
      <c r="H147" s="17">
        <f>IFERROR(IF(F147="","",FLOOR(G146/((IFERROR(B140,0)+IFERROR(G140,0))/(IFERROR('Getting Started'!C15,0)+IFERROR('Getting Started'!C23,0))),1)+1),"")</f>
        <v/>
      </c>
      <c r="I147" s="17">
        <f>IFERROR(IF(F147="","",CEILING(G147/((IFERROR(B140,0)+IFERROR(G140,0))/(IFERROR('Getting Started'!C15,0)+IFERROR('Getting Started'!C23,0))),1)),"")</f>
        <v/>
      </c>
      <c r="J147" s="54">
        <f>IFERROR(IF(F147="","",TEXT('Getting Started'!C10+(H147-1)*7,"MMM D")&amp;" – "&amp;TEXT('Getting Started'!C10+I147*7,"MMM D")),"")</f>
        <v/>
      </c>
    </row>
    <row r="148" ht="18" customHeight="1">
      <c r="A148" s="53" t="n">
        <v>6</v>
      </c>
      <c r="B148" s="18" t="n"/>
      <c r="F148" s="55" t="n"/>
      <c r="G148" s="17">
        <f>IFERROR(SUM(F143:F148),"")</f>
        <v/>
      </c>
      <c r="H148" s="17">
        <f>IFERROR(IF(F148="","",FLOOR(G147/((IFERROR(B140,0)+IFERROR(G140,0))/(IFERROR('Getting Started'!C15,0)+IFERROR('Getting Started'!C23,0))),1)+1),"")</f>
        <v/>
      </c>
      <c r="I148" s="17">
        <f>IFERROR(IF(F148="","",CEILING(G148/((IFERROR(B140,0)+IFERROR(G140,0))/(IFERROR('Getting Started'!C15,0)+IFERROR('Getting Started'!C23,0))),1)),"")</f>
        <v/>
      </c>
      <c r="J148" s="54">
        <f>IFERROR(IF(F148="","",TEXT('Getting Started'!C10+(H148-1)*7,"MMM D")&amp;" – "&amp;TEXT('Getting Started'!C10+I148*7,"MMM D")),"")</f>
        <v/>
      </c>
    </row>
    <row r="149" ht="20" customHeight="1">
      <c r="A149" s="56">
        <f>IFERROR(IF('Course Content'!I103="","",'Course Content'!I103),"")</f>
        <v/>
      </c>
    </row>
    <row r="150" ht="8" customHeight="1"/>
    <row r="151" ht="24" customHeight="1">
      <c r="A151" s="44">
        <f>IF('Course Content'!D104="","  ELECTIVE / OTHER 3","  "&amp;UPPER('Course Content'!D104))</f>
        <v/>
      </c>
      <c r="E151" s="45">
        <f>IFERROR(IF('Course Content'!E104="","← enter on Course Content tab",'Course Content'!E104),"")</f>
        <v/>
      </c>
    </row>
    <row r="152" ht="22" customHeight="1">
      <c r="B152" s="46">
        <f>'Course Content'!G104</f>
        <v/>
      </c>
      <c r="C152" s="47">
        <f>IFERROR(IF(B152="","",ROUND(B152/'Getting Started'!C15,1)),"")</f>
        <v/>
      </c>
      <c r="D152" s="47">
        <f>IFERROR(IF(C152="","",ROUND(C152/'Getting Started'!C7,1)),"")</f>
        <v/>
      </c>
      <c r="E152" s="48">
        <f>IFERROR(IF(B152="","",TEXT('Getting Started'!C10+(B152/D152),"MMM D, YYYY")),"")</f>
        <v/>
      </c>
      <c r="F152" s="39" t="n"/>
      <c r="G152" s="49">
        <f>'Course Content'!H104</f>
        <v/>
      </c>
      <c r="H152" s="50">
        <f>IFERROR(IF(G152="","",ROUND(G152/'Getting Started'!C23,1)),"")</f>
        <v/>
      </c>
      <c r="I152" s="50">
        <f>IFERROR(IF(H152="","",ROUND(H152/'Getting Started'!C7,1)),"")</f>
        <v/>
      </c>
      <c r="J152" s="51">
        <f>IFERROR(IF(G152="","",TEXT('Getting Started'!C18+(G152/I152),"MMM D, YYYY")),"")</f>
        <v/>
      </c>
    </row>
    <row r="153" ht="16" customHeight="1">
      <c r="A153" s="52" t="inlineStr">
        <is>
          <t xml:space="preserve">  Component Breakdown  (optional — use for multi-volume curricula)</t>
        </is>
      </c>
    </row>
    <row r="154" ht="22" customHeight="1">
      <c r="A154" s="28" t="inlineStr">
        <is>
          <t>#</t>
        </is>
      </c>
      <c r="B154" s="28" t="inlineStr">
        <is>
          <t>Book / Component Title</t>
        </is>
      </c>
      <c r="F154" s="28" t="inlineStr">
        <is>
          <t>Units</t>
        </is>
      </c>
      <c r="G154" s="28" t="inlineStr">
        <is>
          <t>Cumul.</t>
        </is>
      </c>
      <c r="H154" s="28" t="inlineStr">
        <is>
          <t>Start
Week</t>
        </is>
      </c>
      <c r="I154" s="28" t="inlineStr">
        <is>
          <t>End
Week</t>
        </is>
      </c>
      <c r="J154" s="28" t="inlineStr">
        <is>
          <t>Est. Dates</t>
        </is>
      </c>
    </row>
    <row r="155" ht="18" customHeight="1">
      <c r="A155" s="53" t="n">
        <v>1</v>
      </c>
      <c r="B155" s="5" t="n"/>
      <c r="F155" s="32" t="n"/>
      <c r="G155" s="17">
        <f>IFERROR(SUM(F155:F155),"")</f>
        <v/>
      </c>
      <c r="H155" s="17">
        <f>IF(F155="","",1)</f>
        <v/>
      </c>
      <c r="I155" s="17">
        <f>IFERROR(IF(F155="","",CEILING(G155/((IFERROR(B152,0)+IFERROR(G152,0))/(IFERROR('Getting Started'!C15,0)+IFERROR('Getting Started'!C23,0))),1)),"")</f>
        <v/>
      </c>
      <c r="J155" s="54">
        <f>IFERROR(IF(F155="","",TEXT('Getting Started'!C10+(H155-1)*7,"MMM D")&amp;" – "&amp;TEXT('Getting Started'!C10+I155*7,"MMM D")),"")</f>
        <v/>
      </c>
    </row>
    <row r="156" ht="18" customHeight="1">
      <c r="A156" s="53" t="n">
        <v>2</v>
      </c>
      <c r="B156" s="18" t="n"/>
      <c r="F156" s="55" t="n"/>
      <c r="G156" s="17">
        <f>IFERROR(SUM(F155:F156),"")</f>
        <v/>
      </c>
      <c r="H156" s="17">
        <f>IFERROR(IF(F156="","",FLOOR(G155/((IFERROR(B152,0)+IFERROR(G152,0))/(IFERROR('Getting Started'!C15,0)+IFERROR('Getting Started'!C23,0))),1)+1),"")</f>
        <v/>
      </c>
      <c r="I156" s="17">
        <f>IFERROR(IF(F156="","",CEILING(G156/((IFERROR(B152,0)+IFERROR(G152,0))/(IFERROR('Getting Started'!C15,0)+IFERROR('Getting Started'!C23,0))),1)),"")</f>
        <v/>
      </c>
      <c r="J156" s="54">
        <f>IFERROR(IF(F156="","",TEXT('Getting Started'!C10+(H156-1)*7,"MMM D")&amp;" – "&amp;TEXT('Getting Started'!C10+I156*7,"MMM D")),"")</f>
        <v/>
      </c>
    </row>
    <row r="157" ht="18" customHeight="1">
      <c r="A157" s="53" t="n">
        <v>3</v>
      </c>
      <c r="B157" s="5" t="n"/>
      <c r="F157" s="32" t="n"/>
      <c r="G157" s="17">
        <f>IFERROR(SUM(F155:F157),"")</f>
        <v/>
      </c>
      <c r="H157" s="17">
        <f>IFERROR(IF(F157="","",FLOOR(G156/((IFERROR(B152,0)+IFERROR(G152,0))/(IFERROR('Getting Started'!C15,0)+IFERROR('Getting Started'!C23,0))),1)+1),"")</f>
        <v/>
      </c>
      <c r="I157" s="17">
        <f>IFERROR(IF(F157="","",CEILING(G157/((IFERROR(B152,0)+IFERROR(G152,0))/(IFERROR('Getting Started'!C15,0)+IFERROR('Getting Started'!C23,0))),1)),"")</f>
        <v/>
      </c>
      <c r="J157" s="54">
        <f>IFERROR(IF(F157="","",TEXT('Getting Started'!C10+(H157-1)*7,"MMM D")&amp;" – "&amp;TEXT('Getting Started'!C10+I157*7,"MMM D")),"")</f>
        <v/>
      </c>
    </row>
    <row r="158" ht="18" customHeight="1">
      <c r="A158" s="53" t="n">
        <v>4</v>
      </c>
      <c r="B158" s="18" t="n"/>
      <c r="F158" s="55" t="n"/>
      <c r="G158" s="17">
        <f>IFERROR(SUM(F155:F158),"")</f>
        <v/>
      </c>
      <c r="H158" s="17">
        <f>IFERROR(IF(F158="","",FLOOR(G157/((IFERROR(B152,0)+IFERROR(G152,0))/(IFERROR('Getting Started'!C15,0)+IFERROR('Getting Started'!C23,0))),1)+1),"")</f>
        <v/>
      </c>
      <c r="I158" s="17">
        <f>IFERROR(IF(F158="","",CEILING(G158/((IFERROR(B152,0)+IFERROR(G152,0))/(IFERROR('Getting Started'!C15,0)+IFERROR('Getting Started'!C23,0))),1)),"")</f>
        <v/>
      </c>
      <c r="J158" s="54">
        <f>IFERROR(IF(F158="","",TEXT('Getting Started'!C10+(H158-1)*7,"MMM D")&amp;" – "&amp;TEXT('Getting Started'!C10+I158*7,"MMM D")),"")</f>
        <v/>
      </c>
    </row>
    <row r="159" ht="18" customHeight="1">
      <c r="A159" s="53" t="n">
        <v>5</v>
      </c>
      <c r="B159" s="5" t="n"/>
      <c r="F159" s="32" t="n"/>
      <c r="G159" s="17">
        <f>IFERROR(SUM(F155:F159),"")</f>
        <v/>
      </c>
      <c r="H159" s="17">
        <f>IFERROR(IF(F159="","",FLOOR(G158/((IFERROR(B152,0)+IFERROR(G152,0))/(IFERROR('Getting Started'!C15,0)+IFERROR('Getting Started'!C23,0))),1)+1),"")</f>
        <v/>
      </c>
      <c r="I159" s="17">
        <f>IFERROR(IF(F159="","",CEILING(G159/((IFERROR(B152,0)+IFERROR(G152,0))/(IFERROR('Getting Started'!C15,0)+IFERROR('Getting Started'!C23,0))),1)),"")</f>
        <v/>
      </c>
      <c r="J159" s="54">
        <f>IFERROR(IF(F159="","",TEXT('Getting Started'!C10+(H159-1)*7,"MMM D")&amp;" – "&amp;TEXT('Getting Started'!C10+I159*7,"MMM D")),"")</f>
        <v/>
      </c>
    </row>
    <row r="160" ht="18" customHeight="1">
      <c r="A160" s="53" t="n">
        <v>6</v>
      </c>
      <c r="B160" s="18" t="n"/>
      <c r="F160" s="55" t="n"/>
      <c r="G160" s="17">
        <f>IFERROR(SUM(F155:F160),"")</f>
        <v/>
      </c>
      <c r="H160" s="17">
        <f>IFERROR(IF(F160="","",FLOOR(G159/((IFERROR(B152,0)+IFERROR(G152,0))/(IFERROR('Getting Started'!C15,0)+IFERROR('Getting Started'!C23,0))),1)+1),"")</f>
        <v/>
      </c>
      <c r="I160" s="17">
        <f>IFERROR(IF(F160="","",CEILING(G160/((IFERROR(B152,0)+IFERROR(G152,0))/(IFERROR('Getting Started'!C15,0)+IFERROR('Getting Started'!C23,0))),1)),"")</f>
        <v/>
      </c>
      <c r="J160" s="54">
        <f>IFERROR(IF(F160="","",TEXT('Getting Started'!C10+(H160-1)*7,"MMM D")&amp;" – "&amp;TEXT('Getting Started'!C10+I160*7,"MMM D")),"")</f>
        <v/>
      </c>
    </row>
    <row r="161" ht="20" customHeight="1">
      <c r="A161" s="56">
        <f>IFERROR(IF('Course Content'!I104="","",'Course Content'!I104),"")</f>
        <v/>
      </c>
    </row>
    <row r="162" ht="8" customHeight="1"/>
    <row r="163" ht="24" customHeight="1">
      <c r="A163" s="44">
        <f>IF('Course Content'!D105="","  ELECTIVE / OTHER 4","  "&amp;UPPER('Course Content'!D105))</f>
        <v/>
      </c>
      <c r="E163" s="45">
        <f>IFERROR(IF('Course Content'!E105="","← enter on Course Content tab",'Course Content'!E105),"")</f>
        <v/>
      </c>
    </row>
    <row r="164" ht="22" customHeight="1">
      <c r="B164" s="46">
        <f>'Course Content'!G105</f>
        <v/>
      </c>
      <c r="C164" s="47">
        <f>IFERROR(IF(B164="","",ROUND(B164/'Getting Started'!C15,1)),"")</f>
        <v/>
      </c>
      <c r="D164" s="47">
        <f>IFERROR(IF(C164="","",ROUND(C164/'Getting Started'!C7,1)),"")</f>
        <v/>
      </c>
      <c r="E164" s="48">
        <f>IFERROR(IF(B164="","",TEXT('Getting Started'!C10+(B164/D164),"MMM D, YYYY")),"")</f>
        <v/>
      </c>
      <c r="F164" s="39" t="n"/>
      <c r="G164" s="49">
        <f>'Course Content'!H105</f>
        <v/>
      </c>
      <c r="H164" s="50">
        <f>IFERROR(IF(G164="","",ROUND(G164/'Getting Started'!C23,1)),"")</f>
        <v/>
      </c>
      <c r="I164" s="50">
        <f>IFERROR(IF(H164="","",ROUND(H164/'Getting Started'!C7,1)),"")</f>
        <v/>
      </c>
      <c r="J164" s="51">
        <f>IFERROR(IF(G164="","",TEXT('Getting Started'!C18+(G164/I164),"MMM D, YYYY")),"")</f>
        <v/>
      </c>
    </row>
    <row r="165" ht="16" customHeight="1">
      <c r="A165" s="52" t="inlineStr">
        <is>
          <t xml:space="preserve">  Component Breakdown  (optional — use for multi-volume curricula)</t>
        </is>
      </c>
    </row>
    <row r="166" ht="22" customHeight="1">
      <c r="A166" s="28" t="inlineStr">
        <is>
          <t>#</t>
        </is>
      </c>
      <c r="B166" s="28" t="inlineStr">
        <is>
          <t>Book / Component Title</t>
        </is>
      </c>
      <c r="F166" s="28" t="inlineStr">
        <is>
          <t>Units</t>
        </is>
      </c>
      <c r="G166" s="28" t="inlineStr">
        <is>
          <t>Cumul.</t>
        </is>
      </c>
      <c r="H166" s="28" t="inlineStr">
        <is>
          <t>Start
Week</t>
        </is>
      </c>
      <c r="I166" s="28" t="inlineStr">
        <is>
          <t>End
Week</t>
        </is>
      </c>
      <c r="J166" s="28" t="inlineStr">
        <is>
          <t>Est. Dates</t>
        </is>
      </c>
    </row>
    <row r="167" ht="18" customHeight="1">
      <c r="A167" s="53" t="n">
        <v>1</v>
      </c>
      <c r="B167" s="5" t="n"/>
      <c r="F167" s="32" t="n"/>
      <c r="G167" s="17">
        <f>IFERROR(SUM(F167:F167),"")</f>
        <v/>
      </c>
      <c r="H167" s="17">
        <f>IF(F167="","",1)</f>
        <v/>
      </c>
      <c r="I167" s="17">
        <f>IFERROR(IF(F167="","",CEILING(G167/((IFERROR(B164,0)+IFERROR(G164,0))/(IFERROR('Getting Started'!C15,0)+IFERROR('Getting Started'!C23,0))),1)),"")</f>
        <v/>
      </c>
      <c r="J167" s="54">
        <f>IFERROR(IF(F167="","",TEXT('Getting Started'!C10+(H167-1)*7,"MMM D")&amp;" – "&amp;TEXT('Getting Started'!C10+I167*7,"MMM D")),"")</f>
        <v/>
      </c>
    </row>
    <row r="168" ht="18" customHeight="1">
      <c r="A168" s="53" t="n">
        <v>2</v>
      </c>
      <c r="B168" s="18" t="n"/>
      <c r="F168" s="55" t="n"/>
      <c r="G168" s="17">
        <f>IFERROR(SUM(F167:F168),"")</f>
        <v/>
      </c>
      <c r="H168" s="17">
        <f>IFERROR(IF(F168="","",FLOOR(G167/((IFERROR(B164,0)+IFERROR(G164,0))/(IFERROR('Getting Started'!C15,0)+IFERROR('Getting Started'!C23,0))),1)+1),"")</f>
        <v/>
      </c>
      <c r="I168" s="17">
        <f>IFERROR(IF(F168="","",CEILING(G168/((IFERROR(B164,0)+IFERROR(G164,0))/(IFERROR('Getting Started'!C15,0)+IFERROR('Getting Started'!C23,0))),1)),"")</f>
        <v/>
      </c>
      <c r="J168" s="54">
        <f>IFERROR(IF(F168="","",TEXT('Getting Started'!C10+(H168-1)*7,"MMM D")&amp;" – "&amp;TEXT('Getting Started'!C10+I168*7,"MMM D")),"")</f>
        <v/>
      </c>
    </row>
    <row r="169" ht="18" customHeight="1">
      <c r="A169" s="53" t="n">
        <v>3</v>
      </c>
      <c r="B169" s="5" t="n"/>
      <c r="F169" s="32" t="n"/>
      <c r="G169" s="17">
        <f>IFERROR(SUM(F167:F169),"")</f>
        <v/>
      </c>
      <c r="H169" s="17">
        <f>IFERROR(IF(F169="","",FLOOR(G168/((IFERROR(B164,0)+IFERROR(G164,0))/(IFERROR('Getting Started'!C15,0)+IFERROR('Getting Started'!C23,0))),1)+1),"")</f>
        <v/>
      </c>
      <c r="I169" s="17">
        <f>IFERROR(IF(F169="","",CEILING(G169/((IFERROR(B164,0)+IFERROR(G164,0))/(IFERROR('Getting Started'!C15,0)+IFERROR('Getting Started'!C23,0))),1)),"")</f>
        <v/>
      </c>
      <c r="J169" s="54">
        <f>IFERROR(IF(F169="","",TEXT('Getting Started'!C10+(H169-1)*7,"MMM D")&amp;" – "&amp;TEXT('Getting Started'!C10+I169*7,"MMM D")),"")</f>
        <v/>
      </c>
    </row>
    <row r="170" ht="18" customHeight="1">
      <c r="A170" s="53" t="n">
        <v>4</v>
      </c>
      <c r="B170" s="18" t="n"/>
      <c r="F170" s="55" t="n"/>
      <c r="G170" s="17">
        <f>IFERROR(SUM(F167:F170),"")</f>
        <v/>
      </c>
      <c r="H170" s="17">
        <f>IFERROR(IF(F170="","",FLOOR(G169/((IFERROR(B164,0)+IFERROR(G164,0))/(IFERROR('Getting Started'!C15,0)+IFERROR('Getting Started'!C23,0))),1)+1),"")</f>
        <v/>
      </c>
      <c r="I170" s="17">
        <f>IFERROR(IF(F170="","",CEILING(G170/((IFERROR(B164,0)+IFERROR(G164,0))/(IFERROR('Getting Started'!C15,0)+IFERROR('Getting Started'!C23,0))),1)),"")</f>
        <v/>
      </c>
      <c r="J170" s="54">
        <f>IFERROR(IF(F170="","",TEXT('Getting Started'!C10+(H170-1)*7,"MMM D")&amp;" – "&amp;TEXT('Getting Started'!C10+I170*7,"MMM D")),"")</f>
        <v/>
      </c>
    </row>
    <row r="171" ht="18" customHeight="1">
      <c r="A171" s="53" t="n">
        <v>5</v>
      </c>
      <c r="B171" s="5" t="n"/>
      <c r="F171" s="32" t="n"/>
      <c r="G171" s="17">
        <f>IFERROR(SUM(F167:F171),"")</f>
        <v/>
      </c>
      <c r="H171" s="17">
        <f>IFERROR(IF(F171="","",FLOOR(G170/((IFERROR(B164,0)+IFERROR(G164,0))/(IFERROR('Getting Started'!C15,0)+IFERROR('Getting Started'!C23,0))),1)+1),"")</f>
        <v/>
      </c>
      <c r="I171" s="17">
        <f>IFERROR(IF(F171="","",CEILING(G171/((IFERROR(B164,0)+IFERROR(G164,0))/(IFERROR('Getting Started'!C15,0)+IFERROR('Getting Started'!C23,0))),1)),"")</f>
        <v/>
      </c>
      <c r="J171" s="54">
        <f>IFERROR(IF(F171="","",TEXT('Getting Started'!C10+(H171-1)*7,"MMM D")&amp;" – "&amp;TEXT('Getting Started'!C10+I171*7,"MMM D")),"")</f>
        <v/>
      </c>
    </row>
    <row r="172" ht="18" customHeight="1">
      <c r="A172" s="53" t="n">
        <v>6</v>
      </c>
      <c r="B172" s="18" t="n"/>
      <c r="F172" s="55" t="n"/>
      <c r="G172" s="17">
        <f>IFERROR(SUM(F167:F172),"")</f>
        <v/>
      </c>
      <c r="H172" s="17">
        <f>IFERROR(IF(F172="","",FLOOR(G171/((IFERROR(B164,0)+IFERROR(G164,0))/(IFERROR('Getting Started'!C15,0)+IFERROR('Getting Started'!C23,0))),1)+1),"")</f>
        <v/>
      </c>
      <c r="I172" s="17">
        <f>IFERROR(IF(F172="","",CEILING(G172/((IFERROR(B164,0)+IFERROR(G164,0))/(IFERROR('Getting Started'!C15,0)+IFERROR('Getting Started'!C23,0))),1)),"")</f>
        <v/>
      </c>
      <c r="J172" s="54">
        <f>IFERROR(IF(F172="","",TEXT('Getting Started'!C10+(H172-1)*7,"MMM D")&amp;" – "&amp;TEXT('Getting Started'!C10+I172*7,"MMM D")),"")</f>
        <v/>
      </c>
    </row>
    <row r="173" ht="20" customHeight="1">
      <c r="A173" s="56">
        <f>IFERROR(IF('Course Content'!I105="","",'Course Content'!I105),"")</f>
        <v/>
      </c>
    </row>
    <row r="174" ht="8" customHeight="1"/>
  </sheetData>
  <mergeCells count="158">
    <mergeCell ref="B146:E146"/>
    <mergeCell ref="E19:J19"/>
    <mergeCell ref="B74:E74"/>
    <mergeCell ref="G4:J4"/>
    <mergeCell ref="A165:J165"/>
    <mergeCell ref="B123:E123"/>
    <mergeCell ref="B36:E36"/>
    <mergeCell ref="B76:E76"/>
    <mergeCell ref="B110:E110"/>
    <mergeCell ref="A93:J93"/>
    <mergeCell ref="A31:D31"/>
    <mergeCell ref="A173:J173"/>
    <mergeCell ref="B100:E100"/>
    <mergeCell ref="A77:J77"/>
    <mergeCell ref="B109:E109"/>
    <mergeCell ref="B47:E47"/>
    <mergeCell ref="B22:E22"/>
    <mergeCell ref="B155:E155"/>
    <mergeCell ref="B12:E12"/>
    <mergeCell ref="B86:E86"/>
    <mergeCell ref="A69:J69"/>
    <mergeCell ref="A7:D7"/>
    <mergeCell ref="B39:E39"/>
    <mergeCell ref="E139:J139"/>
    <mergeCell ref="B14:E14"/>
    <mergeCell ref="B136:E136"/>
    <mergeCell ref="B23:E23"/>
    <mergeCell ref="B13:E13"/>
    <mergeCell ref="A163:D163"/>
    <mergeCell ref="B38:E38"/>
    <mergeCell ref="B112:E112"/>
    <mergeCell ref="E79:J79"/>
    <mergeCell ref="B87:E87"/>
    <mergeCell ref="B40:E40"/>
    <mergeCell ref="B49:E49"/>
    <mergeCell ref="B64:E64"/>
    <mergeCell ref="A29:J29"/>
    <mergeCell ref="A81:J81"/>
    <mergeCell ref="A19:D19"/>
    <mergeCell ref="B51:E51"/>
    <mergeCell ref="A161:J161"/>
    <mergeCell ref="B63:E63"/>
    <mergeCell ref="B26:E26"/>
    <mergeCell ref="B154:E154"/>
    <mergeCell ref="B35:E35"/>
    <mergeCell ref="B50:E50"/>
    <mergeCell ref="B106:E106"/>
    <mergeCell ref="A127:D127"/>
    <mergeCell ref="E163:J163"/>
    <mergeCell ref="B16:E16"/>
    <mergeCell ref="B25:E25"/>
    <mergeCell ref="B156:E156"/>
    <mergeCell ref="E91:J91"/>
    <mergeCell ref="B131:E131"/>
    <mergeCell ref="B27:E27"/>
    <mergeCell ref="A79:D79"/>
    <mergeCell ref="E115:J115"/>
    <mergeCell ref="B130:E130"/>
    <mergeCell ref="B11:E11"/>
    <mergeCell ref="B61:E61"/>
    <mergeCell ref="A4:E4"/>
    <mergeCell ref="B132:E132"/>
    <mergeCell ref="B166:E166"/>
    <mergeCell ref="A149:J149"/>
    <mergeCell ref="B119:E119"/>
    <mergeCell ref="E127:J127"/>
    <mergeCell ref="A139:D139"/>
    <mergeCell ref="B37:E37"/>
    <mergeCell ref="A2:J2"/>
    <mergeCell ref="B168:E168"/>
    <mergeCell ref="B84:E84"/>
    <mergeCell ref="B118:E118"/>
    <mergeCell ref="A141:J141"/>
    <mergeCell ref="A91:D91"/>
    <mergeCell ref="B158:E158"/>
    <mergeCell ref="B15:E15"/>
    <mergeCell ref="B142:E142"/>
    <mergeCell ref="B24:E24"/>
    <mergeCell ref="A125:J125"/>
    <mergeCell ref="B95:E95"/>
    <mergeCell ref="A115:D115"/>
    <mergeCell ref="B160:E160"/>
    <mergeCell ref="B169:E169"/>
    <mergeCell ref="B144:E144"/>
    <mergeCell ref="B97:E97"/>
    <mergeCell ref="B72:E72"/>
    <mergeCell ref="B134:E134"/>
    <mergeCell ref="B121:E121"/>
    <mergeCell ref="A103:D103"/>
    <mergeCell ref="B122:E122"/>
    <mergeCell ref="B71:E71"/>
    <mergeCell ref="B58:E58"/>
    <mergeCell ref="B52:E52"/>
    <mergeCell ref="A153:J153"/>
    <mergeCell ref="B120:E120"/>
    <mergeCell ref="A137:J137"/>
    <mergeCell ref="B107:E107"/>
    <mergeCell ref="A41:J41"/>
    <mergeCell ref="B60:E60"/>
    <mergeCell ref="E151:J151"/>
    <mergeCell ref="B170:E170"/>
    <mergeCell ref="E55:J55"/>
    <mergeCell ref="B148:E148"/>
    <mergeCell ref="B157:E157"/>
    <mergeCell ref="E67:J67"/>
    <mergeCell ref="B171:E171"/>
    <mergeCell ref="A101:J101"/>
    <mergeCell ref="B34:E34"/>
    <mergeCell ref="B172:E172"/>
    <mergeCell ref="B28:E28"/>
    <mergeCell ref="B99:E99"/>
    <mergeCell ref="A33:J33"/>
    <mergeCell ref="B108:E108"/>
    <mergeCell ref="E103:J103"/>
    <mergeCell ref="B83:E83"/>
    <mergeCell ref="A17:J17"/>
    <mergeCell ref="B143:E143"/>
    <mergeCell ref="A53:J53"/>
    <mergeCell ref="E31:J31"/>
    <mergeCell ref="B124:E124"/>
    <mergeCell ref="A43:D43"/>
    <mergeCell ref="B133:E133"/>
    <mergeCell ref="B85:E85"/>
    <mergeCell ref="B94:E94"/>
    <mergeCell ref="A117:J117"/>
    <mergeCell ref="A67:D67"/>
    <mergeCell ref="B75:E75"/>
    <mergeCell ref="A9:J9"/>
    <mergeCell ref="B135:E135"/>
    <mergeCell ref="B62:E62"/>
    <mergeCell ref="B59:E59"/>
    <mergeCell ref="B46:E46"/>
    <mergeCell ref="B159:E159"/>
    <mergeCell ref="E7:J7"/>
    <mergeCell ref="A1:J1"/>
    <mergeCell ref="A45:J45"/>
    <mergeCell ref="B96:E96"/>
    <mergeCell ref="B167:E167"/>
    <mergeCell ref="B70:E70"/>
    <mergeCell ref="B48:E48"/>
    <mergeCell ref="A65:J65"/>
    <mergeCell ref="E43:J43"/>
    <mergeCell ref="B111:E111"/>
    <mergeCell ref="B145:E145"/>
    <mergeCell ref="B98:E98"/>
    <mergeCell ref="A89:J89"/>
    <mergeCell ref="B73:E73"/>
    <mergeCell ref="B88:E88"/>
    <mergeCell ref="B82:E82"/>
    <mergeCell ref="A21:J21"/>
    <mergeCell ref="A55:D55"/>
    <mergeCell ref="A105:J105"/>
    <mergeCell ref="B147:E147"/>
    <mergeCell ref="A57:J57"/>
    <mergeCell ref="A113:J113"/>
    <mergeCell ref="A151:D151"/>
    <mergeCell ref="B10:E10"/>
    <mergeCell ref="A129:J129"/>
  </mergeCells>
  <pageMargins left="0.75" right="0.75" top="1" bottom="1" header="0.5" footer="0.5"/>
</worksheet>
</file>

<file path=xl/worksheets/sheet10.xml><?xml version="1.0" encoding="utf-8"?>
<worksheet xmlns="http://schemas.openxmlformats.org/spreadsheetml/2006/main">
  <sheetPr>
    <tabColor rgb="006B7A8A"/>
    <outlinePr summaryBelow="1" summaryRight="1"/>
    <pageSetUpPr/>
  </sheetPr>
  <dimension ref="A1:J173"/>
  <sheetViews>
    <sheetView workbookViewId="0">
      <pane ySplit="6" topLeftCell="A7"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8" customWidth="1" min="5" max="5"/>
    <col width="4" customWidth="1" min="6" max="6"/>
    <col width="14" customWidth="1" min="7" max="7"/>
    <col width="14" customWidth="1" min="8" max="8"/>
    <col width="14" customWidth="1" min="9" max="9"/>
    <col width="18" customWidth="1" min="10" max="10"/>
  </cols>
  <sheetData>
    <row r="1" ht="40" customHeight="1">
      <c r="A1" s="1">
        <f>IF('Getting Started'!B36="","Student 8",'Getting Started'!B36)</f>
        <v/>
      </c>
    </row>
    <row r="2" ht="22" customHeight="1">
      <c r="A2" s="37">
        <f>IFERROR("Grade: "&amp;'Getting Started'!F36&amp;"   ·   School Year: "&amp;'Getting Started'!C6,"")</f>
        <v/>
      </c>
    </row>
    <row r="3" ht="8" customHeight="1"/>
    <row r="4" ht="22" customHeight="1">
      <c r="A4" s="38">
        <f>IFERROR("SEMESTER 1   "&amp;TEXT('Getting Started'!C10,"MMM D")&amp;" – "&amp;TEXT('Getting Started'!C11,"MMM D, YYYY")&amp;"   ("&amp;'Getting Started'!C15&amp;" wks)","SEMESTER 1")</f>
        <v/>
      </c>
      <c r="F4" s="39" t="n"/>
      <c r="G4" s="40">
        <f>IFERROR("SEMESTER 2   "&amp;TEXT('Getting Started'!C18,"MMM D")&amp;" – "&amp;TEXT('Getting Started'!C19,"MMM D, YYYY")&amp;"   ("&amp;'Getting Started'!C23&amp;" wks)","SEMESTER 2")</f>
        <v/>
      </c>
    </row>
    <row r="5" ht="24" customHeight="1">
      <c r="A5" s="28" t="inlineStr">
        <is>
          <t>Subject  /  Curriculum</t>
        </is>
      </c>
      <c r="B5" s="41" t="inlineStr">
        <is>
          <t>Sem 1
Units</t>
        </is>
      </c>
      <c r="C5" s="41" t="inlineStr">
        <is>
          <t>/ Week</t>
        </is>
      </c>
      <c r="D5" s="41" t="inlineStr">
        <is>
          <t>/ Day</t>
        </is>
      </c>
      <c r="E5" s="41" t="inlineStr">
        <is>
          <t>Est. End</t>
        </is>
      </c>
      <c r="F5" s="42" t="inlineStr"/>
      <c r="G5" s="43" t="inlineStr">
        <is>
          <t>Sem 2
Units</t>
        </is>
      </c>
      <c r="H5" s="43" t="inlineStr">
        <is>
          <t>/ Week</t>
        </is>
      </c>
      <c r="I5" s="43" t="inlineStr">
        <is>
          <t>/ Day</t>
        </is>
      </c>
      <c r="J5" s="43" t="inlineStr">
        <is>
          <t>Est. End</t>
        </is>
      </c>
    </row>
    <row r="6" ht="8" customHeight="1"/>
    <row r="7" ht="24" customHeight="1">
      <c r="A7" s="44" t="inlineStr">
        <is>
          <t xml:space="preserve">  BIBLE</t>
        </is>
      </c>
      <c r="E7" s="45">
        <f>IFERROR(IF('Course Content'!E106="","← enter on Course Content tab",'Course Content'!E106),"")</f>
        <v/>
      </c>
    </row>
    <row r="8" ht="22" customHeight="1">
      <c r="B8" s="46">
        <f>'Course Content'!G106</f>
        <v/>
      </c>
      <c r="C8" s="47">
        <f>IFERROR(IF(B8="","",ROUND(B8/'Getting Started'!C15,1)),"")</f>
        <v/>
      </c>
      <c r="D8" s="47">
        <f>IFERROR(IF(C8="","",ROUND(C8/'Getting Started'!C7,1)),"")</f>
        <v/>
      </c>
      <c r="E8" s="48">
        <f>IFERROR(IF(B8="","",TEXT('Getting Started'!C10+(B8/D8),"MMM D, YYYY")),"")</f>
        <v/>
      </c>
      <c r="F8" s="39" t="n"/>
      <c r="G8" s="49">
        <f>'Course Content'!H106</f>
        <v/>
      </c>
      <c r="H8" s="50">
        <f>IFERROR(IF(G8="","",ROUND(G8/'Getting Started'!C23,1)),"")</f>
        <v/>
      </c>
      <c r="I8" s="50">
        <f>IFERROR(IF(H8="","",ROUND(H8/'Getting Started'!C7,1)),"")</f>
        <v/>
      </c>
      <c r="J8" s="51">
        <f>IFERROR(IF(G8="","",TEXT('Getting Started'!C18+(G8/I8),"MMM D, YYYY")),"")</f>
        <v/>
      </c>
    </row>
    <row r="9" ht="16" customHeight="1">
      <c r="A9" s="52" t="inlineStr">
        <is>
          <t xml:space="preserve">  Component Breakdown  (optional — use for multi-volume curricula)</t>
        </is>
      </c>
    </row>
    <row r="10" ht="22" customHeight="1">
      <c r="A10" s="28" t="inlineStr">
        <is>
          <t>#</t>
        </is>
      </c>
      <c r="B10" s="28" t="inlineStr">
        <is>
          <t>Book / Component Title</t>
        </is>
      </c>
      <c r="F10" s="28" t="inlineStr">
        <is>
          <t>Units</t>
        </is>
      </c>
      <c r="G10" s="28" t="inlineStr">
        <is>
          <t>Cumul.</t>
        </is>
      </c>
      <c r="H10" s="28" t="inlineStr">
        <is>
          <t>Start
Week</t>
        </is>
      </c>
      <c r="I10" s="28" t="inlineStr">
        <is>
          <t>End
Week</t>
        </is>
      </c>
      <c r="J10" s="28" t="inlineStr">
        <is>
          <t>Est. Dates</t>
        </is>
      </c>
    </row>
    <row r="11" ht="18" customHeight="1">
      <c r="A11" s="53" t="n">
        <v>1</v>
      </c>
      <c r="B11" s="5" t="n"/>
      <c r="F11" s="32" t="n"/>
      <c r="G11" s="17">
        <f>IFERROR(SUM(F11:F11),"")</f>
        <v/>
      </c>
      <c r="H11" s="17">
        <f>IF(F11="","",1)</f>
        <v/>
      </c>
      <c r="I11" s="17">
        <f>IFERROR(IF(F11="","",CEILING(G11/((IFERROR(B8,0)+IFERROR(G8,0))/(IFERROR('Getting Started'!C15,0)+IFERROR('Getting Started'!C23,0))),1)),"")</f>
        <v/>
      </c>
      <c r="J11" s="54">
        <f>IFERROR(IF(F11="","",TEXT('Getting Started'!C10+(H11-1)*7,"MMM D")&amp;" – "&amp;TEXT('Getting Started'!C10+I11*7,"MMM D")),"")</f>
        <v/>
      </c>
    </row>
    <row r="12" ht="18" customHeight="1">
      <c r="A12" s="53" t="n">
        <v>2</v>
      </c>
      <c r="B12" s="18" t="n"/>
      <c r="F12" s="55" t="n"/>
      <c r="G12" s="17">
        <f>IFERROR(SUM(F11:F12),"")</f>
        <v/>
      </c>
      <c r="H12" s="17">
        <f>IFERROR(IF(F12="","",FLOOR(G11/((IFERROR(B8,0)+IFERROR(G8,0))/(IFERROR('Getting Started'!C15,0)+IFERROR('Getting Started'!C23,0))),1)+1),"")</f>
        <v/>
      </c>
      <c r="I12" s="17">
        <f>IFERROR(IF(F12="","",CEILING(G12/((IFERROR(B8,0)+IFERROR(G8,0))/(IFERROR('Getting Started'!C15,0)+IFERROR('Getting Started'!C23,0))),1)),"")</f>
        <v/>
      </c>
      <c r="J12" s="54">
        <f>IFERROR(IF(F12="","",TEXT('Getting Started'!C10+(H12-1)*7,"MMM D")&amp;" – "&amp;TEXT('Getting Started'!C10+I12*7,"MMM D")),"")</f>
        <v/>
      </c>
    </row>
    <row r="13" ht="18" customHeight="1">
      <c r="A13" s="53" t="n">
        <v>3</v>
      </c>
      <c r="B13" s="5" t="n"/>
      <c r="F13" s="32" t="n"/>
      <c r="G13" s="17">
        <f>IFERROR(SUM(F11:F13),"")</f>
        <v/>
      </c>
      <c r="H13" s="17">
        <f>IFERROR(IF(F13="","",FLOOR(G12/((IFERROR(B8,0)+IFERROR(G8,0))/(IFERROR('Getting Started'!C15,0)+IFERROR('Getting Started'!C23,0))),1)+1),"")</f>
        <v/>
      </c>
      <c r="I13" s="17">
        <f>IFERROR(IF(F13="","",CEILING(G13/((IFERROR(B8,0)+IFERROR(G8,0))/(IFERROR('Getting Started'!C15,0)+IFERROR('Getting Started'!C23,0))),1)),"")</f>
        <v/>
      </c>
      <c r="J13" s="54">
        <f>IFERROR(IF(F13="","",TEXT('Getting Started'!C10+(H13-1)*7,"MMM D")&amp;" – "&amp;TEXT('Getting Started'!C10+I13*7,"MMM D")),"")</f>
        <v/>
      </c>
    </row>
    <row r="14" ht="18" customHeight="1">
      <c r="A14" s="53" t="n">
        <v>4</v>
      </c>
      <c r="B14" s="18" t="n"/>
      <c r="F14" s="55" t="n"/>
      <c r="G14" s="17">
        <f>IFERROR(SUM(F11:F14),"")</f>
        <v/>
      </c>
      <c r="H14" s="17">
        <f>IFERROR(IF(F14="","",FLOOR(G13/((IFERROR(B8,0)+IFERROR(G8,0))/(IFERROR('Getting Started'!C15,0)+IFERROR('Getting Started'!C23,0))),1)+1),"")</f>
        <v/>
      </c>
      <c r="I14" s="17">
        <f>IFERROR(IF(F14="","",CEILING(G14/((IFERROR(B8,0)+IFERROR(G8,0))/(IFERROR('Getting Started'!C15,0)+IFERROR('Getting Started'!C23,0))),1)),"")</f>
        <v/>
      </c>
      <c r="J14" s="54">
        <f>IFERROR(IF(F14="","",TEXT('Getting Started'!C10+(H14-1)*7,"MMM D")&amp;" – "&amp;TEXT('Getting Started'!C10+I14*7,"MMM D")),"")</f>
        <v/>
      </c>
    </row>
    <row r="15" ht="18" customHeight="1">
      <c r="A15" s="53" t="n">
        <v>5</v>
      </c>
      <c r="B15" s="5" t="n"/>
      <c r="F15" s="32" t="n"/>
      <c r="G15" s="17">
        <f>IFERROR(SUM(F11:F15),"")</f>
        <v/>
      </c>
      <c r="H15" s="17">
        <f>IFERROR(IF(F15="","",FLOOR(G14/((IFERROR(B8,0)+IFERROR(G8,0))/(IFERROR('Getting Started'!C15,0)+IFERROR('Getting Started'!C23,0))),1)+1),"")</f>
        <v/>
      </c>
      <c r="I15" s="17">
        <f>IFERROR(IF(F15="","",CEILING(G15/((IFERROR(B8,0)+IFERROR(G8,0))/(IFERROR('Getting Started'!C15,0)+IFERROR('Getting Started'!C23,0))),1)),"")</f>
        <v/>
      </c>
      <c r="J15" s="54">
        <f>IFERROR(IF(F15="","",TEXT('Getting Started'!C10+(H15-1)*7,"MMM D")&amp;" – "&amp;TEXT('Getting Started'!C10+I15*7,"MMM D")),"")</f>
        <v/>
      </c>
    </row>
    <row r="16" ht="18" customHeight="1">
      <c r="A16" s="53" t="n">
        <v>6</v>
      </c>
      <c r="B16" s="18" t="n"/>
      <c r="F16" s="55" t="n"/>
      <c r="G16" s="17">
        <f>IFERROR(SUM(F11:F16),"")</f>
        <v/>
      </c>
      <c r="H16" s="17">
        <f>IFERROR(IF(F16="","",FLOOR(G15/((IFERROR(B8,0)+IFERROR(G8,0))/(IFERROR('Getting Started'!C15,0)+IFERROR('Getting Started'!C23,0))),1)+1),"")</f>
        <v/>
      </c>
      <c r="I16" s="17">
        <f>IFERROR(IF(F16="","",CEILING(G16/((IFERROR(B8,0)+IFERROR(G8,0))/(IFERROR('Getting Started'!C15,0)+IFERROR('Getting Started'!C23,0))),1)),"")</f>
        <v/>
      </c>
      <c r="J16" s="54">
        <f>IFERROR(IF(F16="","",TEXT('Getting Started'!C10+(H16-1)*7,"MMM D")&amp;" – "&amp;TEXT('Getting Started'!C10+I16*7,"MMM D")),"")</f>
        <v/>
      </c>
    </row>
    <row r="17" ht="20" customHeight="1">
      <c r="A17" s="56">
        <f>IFERROR(IF('Course Content'!I106="","",'Course Content'!I106),"")</f>
        <v/>
      </c>
    </row>
    <row r="18" ht="8" customHeight="1"/>
    <row r="19" ht="24" customHeight="1">
      <c r="A19" s="44" t="inlineStr">
        <is>
          <t xml:space="preserve">  MATH</t>
        </is>
      </c>
      <c r="E19" s="45">
        <f>IFERROR(IF('Course Content'!E107="","← enter on Course Content tab",'Course Content'!E107),"")</f>
        <v/>
      </c>
    </row>
    <row r="20" ht="22" customHeight="1">
      <c r="B20" s="46">
        <f>'Course Content'!G107</f>
        <v/>
      </c>
      <c r="C20" s="47">
        <f>IFERROR(IF(B20="","",ROUND(B20/'Getting Started'!C15,1)),"")</f>
        <v/>
      </c>
      <c r="D20" s="47">
        <f>IFERROR(IF(C20="","",ROUND(C20/'Getting Started'!C7,1)),"")</f>
        <v/>
      </c>
      <c r="E20" s="48">
        <f>IFERROR(IF(B20="","",TEXT('Getting Started'!C10+(B20/D20),"MMM D, YYYY")),"")</f>
        <v/>
      </c>
      <c r="F20" s="39" t="n"/>
      <c r="G20" s="49">
        <f>'Course Content'!H107</f>
        <v/>
      </c>
      <c r="H20" s="50">
        <f>IFERROR(IF(G20="","",ROUND(G20/'Getting Started'!C23,1)),"")</f>
        <v/>
      </c>
      <c r="I20" s="50">
        <f>IFERROR(IF(H20="","",ROUND(H20/'Getting Started'!C7,1)),"")</f>
        <v/>
      </c>
      <c r="J20" s="51">
        <f>IFERROR(IF(G20="","",TEXT('Getting Started'!C18+(G20/I20),"MMM D, YYYY")),"")</f>
        <v/>
      </c>
    </row>
    <row r="21" ht="16" customHeight="1">
      <c r="A21" s="52" t="inlineStr">
        <is>
          <t xml:space="preserve">  Component Breakdown  (optional — use for multi-volume curricula)</t>
        </is>
      </c>
    </row>
    <row r="22" ht="22" customHeight="1">
      <c r="A22" s="28" t="inlineStr">
        <is>
          <t>#</t>
        </is>
      </c>
      <c r="B22" s="28" t="inlineStr">
        <is>
          <t>Book / Component Title</t>
        </is>
      </c>
      <c r="F22" s="28" t="inlineStr">
        <is>
          <t>Units</t>
        </is>
      </c>
      <c r="G22" s="28" t="inlineStr">
        <is>
          <t>Cumul.</t>
        </is>
      </c>
      <c r="H22" s="28" t="inlineStr">
        <is>
          <t>Start
Week</t>
        </is>
      </c>
      <c r="I22" s="28" t="inlineStr">
        <is>
          <t>End
Week</t>
        </is>
      </c>
      <c r="J22" s="28" t="inlineStr">
        <is>
          <t>Est. Dates</t>
        </is>
      </c>
    </row>
    <row r="23" ht="18" customHeight="1">
      <c r="A23" s="53" t="n">
        <v>1</v>
      </c>
      <c r="B23" s="5" t="n"/>
      <c r="F23" s="32" t="n"/>
      <c r="G23" s="17">
        <f>IFERROR(SUM(F23:F23),"")</f>
        <v/>
      </c>
      <c r="H23" s="17">
        <f>IF(F23="","",1)</f>
        <v/>
      </c>
      <c r="I23" s="17">
        <f>IFERROR(IF(F23="","",CEILING(G23/((IFERROR(B20,0)+IFERROR(G20,0))/(IFERROR('Getting Started'!C15,0)+IFERROR('Getting Started'!C23,0))),1)),"")</f>
        <v/>
      </c>
      <c r="J23" s="54">
        <f>IFERROR(IF(F23="","",TEXT('Getting Started'!C10+(H23-1)*7,"MMM D")&amp;" – "&amp;TEXT('Getting Started'!C10+I23*7,"MMM D")),"")</f>
        <v/>
      </c>
    </row>
    <row r="24" ht="18" customHeight="1">
      <c r="A24" s="53" t="n">
        <v>2</v>
      </c>
      <c r="B24" s="18" t="n"/>
      <c r="F24" s="55" t="n"/>
      <c r="G24" s="17">
        <f>IFERROR(SUM(F23:F24),"")</f>
        <v/>
      </c>
      <c r="H24" s="17">
        <f>IFERROR(IF(F24="","",FLOOR(G23/((IFERROR(B20,0)+IFERROR(G20,0))/(IFERROR('Getting Started'!C15,0)+IFERROR('Getting Started'!C23,0))),1)+1),"")</f>
        <v/>
      </c>
      <c r="I24" s="17">
        <f>IFERROR(IF(F24="","",CEILING(G24/((IFERROR(B20,0)+IFERROR(G20,0))/(IFERROR('Getting Started'!C15,0)+IFERROR('Getting Started'!C23,0))),1)),"")</f>
        <v/>
      </c>
      <c r="J24" s="54">
        <f>IFERROR(IF(F24="","",TEXT('Getting Started'!C10+(H24-1)*7,"MMM D")&amp;" – "&amp;TEXT('Getting Started'!C10+I24*7,"MMM D")),"")</f>
        <v/>
      </c>
    </row>
    <row r="25" ht="18" customHeight="1">
      <c r="A25" s="53" t="n">
        <v>3</v>
      </c>
      <c r="B25" s="5" t="n"/>
      <c r="F25" s="32" t="n"/>
      <c r="G25" s="17">
        <f>IFERROR(SUM(F23:F25),"")</f>
        <v/>
      </c>
      <c r="H25" s="17">
        <f>IFERROR(IF(F25="","",FLOOR(G24/((IFERROR(B20,0)+IFERROR(G20,0))/(IFERROR('Getting Started'!C15,0)+IFERROR('Getting Started'!C23,0))),1)+1),"")</f>
        <v/>
      </c>
      <c r="I25" s="17">
        <f>IFERROR(IF(F25="","",CEILING(G25/((IFERROR(B20,0)+IFERROR(G20,0))/(IFERROR('Getting Started'!C15,0)+IFERROR('Getting Started'!C23,0))),1)),"")</f>
        <v/>
      </c>
      <c r="J25" s="54">
        <f>IFERROR(IF(F25="","",TEXT('Getting Started'!C10+(H25-1)*7,"MMM D")&amp;" – "&amp;TEXT('Getting Started'!C10+I25*7,"MMM D")),"")</f>
        <v/>
      </c>
    </row>
    <row r="26" ht="18" customHeight="1">
      <c r="A26" s="53" t="n">
        <v>4</v>
      </c>
      <c r="B26" s="18" t="n"/>
      <c r="F26" s="55" t="n"/>
      <c r="G26" s="17">
        <f>IFERROR(SUM(F23:F26),"")</f>
        <v/>
      </c>
      <c r="H26" s="17">
        <f>IFERROR(IF(F26="","",FLOOR(G25/((IFERROR(B20,0)+IFERROR(G20,0))/(IFERROR('Getting Started'!C15,0)+IFERROR('Getting Started'!C23,0))),1)+1),"")</f>
        <v/>
      </c>
      <c r="I26" s="17">
        <f>IFERROR(IF(F26="","",CEILING(G26/((IFERROR(B20,0)+IFERROR(G20,0))/(IFERROR('Getting Started'!C15,0)+IFERROR('Getting Started'!C23,0))),1)),"")</f>
        <v/>
      </c>
      <c r="J26" s="54">
        <f>IFERROR(IF(F26="","",TEXT('Getting Started'!C10+(H26-1)*7,"MMM D")&amp;" – "&amp;TEXT('Getting Started'!C10+I26*7,"MMM D")),"")</f>
        <v/>
      </c>
    </row>
    <row r="27" ht="18" customHeight="1">
      <c r="A27" s="53" t="n">
        <v>5</v>
      </c>
      <c r="B27" s="5" t="n"/>
      <c r="F27" s="32" t="n"/>
      <c r="G27" s="17">
        <f>IFERROR(SUM(F23:F27),"")</f>
        <v/>
      </c>
      <c r="H27" s="17">
        <f>IFERROR(IF(F27="","",FLOOR(G26/((IFERROR(B20,0)+IFERROR(G20,0))/(IFERROR('Getting Started'!C15,0)+IFERROR('Getting Started'!C23,0))),1)+1),"")</f>
        <v/>
      </c>
      <c r="I27" s="17">
        <f>IFERROR(IF(F27="","",CEILING(G27/((IFERROR(B20,0)+IFERROR(G20,0))/(IFERROR('Getting Started'!C15,0)+IFERROR('Getting Started'!C23,0))),1)),"")</f>
        <v/>
      </c>
      <c r="J27" s="54">
        <f>IFERROR(IF(F27="","",TEXT('Getting Started'!C10+(H27-1)*7,"MMM D")&amp;" – "&amp;TEXT('Getting Started'!C10+I27*7,"MMM D")),"")</f>
        <v/>
      </c>
    </row>
    <row r="28" ht="18" customHeight="1">
      <c r="A28" s="53" t="n">
        <v>6</v>
      </c>
      <c r="B28" s="18" t="n"/>
      <c r="F28" s="55" t="n"/>
      <c r="G28" s="17">
        <f>IFERROR(SUM(F23:F28),"")</f>
        <v/>
      </c>
      <c r="H28" s="17">
        <f>IFERROR(IF(F28="","",FLOOR(G27/((IFERROR(B20,0)+IFERROR(G20,0))/(IFERROR('Getting Started'!C15,0)+IFERROR('Getting Started'!C23,0))),1)+1),"")</f>
        <v/>
      </c>
      <c r="I28" s="17">
        <f>IFERROR(IF(F28="","",CEILING(G28/((IFERROR(B20,0)+IFERROR(G20,0))/(IFERROR('Getting Started'!C15,0)+IFERROR('Getting Started'!C23,0))),1)),"")</f>
        <v/>
      </c>
      <c r="J28" s="54">
        <f>IFERROR(IF(F28="","",TEXT('Getting Started'!C10+(H28-1)*7,"MMM D")&amp;" – "&amp;TEXT('Getting Started'!C10+I28*7,"MMM D")),"")</f>
        <v/>
      </c>
    </row>
    <row r="29" ht="20" customHeight="1">
      <c r="A29" s="56">
        <f>IFERROR(IF('Course Content'!I107="","",'Course Content'!I107),"")</f>
        <v/>
      </c>
    </row>
    <row r="30" ht="8" customHeight="1"/>
    <row r="31" ht="24" customHeight="1">
      <c r="A31" s="44" t="inlineStr">
        <is>
          <t xml:space="preserve">  ENGLISH / LANGUAGE ARTS</t>
        </is>
      </c>
      <c r="E31" s="45">
        <f>IFERROR(IF('Course Content'!E108="","← enter on Course Content tab",'Course Content'!E108),"")</f>
        <v/>
      </c>
    </row>
    <row r="32" ht="22" customHeight="1">
      <c r="B32" s="46">
        <f>'Course Content'!G108</f>
        <v/>
      </c>
      <c r="C32" s="47">
        <f>IFERROR(IF(B32="","",ROUND(B32/'Getting Started'!C15,1)),"")</f>
        <v/>
      </c>
      <c r="D32" s="47">
        <f>IFERROR(IF(C32="","",ROUND(C32/'Getting Started'!C7,1)),"")</f>
        <v/>
      </c>
      <c r="E32" s="48">
        <f>IFERROR(IF(B32="","",TEXT('Getting Started'!C10+(B32/D32),"MMM D, YYYY")),"")</f>
        <v/>
      </c>
      <c r="F32" s="39" t="n"/>
      <c r="G32" s="49">
        <f>'Course Content'!H108</f>
        <v/>
      </c>
      <c r="H32" s="50">
        <f>IFERROR(IF(G32="","",ROUND(G32/'Getting Started'!C23,1)),"")</f>
        <v/>
      </c>
      <c r="I32" s="50">
        <f>IFERROR(IF(H32="","",ROUND(H32/'Getting Started'!C7,1)),"")</f>
        <v/>
      </c>
      <c r="J32" s="51">
        <f>IFERROR(IF(G32="","",TEXT('Getting Started'!C18+(G32/I32),"MMM D, YYYY")),"")</f>
        <v/>
      </c>
    </row>
    <row r="33" ht="16" customHeight="1">
      <c r="A33" s="52" t="inlineStr">
        <is>
          <t xml:space="preserve">  Component Breakdown  (optional — use for multi-volume curricula)</t>
        </is>
      </c>
    </row>
    <row r="34" ht="22" customHeight="1">
      <c r="A34" s="28" t="inlineStr">
        <is>
          <t>#</t>
        </is>
      </c>
      <c r="B34" s="28" t="inlineStr">
        <is>
          <t>Book / Component Title</t>
        </is>
      </c>
      <c r="F34" s="28" t="inlineStr">
        <is>
          <t>Units</t>
        </is>
      </c>
      <c r="G34" s="28" t="inlineStr">
        <is>
          <t>Cumul.</t>
        </is>
      </c>
      <c r="H34" s="28" t="inlineStr">
        <is>
          <t>Start
Week</t>
        </is>
      </c>
      <c r="I34" s="28" t="inlineStr">
        <is>
          <t>End
Week</t>
        </is>
      </c>
      <c r="J34" s="28" t="inlineStr">
        <is>
          <t>Est. Dates</t>
        </is>
      </c>
    </row>
    <row r="35" ht="18" customHeight="1">
      <c r="A35" s="53" t="n">
        <v>1</v>
      </c>
      <c r="B35" s="5" t="n"/>
      <c r="F35" s="32" t="n"/>
      <c r="G35" s="17">
        <f>IFERROR(SUM(F35:F35),"")</f>
        <v/>
      </c>
      <c r="H35" s="17">
        <f>IF(F35="","",1)</f>
        <v/>
      </c>
      <c r="I35" s="17">
        <f>IFERROR(IF(F35="","",CEILING(G35/((IFERROR(B32,0)+IFERROR(G32,0))/(IFERROR('Getting Started'!C15,0)+IFERROR('Getting Started'!C23,0))),1)),"")</f>
        <v/>
      </c>
      <c r="J35" s="54">
        <f>IFERROR(IF(F35="","",TEXT('Getting Started'!C10+(H35-1)*7,"MMM D")&amp;" – "&amp;TEXT('Getting Started'!C10+I35*7,"MMM D")),"")</f>
        <v/>
      </c>
    </row>
    <row r="36" ht="18" customHeight="1">
      <c r="A36" s="53" t="n">
        <v>2</v>
      </c>
      <c r="B36" s="18" t="n"/>
      <c r="F36" s="55" t="n"/>
      <c r="G36" s="17">
        <f>IFERROR(SUM(F35:F36),"")</f>
        <v/>
      </c>
      <c r="H36" s="17">
        <f>IFERROR(IF(F36="","",FLOOR(G35/((IFERROR(B32,0)+IFERROR(G32,0))/(IFERROR('Getting Started'!C15,0)+IFERROR('Getting Started'!C23,0))),1)+1),"")</f>
        <v/>
      </c>
      <c r="I36" s="17">
        <f>IFERROR(IF(F36="","",CEILING(G36/((IFERROR(B32,0)+IFERROR(G32,0))/(IFERROR('Getting Started'!C15,0)+IFERROR('Getting Started'!C23,0))),1)),"")</f>
        <v/>
      </c>
      <c r="J36" s="54">
        <f>IFERROR(IF(F36="","",TEXT('Getting Started'!C10+(H36-1)*7,"MMM D")&amp;" – "&amp;TEXT('Getting Started'!C10+I36*7,"MMM D")),"")</f>
        <v/>
      </c>
    </row>
    <row r="37" ht="18" customHeight="1">
      <c r="A37" s="53" t="n">
        <v>3</v>
      </c>
      <c r="B37" s="5" t="n"/>
      <c r="F37" s="32" t="n"/>
      <c r="G37" s="17">
        <f>IFERROR(SUM(F35:F37),"")</f>
        <v/>
      </c>
      <c r="H37" s="17">
        <f>IFERROR(IF(F37="","",FLOOR(G36/((IFERROR(B32,0)+IFERROR(G32,0))/(IFERROR('Getting Started'!C15,0)+IFERROR('Getting Started'!C23,0))),1)+1),"")</f>
        <v/>
      </c>
      <c r="I37" s="17">
        <f>IFERROR(IF(F37="","",CEILING(G37/((IFERROR(B32,0)+IFERROR(G32,0))/(IFERROR('Getting Started'!C15,0)+IFERROR('Getting Started'!C23,0))),1)),"")</f>
        <v/>
      </c>
      <c r="J37" s="54">
        <f>IFERROR(IF(F37="","",TEXT('Getting Started'!C10+(H37-1)*7,"MMM D")&amp;" – "&amp;TEXT('Getting Started'!C10+I37*7,"MMM D")),"")</f>
        <v/>
      </c>
    </row>
    <row r="38" ht="18" customHeight="1">
      <c r="A38" s="53" t="n">
        <v>4</v>
      </c>
      <c r="B38" s="18" t="n"/>
      <c r="F38" s="55" t="n"/>
      <c r="G38" s="17">
        <f>IFERROR(SUM(F35:F38),"")</f>
        <v/>
      </c>
      <c r="H38" s="17">
        <f>IFERROR(IF(F38="","",FLOOR(G37/((IFERROR(B32,0)+IFERROR(G32,0))/(IFERROR('Getting Started'!C15,0)+IFERROR('Getting Started'!C23,0))),1)+1),"")</f>
        <v/>
      </c>
      <c r="I38" s="17">
        <f>IFERROR(IF(F38="","",CEILING(G38/((IFERROR(B32,0)+IFERROR(G32,0))/(IFERROR('Getting Started'!C15,0)+IFERROR('Getting Started'!C23,0))),1)),"")</f>
        <v/>
      </c>
      <c r="J38" s="54">
        <f>IFERROR(IF(F38="","",TEXT('Getting Started'!C10+(H38-1)*7,"MMM D")&amp;" – "&amp;TEXT('Getting Started'!C10+I38*7,"MMM D")),"")</f>
        <v/>
      </c>
    </row>
    <row r="39" ht="18" customHeight="1">
      <c r="A39" s="53" t="n">
        <v>5</v>
      </c>
      <c r="B39" s="5" t="n"/>
      <c r="F39" s="32" t="n"/>
      <c r="G39" s="17">
        <f>IFERROR(SUM(F35:F39),"")</f>
        <v/>
      </c>
      <c r="H39" s="17">
        <f>IFERROR(IF(F39="","",FLOOR(G38/((IFERROR(B32,0)+IFERROR(G32,0))/(IFERROR('Getting Started'!C15,0)+IFERROR('Getting Started'!C23,0))),1)+1),"")</f>
        <v/>
      </c>
      <c r="I39" s="17">
        <f>IFERROR(IF(F39="","",CEILING(G39/((IFERROR(B32,0)+IFERROR(G32,0))/(IFERROR('Getting Started'!C15,0)+IFERROR('Getting Started'!C23,0))),1)),"")</f>
        <v/>
      </c>
      <c r="J39" s="54">
        <f>IFERROR(IF(F39="","",TEXT('Getting Started'!C10+(H39-1)*7,"MMM D")&amp;" – "&amp;TEXT('Getting Started'!C10+I39*7,"MMM D")),"")</f>
        <v/>
      </c>
    </row>
    <row r="40" ht="18" customHeight="1">
      <c r="A40" s="53" t="n">
        <v>6</v>
      </c>
      <c r="B40" s="18" t="n"/>
      <c r="F40" s="55" t="n"/>
      <c r="G40" s="17">
        <f>IFERROR(SUM(F35:F40),"")</f>
        <v/>
      </c>
      <c r="H40" s="17">
        <f>IFERROR(IF(F40="","",FLOOR(G39/((IFERROR(B32,0)+IFERROR(G32,0))/(IFERROR('Getting Started'!C15,0)+IFERROR('Getting Started'!C23,0))),1)+1),"")</f>
        <v/>
      </c>
      <c r="I40" s="17">
        <f>IFERROR(IF(F40="","",CEILING(G40/((IFERROR(B32,0)+IFERROR(G32,0))/(IFERROR('Getting Started'!C15,0)+IFERROR('Getting Started'!C23,0))),1)),"")</f>
        <v/>
      </c>
      <c r="J40" s="54">
        <f>IFERROR(IF(F40="","",TEXT('Getting Started'!C10+(H40-1)*7,"MMM D")&amp;" – "&amp;TEXT('Getting Started'!C10+I40*7,"MMM D")),"")</f>
        <v/>
      </c>
    </row>
    <row r="41" ht="20" customHeight="1">
      <c r="A41" s="56">
        <f>IFERROR(IF('Course Content'!I108="","",'Course Content'!I108),"")</f>
        <v/>
      </c>
    </row>
    <row r="42" ht="8" customHeight="1"/>
    <row r="43" ht="24" customHeight="1">
      <c r="A43" s="44" t="inlineStr">
        <is>
          <t xml:space="preserve">  READING</t>
        </is>
      </c>
      <c r="E43" s="45">
        <f>IFERROR(IF('Course Content'!E109="","← enter on Course Content tab",'Course Content'!E109),"")</f>
        <v/>
      </c>
    </row>
    <row r="44" ht="22" customHeight="1">
      <c r="B44" s="46">
        <f>'Course Content'!G109</f>
        <v/>
      </c>
      <c r="C44" s="47">
        <f>IFERROR(IF(B44="","",ROUND(B44/'Getting Started'!C15,1)),"")</f>
        <v/>
      </c>
      <c r="D44" s="47">
        <f>IFERROR(IF(C44="","",ROUND(C44/'Getting Started'!C7,1)),"")</f>
        <v/>
      </c>
      <c r="E44" s="48">
        <f>IFERROR(IF(B44="","",TEXT('Getting Started'!C10+(B44/D44),"MMM D, YYYY")),"")</f>
        <v/>
      </c>
      <c r="F44" s="39" t="n"/>
      <c r="G44" s="49">
        <f>'Course Content'!H109</f>
        <v/>
      </c>
      <c r="H44" s="50">
        <f>IFERROR(IF(G44="","",ROUND(G44/'Getting Started'!C23,1)),"")</f>
        <v/>
      </c>
      <c r="I44" s="50">
        <f>IFERROR(IF(H44="","",ROUND(H44/'Getting Started'!C7,1)),"")</f>
        <v/>
      </c>
      <c r="J44" s="51">
        <f>IFERROR(IF(G44="","",TEXT('Getting Started'!C18+(G44/I44),"MMM D, YYYY")),"")</f>
        <v/>
      </c>
    </row>
    <row r="45" ht="16" customHeight="1">
      <c r="A45" s="52" t="inlineStr">
        <is>
          <t xml:space="preserve">  Component Breakdown  (optional — use for multi-volume curricula)</t>
        </is>
      </c>
    </row>
    <row r="46" ht="22" customHeight="1">
      <c r="A46" s="28" t="inlineStr">
        <is>
          <t>#</t>
        </is>
      </c>
      <c r="B46" s="28" t="inlineStr">
        <is>
          <t>Book / Component Title</t>
        </is>
      </c>
      <c r="F46" s="28" t="inlineStr">
        <is>
          <t>Units</t>
        </is>
      </c>
      <c r="G46" s="28" t="inlineStr">
        <is>
          <t>Cumul.</t>
        </is>
      </c>
      <c r="H46" s="28" t="inlineStr">
        <is>
          <t>Start
Week</t>
        </is>
      </c>
      <c r="I46" s="28" t="inlineStr">
        <is>
          <t>End
Week</t>
        </is>
      </c>
      <c r="J46" s="28" t="inlineStr">
        <is>
          <t>Est. Dates</t>
        </is>
      </c>
    </row>
    <row r="47" ht="18" customHeight="1">
      <c r="A47" s="53" t="n">
        <v>1</v>
      </c>
      <c r="B47" s="5" t="n"/>
      <c r="F47" s="32" t="n"/>
      <c r="G47" s="17">
        <f>IFERROR(SUM(F47:F47),"")</f>
        <v/>
      </c>
      <c r="H47" s="17">
        <f>IF(F47="","",1)</f>
        <v/>
      </c>
      <c r="I47" s="17">
        <f>IFERROR(IF(F47="","",CEILING(G47/((IFERROR(B44,0)+IFERROR(G44,0))/(IFERROR('Getting Started'!C15,0)+IFERROR('Getting Started'!C23,0))),1)),"")</f>
        <v/>
      </c>
      <c r="J47" s="54">
        <f>IFERROR(IF(F47="","",TEXT('Getting Started'!C10+(H47-1)*7,"MMM D")&amp;" – "&amp;TEXT('Getting Started'!C10+I47*7,"MMM D")),"")</f>
        <v/>
      </c>
    </row>
    <row r="48" ht="18" customHeight="1">
      <c r="A48" s="53" t="n">
        <v>2</v>
      </c>
      <c r="B48" s="18" t="n"/>
      <c r="F48" s="55" t="n"/>
      <c r="G48" s="17">
        <f>IFERROR(SUM(F47:F48),"")</f>
        <v/>
      </c>
      <c r="H48" s="17">
        <f>IFERROR(IF(F48="","",FLOOR(G47/((IFERROR(B44,0)+IFERROR(G44,0))/(IFERROR('Getting Started'!C15,0)+IFERROR('Getting Started'!C23,0))),1)+1),"")</f>
        <v/>
      </c>
      <c r="I48" s="17">
        <f>IFERROR(IF(F48="","",CEILING(G48/((IFERROR(B44,0)+IFERROR(G44,0))/(IFERROR('Getting Started'!C15,0)+IFERROR('Getting Started'!C23,0))),1)),"")</f>
        <v/>
      </c>
      <c r="J48" s="54">
        <f>IFERROR(IF(F48="","",TEXT('Getting Started'!C10+(H48-1)*7,"MMM D")&amp;" – "&amp;TEXT('Getting Started'!C10+I48*7,"MMM D")),"")</f>
        <v/>
      </c>
    </row>
    <row r="49" ht="18" customHeight="1">
      <c r="A49" s="53" t="n">
        <v>3</v>
      </c>
      <c r="B49" s="5" t="n"/>
      <c r="F49" s="32" t="n"/>
      <c r="G49" s="17">
        <f>IFERROR(SUM(F47:F49),"")</f>
        <v/>
      </c>
      <c r="H49" s="17">
        <f>IFERROR(IF(F49="","",FLOOR(G48/((IFERROR(B44,0)+IFERROR(G44,0))/(IFERROR('Getting Started'!C15,0)+IFERROR('Getting Started'!C23,0))),1)+1),"")</f>
        <v/>
      </c>
      <c r="I49" s="17">
        <f>IFERROR(IF(F49="","",CEILING(G49/((IFERROR(B44,0)+IFERROR(G44,0))/(IFERROR('Getting Started'!C15,0)+IFERROR('Getting Started'!C23,0))),1)),"")</f>
        <v/>
      </c>
      <c r="J49" s="54">
        <f>IFERROR(IF(F49="","",TEXT('Getting Started'!C10+(H49-1)*7,"MMM D")&amp;" – "&amp;TEXT('Getting Started'!C10+I49*7,"MMM D")),"")</f>
        <v/>
      </c>
    </row>
    <row r="50" ht="18" customHeight="1">
      <c r="A50" s="53" t="n">
        <v>4</v>
      </c>
      <c r="B50" s="18" t="n"/>
      <c r="F50" s="55" t="n"/>
      <c r="G50" s="17">
        <f>IFERROR(SUM(F47:F50),"")</f>
        <v/>
      </c>
      <c r="H50" s="17">
        <f>IFERROR(IF(F50="","",FLOOR(G49/((IFERROR(B44,0)+IFERROR(G44,0))/(IFERROR('Getting Started'!C15,0)+IFERROR('Getting Started'!C23,0))),1)+1),"")</f>
        <v/>
      </c>
      <c r="I50" s="17">
        <f>IFERROR(IF(F50="","",CEILING(G50/((IFERROR(B44,0)+IFERROR(G44,0))/(IFERROR('Getting Started'!C15,0)+IFERROR('Getting Started'!C23,0))),1)),"")</f>
        <v/>
      </c>
      <c r="J50" s="54">
        <f>IFERROR(IF(F50="","",TEXT('Getting Started'!C10+(H50-1)*7,"MMM D")&amp;" – "&amp;TEXT('Getting Started'!C10+I50*7,"MMM D")),"")</f>
        <v/>
      </c>
    </row>
    <row r="51" ht="18" customHeight="1">
      <c r="A51" s="53" t="n">
        <v>5</v>
      </c>
      <c r="B51" s="5" t="n"/>
      <c r="F51" s="32" t="n"/>
      <c r="G51" s="17">
        <f>IFERROR(SUM(F47:F51),"")</f>
        <v/>
      </c>
      <c r="H51" s="17">
        <f>IFERROR(IF(F51="","",FLOOR(G50/((IFERROR(B44,0)+IFERROR(G44,0))/(IFERROR('Getting Started'!C15,0)+IFERROR('Getting Started'!C23,0))),1)+1),"")</f>
        <v/>
      </c>
      <c r="I51" s="17">
        <f>IFERROR(IF(F51="","",CEILING(G51/((IFERROR(B44,0)+IFERROR(G44,0))/(IFERROR('Getting Started'!C15,0)+IFERROR('Getting Started'!C23,0))),1)),"")</f>
        <v/>
      </c>
      <c r="J51" s="54">
        <f>IFERROR(IF(F51="","",TEXT('Getting Started'!C10+(H51-1)*7,"MMM D")&amp;" – "&amp;TEXT('Getting Started'!C10+I51*7,"MMM D")),"")</f>
        <v/>
      </c>
    </row>
    <row r="52" ht="18" customHeight="1">
      <c r="A52" s="53" t="n">
        <v>6</v>
      </c>
      <c r="B52" s="18" t="n"/>
      <c r="F52" s="55" t="n"/>
      <c r="G52" s="17">
        <f>IFERROR(SUM(F47:F52),"")</f>
        <v/>
      </c>
      <c r="H52" s="17">
        <f>IFERROR(IF(F52="","",FLOOR(G51/((IFERROR(B44,0)+IFERROR(G44,0))/(IFERROR('Getting Started'!C15,0)+IFERROR('Getting Started'!C23,0))),1)+1),"")</f>
        <v/>
      </c>
      <c r="I52" s="17">
        <f>IFERROR(IF(F52="","",CEILING(G52/((IFERROR(B44,0)+IFERROR(G44,0))/(IFERROR('Getting Started'!C15,0)+IFERROR('Getting Started'!C23,0))),1)),"")</f>
        <v/>
      </c>
      <c r="J52" s="54">
        <f>IFERROR(IF(F52="","",TEXT('Getting Started'!C10+(H52-1)*7,"MMM D")&amp;" – "&amp;TEXT('Getting Started'!C10+I52*7,"MMM D")),"")</f>
        <v/>
      </c>
    </row>
    <row r="53" ht="20" customHeight="1">
      <c r="A53" s="56">
        <f>IFERROR(IF('Course Content'!I109="","",'Course Content'!I109),"")</f>
        <v/>
      </c>
    </row>
    <row r="54" ht="8" customHeight="1"/>
    <row r="55" ht="24" customHeight="1">
      <c r="A55" s="44" t="inlineStr">
        <is>
          <t xml:space="preserve">  WRITING / COMPOSITION</t>
        </is>
      </c>
      <c r="E55" s="45">
        <f>IFERROR(IF('Course Content'!E110="","← enter on Course Content tab",'Course Content'!E110),"")</f>
        <v/>
      </c>
    </row>
    <row r="56" ht="22" customHeight="1">
      <c r="B56" s="46">
        <f>'Course Content'!G110</f>
        <v/>
      </c>
      <c r="C56" s="47">
        <f>IFERROR(IF(B56="","",ROUND(B56/'Getting Started'!C15,1)),"")</f>
        <v/>
      </c>
      <c r="D56" s="47">
        <f>IFERROR(IF(C56="","",ROUND(C56/'Getting Started'!C7,1)),"")</f>
        <v/>
      </c>
      <c r="E56" s="48">
        <f>IFERROR(IF(B56="","",TEXT('Getting Started'!C10+(B56/D56),"MMM D, YYYY")),"")</f>
        <v/>
      </c>
      <c r="F56" s="39" t="n"/>
      <c r="G56" s="49">
        <f>'Course Content'!H110</f>
        <v/>
      </c>
      <c r="H56" s="50">
        <f>IFERROR(IF(G56="","",ROUND(G56/'Getting Started'!C23,1)),"")</f>
        <v/>
      </c>
      <c r="I56" s="50">
        <f>IFERROR(IF(H56="","",ROUND(H56/'Getting Started'!C7,1)),"")</f>
        <v/>
      </c>
      <c r="J56" s="51">
        <f>IFERROR(IF(G56="","",TEXT('Getting Started'!C18+(G56/I56),"MMM D, YYYY")),"")</f>
        <v/>
      </c>
    </row>
    <row r="57" ht="16" customHeight="1">
      <c r="A57" s="52" t="inlineStr">
        <is>
          <t xml:space="preserve">  Component Breakdown  (optional — use for multi-volume curricula)</t>
        </is>
      </c>
    </row>
    <row r="58" ht="22" customHeight="1">
      <c r="A58" s="28" t="inlineStr">
        <is>
          <t>#</t>
        </is>
      </c>
      <c r="B58" s="28" t="inlineStr">
        <is>
          <t>Book / Component Title</t>
        </is>
      </c>
      <c r="F58" s="28" t="inlineStr">
        <is>
          <t>Units</t>
        </is>
      </c>
      <c r="G58" s="28" t="inlineStr">
        <is>
          <t>Cumul.</t>
        </is>
      </c>
      <c r="H58" s="28" t="inlineStr">
        <is>
          <t>Start
Week</t>
        </is>
      </c>
      <c r="I58" s="28" t="inlineStr">
        <is>
          <t>End
Week</t>
        </is>
      </c>
      <c r="J58" s="28" t="inlineStr">
        <is>
          <t>Est. Dates</t>
        </is>
      </c>
    </row>
    <row r="59" ht="18" customHeight="1">
      <c r="A59" s="53" t="n">
        <v>1</v>
      </c>
      <c r="B59" s="5" t="n"/>
      <c r="F59" s="32" t="n"/>
      <c r="G59" s="17">
        <f>IFERROR(SUM(F59:F59),"")</f>
        <v/>
      </c>
      <c r="H59" s="17">
        <f>IF(F59="","",1)</f>
        <v/>
      </c>
      <c r="I59" s="17">
        <f>IFERROR(IF(F59="","",CEILING(G59/((IFERROR(B56,0)+IFERROR(G56,0))/(IFERROR('Getting Started'!C15,0)+IFERROR('Getting Started'!C23,0))),1)),"")</f>
        <v/>
      </c>
      <c r="J59" s="54">
        <f>IFERROR(IF(F59="","",TEXT('Getting Started'!C10+(H59-1)*7,"MMM D")&amp;" – "&amp;TEXT('Getting Started'!C10+I59*7,"MMM D")),"")</f>
        <v/>
      </c>
    </row>
    <row r="60" ht="18" customHeight="1">
      <c r="A60" s="53" t="n">
        <v>2</v>
      </c>
      <c r="B60" s="18" t="n"/>
      <c r="F60" s="55" t="n"/>
      <c r="G60" s="17">
        <f>IFERROR(SUM(F59:F60),"")</f>
        <v/>
      </c>
      <c r="H60" s="17">
        <f>IFERROR(IF(F60="","",FLOOR(G59/((IFERROR(B56,0)+IFERROR(G56,0))/(IFERROR('Getting Started'!C15,0)+IFERROR('Getting Started'!C23,0))),1)+1),"")</f>
        <v/>
      </c>
      <c r="I60" s="17">
        <f>IFERROR(IF(F60="","",CEILING(G60/((IFERROR(B56,0)+IFERROR(G56,0))/(IFERROR('Getting Started'!C15,0)+IFERROR('Getting Started'!C23,0))),1)),"")</f>
        <v/>
      </c>
      <c r="J60" s="54">
        <f>IFERROR(IF(F60="","",TEXT('Getting Started'!C10+(H60-1)*7,"MMM D")&amp;" – "&amp;TEXT('Getting Started'!C10+I60*7,"MMM D")),"")</f>
        <v/>
      </c>
    </row>
    <row r="61" ht="18" customHeight="1">
      <c r="A61" s="53" t="n">
        <v>3</v>
      </c>
      <c r="B61" s="5" t="n"/>
      <c r="F61" s="32" t="n"/>
      <c r="G61" s="17">
        <f>IFERROR(SUM(F59:F61),"")</f>
        <v/>
      </c>
      <c r="H61" s="17">
        <f>IFERROR(IF(F61="","",FLOOR(G60/((IFERROR(B56,0)+IFERROR(G56,0))/(IFERROR('Getting Started'!C15,0)+IFERROR('Getting Started'!C23,0))),1)+1),"")</f>
        <v/>
      </c>
      <c r="I61" s="17">
        <f>IFERROR(IF(F61="","",CEILING(G61/((IFERROR(B56,0)+IFERROR(G56,0))/(IFERROR('Getting Started'!C15,0)+IFERROR('Getting Started'!C23,0))),1)),"")</f>
        <v/>
      </c>
      <c r="J61" s="54">
        <f>IFERROR(IF(F61="","",TEXT('Getting Started'!C10+(H61-1)*7,"MMM D")&amp;" – "&amp;TEXT('Getting Started'!C10+I61*7,"MMM D")),"")</f>
        <v/>
      </c>
    </row>
    <row r="62" ht="18" customHeight="1">
      <c r="A62" s="53" t="n">
        <v>4</v>
      </c>
      <c r="B62" s="18" t="n"/>
      <c r="F62" s="55" t="n"/>
      <c r="G62" s="17">
        <f>IFERROR(SUM(F59:F62),"")</f>
        <v/>
      </c>
      <c r="H62" s="17">
        <f>IFERROR(IF(F62="","",FLOOR(G61/((IFERROR(B56,0)+IFERROR(G56,0))/(IFERROR('Getting Started'!C15,0)+IFERROR('Getting Started'!C23,0))),1)+1),"")</f>
        <v/>
      </c>
      <c r="I62" s="17">
        <f>IFERROR(IF(F62="","",CEILING(G62/((IFERROR(B56,0)+IFERROR(G56,0))/(IFERROR('Getting Started'!C15,0)+IFERROR('Getting Started'!C23,0))),1)),"")</f>
        <v/>
      </c>
      <c r="J62" s="54">
        <f>IFERROR(IF(F62="","",TEXT('Getting Started'!C10+(H62-1)*7,"MMM D")&amp;" – "&amp;TEXT('Getting Started'!C10+I62*7,"MMM D")),"")</f>
        <v/>
      </c>
    </row>
    <row r="63" ht="18" customHeight="1">
      <c r="A63" s="53" t="n">
        <v>5</v>
      </c>
      <c r="B63" s="5" t="n"/>
      <c r="F63" s="32" t="n"/>
      <c r="G63" s="17">
        <f>IFERROR(SUM(F59:F63),"")</f>
        <v/>
      </c>
      <c r="H63" s="17">
        <f>IFERROR(IF(F63="","",FLOOR(G62/((IFERROR(B56,0)+IFERROR(G56,0))/(IFERROR('Getting Started'!C15,0)+IFERROR('Getting Started'!C23,0))),1)+1),"")</f>
        <v/>
      </c>
      <c r="I63" s="17">
        <f>IFERROR(IF(F63="","",CEILING(G63/((IFERROR(B56,0)+IFERROR(G56,0))/(IFERROR('Getting Started'!C15,0)+IFERROR('Getting Started'!C23,0))),1)),"")</f>
        <v/>
      </c>
      <c r="J63" s="54">
        <f>IFERROR(IF(F63="","",TEXT('Getting Started'!C10+(H63-1)*7,"MMM D")&amp;" – "&amp;TEXT('Getting Started'!C10+I63*7,"MMM D")),"")</f>
        <v/>
      </c>
    </row>
    <row r="64" ht="18" customHeight="1">
      <c r="A64" s="53" t="n">
        <v>6</v>
      </c>
      <c r="B64" s="18" t="n"/>
      <c r="F64" s="55" t="n"/>
      <c r="G64" s="17">
        <f>IFERROR(SUM(F59:F64),"")</f>
        <v/>
      </c>
      <c r="H64" s="17">
        <f>IFERROR(IF(F64="","",FLOOR(G63/((IFERROR(B56,0)+IFERROR(G56,0))/(IFERROR('Getting Started'!C15,0)+IFERROR('Getting Started'!C23,0))),1)+1),"")</f>
        <v/>
      </c>
      <c r="I64" s="17">
        <f>IFERROR(IF(F64="","",CEILING(G64/((IFERROR(B56,0)+IFERROR(G56,0))/(IFERROR('Getting Started'!C15,0)+IFERROR('Getting Started'!C23,0))),1)),"")</f>
        <v/>
      </c>
      <c r="J64" s="54">
        <f>IFERROR(IF(F64="","",TEXT('Getting Started'!C10+(H64-1)*7,"MMM D")&amp;" – "&amp;TEXT('Getting Started'!C10+I64*7,"MMM D")),"")</f>
        <v/>
      </c>
    </row>
    <row r="65" ht="20" customHeight="1">
      <c r="A65" s="56">
        <f>IFERROR(IF('Course Content'!I110="","",'Course Content'!I110),"")</f>
        <v/>
      </c>
    </row>
    <row r="66" ht="8" customHeight="1"/>
    <row r="67" ht="24" customHeight="1">
      <c r="A67" s="44" t="inlineStr">
        <is>
          <t xml:space="preserve">  SCIENCE</t>
        </is>
      </c>
      <c r="E67" s="45">
        <f>IFERROR(IF('Course Content'!E111="","← enter on Course Content tab",'Course Content'!E111),"")</f>
        <v/>
      </c>
    </row>
    <row r="68" ht="22" customHeight="1">
      <c r="B68" s="46">
        <f>'Course Content'!G111</f>
        <v/>
      </c>
      <c r="C68" s="47">
        <f>IFERROR(IF(B68="","",ROUND(B68/'Getting Started'!C15,1)),"")</f>
        <v/>
      </c>
      <c r="D68" s="47">
        <f>IFERROR(IF(C68="","",ROUND(C68/'Getting Started'!C7,1)),"")</f>
        <v/>
      </c>
      <c r="E68" s="48">
        <f>IFERROR(IF(B68="","",TEXT('Getting Started'!C10+(B68/D68),"MMM D, YYYY")),"")</f>
        <v/>
      </c>
      <c r="F68" s="39" t="n"/>
      <c r="G68" s="49">
        <f>'Course Content'!H111</f>
        <v/>
      </c>
      <c r="H68" s="50">
        <f>IFERROR(IF(G68="","",ROUND(G68/'Getting Started'!C23,1)),"")</f>
        <v/>
      </c>
      <c r="I68" s="50">
        <f>IFERROR(IF(H68="","",ROUND(H68/'Getting Started'!C7,1)),"")</f>
        <v/>
      </c>
      <c r="J68" s="51">
        <f>IFERROR(IF(G68="","",TEXT('Getting Started'!C18+(G68/I68),"MMM D, YYYY")),"")</f>
        <v/>
      </c>
    </row>
    <row r="69" ht="16" customHeight="1">
      <c r="A69" s="52" t="inlineStr">
        <is>
          <t xml:space="preserve">  Component Breakdown  (optional — use for multi-volume curricula)</t>
        </is>
      </c>
    </row>
    <row r="70" ht="22" customHeight="1">
      <c r="A70" s="28" t="inlineStr">
        <is>
          <t>#</t>
        </is>
      </c>
      <c r="B70" s="28" t="inlineStr">
        <is>
          <t>Book / Component Title</t>
        </is>
      </c>
      <c r="F70" s="28" t="inlineStr">
        <is>
          <t>Units</t>
        </is>
      </c>
      <c r="G70" s="28" t="inlineStr">
        <is>
          <t>Cumul.</t>
        </is>
      </c>
      <c r="H70" s="28" t="inlineStr">
        <is>
          <t>Start
Week</t>
        </is>
      </c>
      <c r="I70" s="28" t="inlineStr">
        <is>
          <t>End
Week</t>
        </is>
      </c>
      <c r="J70" s="28" t="inlineStr">
        <is>
          <t>Est. Dates</t>
        </is>
      </c>
    </row>
    <row r="71" ht="18" customHeight="1">
      <c r="A71" s="53" t="n">
        <v>1</v>
      </c>
      <c r="B71" s="5" t="n"/>
      <c r="F71" s="32" t="n"/>
      <c r="G71" s="17">
        <f>IFERROR(SUM(F71:F71),"")</f>
        <v/>
      </c>
      <c r="H71" s="17">
        <f>IF(F71="","",1)</f>
        <v/>
      </c>
      <c r="I71" s="17">
        <f>IFERROR(IF(F71="","",CEILING(G71/((IFERROR(B68,0)+IFERROR(G68,0))/(IFERROR('Getting Started'!C15,0)+IFERROR('Getting Started'!C23,0))),1)),"")</f>
        <v/>
      </c>
      <c r="J71" s="54">
        <f>IFERROR(IF(F71="","",TEXT('Getting Started'!C10+(H71-1)*7,"MMM D")&amp;" – "&amp;TEXT('Getting Started'!C10+I71*7,"MMM D")),"")</f>
        <v/>
      </c>
    </row>
    <row r="72" ht="18" customHeight="1">
      <c r="A72" s="53" t="n">
        <v>2</v>
      </c>
      <c r="B72" s="18" t="n"/>
      <c r="F72" s="55" t="n"/>
      <c r="G72" s="17">
        <f>IFERROR(SUM(F71:F72),"")</f>
        <v/>
      </c>
      <c r="H72" s="17">
        <f>IFERROR(IF(F72="","",FLOOR(G71/((IFERROR(B68,0)+IFERROR(G68,0))/(IFERROR('Getting Started'!C15,0)+IFERROR('Getting Started'!C23,0))),1)+1),"")</f>
        <v/>
      </c>
      <c r="I72" s="17">
        <f>IFERROR(IF(F72="","",CEILING(G72/((IFERROR(B68,0)+IFERROR(G68,0))/(IFERROR('Getting Started'!C15,0)+IFERROR('Getting Started'!C23,0))),1)),"")</f>
        <v/>
      </c>
      <c r="J72" s="54">
        <f>IFERROR(IF(F72="","",TEXT('Getting Started'!C10+(H72-1)*7,"MMM D")&amp;" – "&amp;TEXT('Getting Started'!C10+I72*7,"MMM D")),"")</f>
        <v/>
      </c>
    </row>
    <row r="73" ht="18" customHeight="1">
      <c r="A73" s="53" t="n">
        <v>3</v>
      </c>
      <c r="B73" s="5" t="n"/>
      <c r="F73" s="32" t="n"/>
      <c r="G73" s="17">
        <f>IFERROR(SUM(F71:F73),"")</f>
        <v/>
      </c>
      <c r="H73" s="17">
        <f>IFERROR(IF(F73="","",FLOOR(G72/((IFERROR(B68,0)+IFERROR(G68,0))/(IFERROR('Getting Started'!C15,0)+IFERROR('Getting Started'!C23,0))),1)+1),"")</f>
        <v/>
      </c>
      <c r="I73" s="17">
        <f>IFERROR(IF(F73="","",CEILING(G73/((IFERROR(B68,0)+IFERROR(G68,0))/(IFERROR('Getting Started'!C15,0)+IFERROR('Getting Started'!C23,0))),1)),"")</f>
        <v/>
      </c>
      <c r="J73" s="54">
        <f>IFERROR(IF(F73="","",TEXT('Getting Started'!C10+(H73-1)*7,"MMM D")&amp;" – "&amp;TEXT('Getting Started'!C10+I73*7,"MMM D")),"")</f>
        <v/>
      </c>
    </row>
    <row r="74" ht="18" customHeight="1">
      <c r="A74" s="53" t="n">
        <v>4</v>
      </c>
      <c r="B74" s="18" t="n"/>
      <c r="F74" s="55" t="n"/>
      <c r="G74" s="17">
        <f>IFERROR(SUM(F71:F74),"")</f>
        <v/>
      </c>
      <c r="H74" s="17">
        <f>IFERROR(IF(F74="","",FLOOR(G73/((IFERROR(B68,0)+IFERROR(G68,0))/(IFERROR('Getting Started'!C15,0)+IFERROR('Getting Started'!C23,0))),1)+1),"")</f>
        <v/>
      </c>
      <c r="I74" s="17">
        <f>IFERROR(IF(F74="","",CEILING(G74/((IFERROR(B68,0)+IFERROR(G68,0))/(IFERROR('Getting Started'!C15,0)+IFERROR('Getting Started'!C23,0))),1)),"")</f>
        <v/>
      </c>
      <c r="J74" s="54">
        <f>IFERROR(IF(F74="","",TEXT('Getting Started'!C10+(H74-1)*7,"MMM D")&amp;" – "&amp;TEXT('Getting Started'!C10+I74*7,"MMM D")),"")</f>
        <v/>
      </c>
    </row>
    <row r="75" ht="18" customHeight="1">
      <c r="A75" s="53" t="n">
        <v>5</v>
      </c>
      <c r="B75" s="5" t="n"/>
      <c r="F75" s="32" t="n"/>
      <c r="G75" s="17">
        <f>IFERROR(SUM(F71:F75),"")</f>
        <v/>
      </c>
      <c r="H75" s="17">
        <f>IFERROR(IF(F75="","",FLOOR(G74/((IFERROR(B68,0)+IFERROR(G68,0))/(IFERROR('Getting Started'!C15,0)+IFERROR('Getting Started'!C23,0))),1)+1),"")</f>
        <v/>
      </c>
      <c r="I75" s="17">
        <f>IFERROR(IF(F75="","",CEILING(G75/((IFERROR(B68,0)+IFERROR(G68,0))/(IFERROR('Getting Started'!C15,0)+IFERROR('Getting Started'!C23,0))),1)),"")</f>
        <v/>
      </c>
      <c r="J75" s="54">
        <f>IFERROR(IF(F75="","",TEXT('Getting Started'!C10+(H75-1)*7,"MMM D")&amp;" – "&amp;TEXT('Getting Started'!C10+I75*7,"MMM D")),"")</f>
        <v/>
      </c>
    </row>
    <row r="76" ht="18" customHeight="1">
      <c r="A76" s="53" t="n">
        <v>6</v>
      </c>
      <c r="B76" s="18" t="n"/>
      <c r="F76" s="55" t="n"/>
      <c r="G76" s="17">
        <f>IFERROR(SUM(F71:F76),"")</f>
        <v/>
      </c>
      <c r="H76" s="17">
        <f>IFERROR(IF(F76="","",FLOOR(G75/((IFERROR(B68,0)+IFERROR(G68,0))/(IFERROR('Getting Started'!C15,0)+IFERROR('Getting Started'!C23,0))),1)+1),"")</f>
        <v/>
      </c>
      <c r="I76" s="17">
        <f>IFERROR(IF(F76="","",CEILING(G76/((IFERROR(B68,0)+IFERROR(G68,0))/(IFERROR('Getting Started'!C15,0)+IFERROR('Getting Started'!C23,0))),1)),"")</f>
        <v/>
      </c>
      <c r="J76" s="54">
        <f>IFERROR(IF(F76="","",TEXT('Getting Started'!C10+(H76-1)*7,"MMM D")&amp;" – "&amp;TEXT('Getting Started'!C10+I76*7,"MMM D")),"")</f>
        <v/>
      </c>
    </row>
    <row r="77" ht="20" customHeight="1">
      <c r="A77" s="56">
        <f>IFERROR(IF('Course Content'!I111="","",'Course Content'!I111),"")</f>
        <v/>
      </c>
    </row>
    <row r="78" ht="8" customHeight="1"/>
    <row r="79" ht="24" customHeight="1">
      <c r="A79" s="44" t="inlineStr">
        <is>
          <t xml:space="preserve">  SOCIAL STUDIES / HISTORY</t>
        </is>
      </c>
      <c r="E79" s="45">
        <f>IFERROR(IF('Course Content'!E112="","← enter on Course Content tab",'Course Content'!E112),"")</f>
        <v/>
      </c>
    </row>
    <row r="80" ht="22" customHeight="1">
      <c r="B80" s="46">
        <f>'Course Content'!G112</f>
        <v/>
      </c>
      <c r="C80" s="47">
        <f>IFERROR(IF(B80="","",ROUND(B80/'Getting Started'!C15,1)),"")</f>
        <v/>
      </c>
      <c r="D80" s="47">
        <f>IFERROR(IF(C80="","",ROUND(C80/'Getting Started'!C7,1)),"")</f>
        <v/>
      </c>
      <c r="E80" s="48">
        <f>IFERROR(IF(B80="","",TEXT('Getting Started'!C10+(B80/D80),"MMM D, YYYY")),"")</f>
        <v/>
      </c>
      <c r="F80" s="39" t="n"/>
      <c r="G80" s="49">
        <f>'Course Content'!H112</f>
        <v/>
      </c>
      <c r="H80" s="50">
        <f>IFERROR(IF(G80="","",ROUND(G80/'Getting Started'!C23,1)),"")</f>
        <v/>
      </c>
      <c r="I80" s="50">
        <f>IFERROR(IF(H80="","",ROUND(H80/'Getting Started'!C7,1)),"")</f>
        <v/>
      </c>
      <c r="J80" s="51">
        <f>IFERROR(IF(G80="","",TEXT('Getting Started'!C18+(G80/I80),"MMM D, YYYY")),"")</f>
        <v/>
      </c>
    </row>
    <row r="81" ht="16" customHeight="1">
      <c r="A81" s="52" t="inlineStr">
        <is>
          <t xml:space="preserve">  Component Breakdown  (optional — use for multi-volume curricula)</t>
        </is>
      </c>
    </row>
    <row r="82" ht="22" customHeight="1">
      <c r="A82" s="28" t="inlineStr">
        <is>
          <t>#</t>
        </is>
      </c>
      <c r="B82" s="28" t="inlineStr">
        <is>
          <t>Book / Component Title</t>
        </is>
      </c>
      <c r="F82" s="28" t="inlineStr">
        <is>
          <t>Units</t>
        </is>
      </c>
      <c r="G82" s="28" t="inlineStr">
        <is>
          <t>Cumul.</t>
        </is>
      </c>
      <c r="H82" s="28" t="inlineStr">
        <is>
          <t>Start
Week</t>
        </is>
      </c>
      <c r="I82" s="28" t="inlineStr">
        <is>
          <t>End
Week</t>
        </is>
      </c>
      <c r="J82" s="28" t="inlineStr">
        <is>
          <t>Est. Dates</t>
        </is>
      </c>
    </row>
    <row r="83" ht="18" customHeight="1">
      <c r="A83" s="53" t="n">
        <v>1</v>
      </c>
      <c r="B83" s="5" t="n"/>
      <c r="F83" s="32" t="n"/>
      <c r="G83" s="17">
        <f>IFERROR(SUM(F83:F83),"")</f>
        <v/>
      </c>
      <c r="H83" s="17">
        <f>IF(F83="","",1)</f>
        <v/>
      </c>
      <c r="I83" s="17">
        <f>IFERROR(IF(F83="","",CEILING(G83/((IFERROR(B80,0)+IFERROR(G80,0))/(IFERROR('Getting Started'!C15,0)+IFERROR('Getting Started'!C23,0))),1)),"")</f>
        <v/>
      </c>
      <c r="J83" s="54">
        <f>IFERROR(IF(F83="","",TEXT('Getting Started'!C10+(H83-1)*7,"MMM D")&amp;" – "&amp;TEXT('Getting Started'!C10+I83*7,"MMM D")),"")</f>
        <v/>
      </c>
    </row>
    <row r="84" ht="18" customHeight="1">
      <c r="A84" s="53" t="n">
        <v>2</v>
      </c>
      <c r="B84" s="18" t="n"/>
      <c r="F84" s="55" t="n"/>
      <c r="G84" s="17">
        <f>IFERROR(SUM(F83:F84),"")</f>
        <v/>
      </c>
      <c r="H84" s="17">
        <f>IFERROR(IF(F84="","",FLOOR(G83/((IFERROR(B80,0)+IFERROR(G80,0))/(IFERROR('Getting Started'!C15,0)+IFERROR('Getting Started'!C23,0))),1)+1),"")</f>
        <v/>
      </c>
      <c r="I84" s="17">
        <f>IFERROR(IF(F84="","",CEILING(G84/((IFERROR(B80,0)+IFERROR(G80,0))/(IFERROR('Getting Started'!C15,0)+IFERROR('Getting Started'!C23,0))),1)),"")</f>
        <v/>
      </c>
      <c r="J84" s="54">
        <f>IFERROR(IF(F84="","",TEXT('Getting Started'!C10+(H84-1)*7,"MMM D")&amp;" – "&amp;TEXT('Getting Started'!C10+I84*7,"MMM D")),"")</f>
        <v/>
      </c>
    </row>
    <row r="85" ht="18" customHeight="1">
      <c r="A85" s="53" t="n">
        <v>3</v>
      </c>
      <c r="B85" s="5" t="n"/>
      <c r="F85" s="32" t="n"/>
      <c r="G85" s="17">
        <f>IFERROR(SUM(F83:F85),"")</f>
        <v/>
      </c>
      <c r="H85" s="17">
        <f>IFERROR(IF(F85="","",FLOOR(G84/((IFERROR(B80,0)+IFERROR(G80,0))/(IFERROR('Getting Started'!C15,0)+IFERROR('Getting Started'!C23,0))),1)+1),"")</f>
        <v/>
      </c>
      <c r="I85" s="17">
        <f>IFERROR(IF(F85="","",CEILING(G85/((IFERROR(B80,0)+IFERROR(G80,0))/(IFERROR('Getting Started'!C15,0)+IFERROR('Getting Started'!C23,0))),1)),"")</f>
        <v/>
      </c>
      <c r="J85" s="54">
        <f>IFERROR(IF(F85="","",TEXT('Getting Started'!C10+(H85-1)*7,"MMM D")&amp;" – "&amp;TEXT('Getting Started'!C10+I85*7,"MMM D")),"")</f>
        <v/>
      </c>
    </row>
    <row r="86" ht="18" customHeight="1">
      <c r="A86" s="53" t="n">
        <v>4</v>
      </c>
      <c r="B86" s="18" t="n"/>
      <c r="F86" s="55" t="n"/>
      <c r="G86" s="17">
        <f>IFERROR(SUM(F83:F86),"")</f>
        <v/>
      </c>
      <c r="H86" s="17">
        <f>IFERROR(IF(F86="","",FLOOR(G85/((IFERROR(B80,0)+IFERROR(G80,0))/(IFERROR('Getting Started'!C15,0)+IFERROR('Getting Started'!C23,0))),1)+1),"")</f>
        <v/>
      </c>
      <c r="I86" s="17">
        <f>IFERROR(IF(F86="","",CEILING(G86/((IFERROR(B80,0)+IFERROR(G80,0))/(IFERROR('Getting Started'!C15,0)+IFERROR('Getting Started'!C23,0))),1)),"")</f>
        <v/>
      </c>
      <c r="J86" s="54">
        <f>IFERROR(IF(F86="","",TEXT('Getting Started'!C10+(H86-1)*7,"MMM D")&amp;" – "&amp;TEXT('Getting Started'!C10+I86*7,"MMM D")),"")</f>
        <v/>
      </c>
    </row>
    <row r="87" ht="18" customHeight="1">
      <c r="A87" s="53" t="n">
        <v>5</v>
      </c>
      <c r="B87" s="5" t="n"/>
      <c r="F87" s="32" t="n"/>
      <c r="G87" s="17">
        <f>IFERROR(SUM(F83:F87),"")</f>
        <v/>
      </c>
      <c r="H87" s="17">
        <f>IFERROR(IF(F87="","",FLOOR(G86/((IFERROR(B80,0)+IFERROR(G80,0))/(IFERROR('Getting Started'!C15,0)+IFERROR('Getting Started'!C23,0))),1)+1),"")</f>
        <v/>
      </c>
      <c r="I87" s="17">
        <f>IFERROR(IF(F87="","",CEILING(G87/((IFERROR(B80,0)+IFERROR(G80,0))/(IFERROR('Getting Started'!C15,0)+IFERROR('Getting Started'!C23,0))),1)),"")</f>
        <v/>
      </c>
      <c r="J87" s="54">
        <f>IFERROR(IF(F87="","",TEXT('Getting Started'!C10+(H87-1)*7,"MMM D")&amp;" – "&amp;TEXT('Getting Started'!C10+I87*7,"MMM D")),"")</f>
        <v/>
      </c>
    </row>
    <row r="88" ht="18" customHeight="1">
      <c r="A88" s="53" t="n">
        <v>6</v>
      </c>
      <c r="B88" s="18" t="n"/>
      <c r="F88" s="55" t="n"/>
      <c r="G88" s="17">
        <f>IFERROR(SUM(F83:F88),"")</f>
        <v/>
      </c>
      <c r="H88" s="17">
        <f>IFERROR(IF(F88="","",FLOOR(G87/((IFERROR(B80,0)+IFERROR(G80,0))/(IFERROR('Getting Started'!C15,0)+IFERROR('Getting Started'!C23,0))),1)+1),"")</f>
        <v/>
      </c>
      <c r="I88" s="17">
        <f>IFERROR(IF(F88="","",CEILING(G88/((IFERROR(B80,0)+IFERROR(G80,0))/(IFERROR('Getting Started'!C15,0)+IFERROR('Getting Started'!C23,0))),1)),"")</f>
        <v/>
      </c>
      <c r="J88" s="54">
        <f>IFERROR(IF(F88="","",TEXT('Getting Started'!C10+(H88-1)*7,"MMM D")&amp;" – "&amp;TEXT('Getting Started'!C10+I88*7,"MMM D")),"")</f>
        <v/>
      </c>
    </row>
    <row r="89" ht="20" customHeight="1">
      <c r="A89" s="56">
        <f>IFERROR(IF('Course Content'!I112="","",'Course Content'!I112),"")</f>
        <v/>
      </c>
    </row>
    <row r="90" ht="8" customHeight="1"/>
    <row r="91" ht="24" customHeight="1">
      <c r="A91" s="44" t="inlineStr">
        <is>
          <t xml:space="preserve">  HEALTH</t>
        </is>
      </c>
      <c r="E91" s="45">
        <f>IFERROR(IF('Course Content'!E113="","← enter on Course Content tab",'Course Content'!E113),"")</f>
        <v/>
      </c>
    </row>
    <row r="92" ht="22" customHeight="1">
      <c r="B92" s="46">
        <f>'Course Content'!G113</f>
        <v/>
      </c>
      <c r="C92" s="47">
        <f>IFERROR(IF(B92="","",ROUND(B92/'Getting Started'!C15,1)),"")</f>
        <v/>
      </c>
      <c r="D92" s="47">
        <f>IFERROR(IF(C92="","",ROUND(C92/'Getting Started'!C7,1)),"")</f>
        <v/>
      </c>
      <c r="E92" s="48">
        <f>IFERROR(IF(B92="","",TEXT('Getting Started'!C10+(B92/D92),"MMM D, YYYY")),"")</f>
        <v/>
      </c>
      <c r="F92" s="39" t="n"/>
      <c r="G92" s="49">
        <f>'Course Content'!H113</f>
        <v/>
      </c>
      <c r="H92" s="50">
        <f>IFERROR(IF(G92="","",ROUND(G92/'Getting Started'!C23,1)),"")</f>
        <v/>
      </c>
      <c r="I92" s="50">
        <f>IFERROR(IF(H92="","",ROUND(H92/'Getting Started'!C7,1)),"")</f>
        <v/>
      </c>
      <c r="J92" s="51">
        <f>IFERROR(IF(G92="","",TEXT('Getting Started'!C18+(G92/I92),"MMM D, YYYY")),"")</f>
        <v/>
      </c>
    </row>
    <row r="93" ht="16" customHeight="1">
      <c r="A93" s="52" t="inlineStr">
        <is>
          <t xml:space="preserve">  Component Breakdown  (optional — use for multi-volume curricula)</t>
        </is>
      </c>
    </row>
    <row r="94" ht="22" customHeight="1">
      <c r="A94" s="28" t="inlineStr">
        <is>
          <t>#</t>
        </is>
      </c>
      <c r="B94" s="28" t="inlineStr">
        <is>
          <t>Book / Component Title</t>
        </is>
      </c>
      <c r="F94" s="28" t="inlineStr">
        <is>
          <t>Units</t>
        </is>
      </c>
      <c r="G94" s="28" t="inlineStr">
        <is>
          <t>Cumul.</t>
        </is>
      </c>
      <c r="H94" s="28" t="inlineStr">
        <is>
          <t>Start
Week</t>
        </is>
      </c>
      <c r="I94" s="28" t="inlineStr">
        <is>
          <t>End
Week</t>
        </is>
      </c>
      <c r="J94" s="28" t="inlineStr">
        <is>
          <t>Est. Dates</t>
        </is>
      </c>
    </row>
    <row r="95" ht="18" customHeight="1">
      <c r="A95" s="53" t="n">
        <v>1</v>
      </c>
      <c r="B95" s="5" t="n"/>
      <c r="F95" s="32" t="n"/>
      <c r="G95" s="17">
        <f>IFERROR(SUM(F95:F95),"")</f>
        <v/>
      </c>
      <c r="H95" s="17">
        <f>IF(F95="","",1)</f>
        <v/>
      </c>
      <c r="I95" s="17">
        <f>IFERROR(IF(F95="","",CEILING(G95/((IFERROR(B92,0)+IFERROR(G92,0))/(IFERROR('Getting Started'!C15,0)+IFERROR('Getting Started'!C23,0))),1)),"")</f>
        <v/>
      </c>
      <c r="J95" s="54">
        <f>IFERROR(IF(F95="","",TEXT('Getting Started'!C10+(H95-1)*7,"MMM D")&amp;" – "&amp;TEXT('Getting Started'!C10+I95*7,"MMM D")),"")</f>
        <v/>
      </c>
    </row>
    <row r="96" ht="18" customHeight="1">
      <c r="A96" s="53" t="n">
        <v>2</v>
      </c>
      <c r="B96" s="18" t="n"/>
      <c r="F96" s="55" t="n"/>
      <c r="G96" s="17">
        <f>IFERROR(SUM(F95:F96),"")</f>
        <v/>
      </c>
      <c r="H96" s="17">
        <f>IFERROR(IF(F96="","",FLOOR(G95/((IFERROR(B92,0)+IFERROR(G92,0))/(IFERROR('Getting Started'!C15,0)+IFERROR('Getting Started'!C23,0))),1)+1),"")</f>
        <v/>
      </c>
      <c r="I96" s="17">
        <f>IFERROR(IF(F96="","",CEILING(G96/((IFERROR(B92,0)+IFERROR(G92,0))/(IFERROR('Getting Started'!C15,0)+IFERROR('Getting Started'!C23,0))),1)),"")</f>
        <v/>
      </c>
      <c r="J96" s="54">
        <f>IFERROR(IF(F96="","",TEXT('Getting Started'!C10+(H96-1)*7,"MMM D")&amp;" – "&amp;TEXT('Getting Started'!C10+I96*7,"MMM D")),"")</f>
        <v/>
      </c>
    </row>
    <row r="97" ht="18" customHeight="1">
      <c r="A97" s="53" t="n">
        <v>3</v>
      </c>
      <c r="B97" s="5" t="n"/>
      <c r="F97" s="32" t="n"/>
      <c r="G97" s="17">
        <f>IFERROR(SUM(F95:F97),"")</f>
        <v/>
      </c>
      <c r="H97" s="17">
        <f>IFERROR(IF(F97="","",FLOOR(G96/((IFERROR(B92,0)+IFERROR(G92,0))/(IFERROR('Getting Started'!C15,0)+IFERROR('Getting Started'!C23,0))),1)+1),"")</f>
        <v/>
      </c>
      <c r="I97" s="17">
        <f>IFERROR(IF(F97="","",CEILING(G97/((IFERROR(B92,0)+IFERROR(G92,0))/(IFERROR('Getting Started'!C15,0)+IFERROR('Getting Started'!C23,0))),1)),"")</f>
        <v/>
      </c>
      <c r="J97" s="54">
        <f>IFERROR(IF(F97="","",TEXT('Getting Started'!C10+(H97-1)*7,"MMM D")&amp;" – "&amp;TEXT('Getting Started'!C10+I97*7,"MMM D")),"")</f>
        <v/>
      </c>
    </row>
    <row r="98" ht="18" customHeight="1">
      <c r="A98" s="53" t="n">
        <v>4</v>
      </c>
      <c r="B98" s="18" t="n"/>
      <c r="F98" s="55" t="n"/>
      <c r="G98" s="17">
        <f>IFERROR(SUM(F95:F98),"")</f>
        <v/>
      </c>
      <c r="H98" s="17">
        <f>IFERROR(IF(F98="","",FLOOR(G97/((IFERROR(B92,0)+IFERROR(G92,0))/(IFERROR('Getting Started'!C15,0)+IFERROR('Getting Started'!C23,0))),1)+1),"")</f>
        <v/>
      </c>
      <c r="I98" s="17">
        <f>IFERROR(IF(F98="","",CEILING(G98/((IFERROR(B92,0)+IFERROR(G92,0))/(IFERROR('Getting Started'!C15,0)+IFERROR('Getting Started'!C23,0))),1)),"")</f>
        <v/>
      </c>
      <c r="J98" s="54">
        <f>IFERROR(IF(F98="","",TEXT('Getting Started'!C10+(H98-1)*7,"MMM D")&amp;" – "&amp;TEXT('Getting Started'!C10+I98*7,"MMM D")),"")</f>
        <v/>
      </c>
    </row>
    <row r="99" ht="18" customHeight="1">
      <c r="A99" s="53" t="n">
        <v>5</v>
      </c>
      <c r="B99" s="5" t="n"/>
      <c r="F99" s="32" t="n"/>
      <c r="G99" s="17">
        <f>IFERROR(SUM(F95:F99),"")</f>
        <v/>
      </c>
      <c r="H99" s="17">
        <f>IFERROR(IF(F99="","",FLOOR(G98/((IFERROR(B92,0)+IFERROR(G92,0))/(IFERROR('Getting Started'!C15,0)+IFERROR('Getting Started'!C23,0))),1)+1),"")</f>
        <v/>
      </c>
      <c r="I99" s="17">
        <f>IFERROR(IF(F99="","",CEILING(G99/((IFERROR(B92,0)+IFERROR(G92,0))/(IFERROR('Getting Started'!C15,0)+IFERROR('Getting Started'!C23,0))),1)),"")</f>
        <v/>
      </c>
      <c r="J99" s="54">
        <f>IFERROR(IF(F99="","",TEXT('Getting Started'!C10+(H99-1)*7,"MMM D")&amp;" – "&amp;TEXT('Getting Started'!C10+I99*7,"MMM D")),"")</f>
        <v/>
      </c>
    </row>
    <row r="100" ht="18" customHeight="1">
      <c r="A100" s="53" t="n">
        <v>6</v>
      </c>
      <c r="B100" s="18" t="n"/>
      <c r="F100" s="55" t="n"/>
      <c r="G100" s="17">
        <f>IFERROR(SUM(F95:F100),"")</f>
        <v/>
      </c>
      <c r="H100" s="17">
        <f>IFERROR(IF(F100="","",FLOOR(G99/((IFERROR(B92,0)+IFERROR(G92,0))/(IFERROR('Getting Started'!C15,0)+IFERROR('Getting Started'!C23,0))),1)+1),"")</f>
        <v/>
      </c>
      <c r="I100" s="17">
        <f>IFERROR(IF(F100="","",CEILING(G100/((IFERROR(B92,0)+IFERROR(G92,0))/(IFERROR('Getting Started'!C15,0)+IFERROR('Getting Started'!C23,0))),1)),"")</f>
        <v/>
      </c>
      <c r="J100" s="54">
        <f>IFERROR(IF(F100="","",TEXT('Getting Started'!C10+(H100-1)*7,"MMM D")&amp;" – "&amp;TEXT('Getting Started'!C10+I100*7,"MMM D")),"")</f>
        <v/>
      </c>
    </row>
    <row r="101" ht="20" customHeight="1">
      <c r="A101" s="56">
        <f>IFERROR(IF('Course Content'!I113="","",'Course Content'!I113),"")</f>
        <v/>
      </c>
    </row>
    <row r="102" ht="8" customHeight="1"/>
    <row r="103" ht="24" customHeight="1">
      <c r="A103" s="44" t="inlineStr">
        <is>
          <t xml:space="preserve">  PHYSICAL EDUCATION</t>
        </is>
      </c>
      <c r="E103" s="45">
        <f>IFERROR(IF('Course Content'!E114="","← enter on Course Content tab",'Course Content'!E114),"")</f>
        <v/>
      </c>
    </row>
    <row r="104" ht="22" customHeight="1">
      <c r="B104" s="46">
        <f>'Course Content'!G114</f>
        <v/>
      </c>
      <c r="C104" s="47">
        <f>IFERROR(IF(B104="","",ROUND(B104/'Getting Started'!C15,1)),"")</f>
        <v/>
      </c>
      <c r="D104" s="47">
        <f>IFERROR(IF(C104="","",ROUND(C104/'Getting Started'!C7,1)),"")</f>
        <v/>
      </c>
      <c r="E104" s="48">
        <f>IFERROR(IF(B104="","",TEXT('Getting Started'!C10+(B104/D104),"MMM D, YYYY")),"")</f>
        <v/>
      </c>
      <c r="F104" s="39" t="n"/>
      <c r="G104" s="49">
        <f>'Course Content'!H114</f>
        <v/>
      </c>
      <c r="H104" s="50">
        <f>IFERROR(IF(G104="","",ROUND(G104/'Getting Started'!C23,1)),"")</f>
        <v/>
      </c>
      <c r="I104" s="50">
        <f>IFERROR(IF(H104="","",ROUND(H104/'Getting Started'!C7,1)),"")</f>
        <v/>
      </c>
      <c r="J104" s="51">
        <f>IFERROR(IF(G104="","",TEXT('Getting Started'!C18+(G104/I104),"MMM D, YYYY")),"")</f>
        <v/>
      </c>
    </row>
    <row r="105" ht="16" customHeight="1">
      <c r="A105" s="52" t="inlineStr">
        <is>
          <t xml:space="preserve">  Component Breakdown  (optional — use for multi-volume curricula)</t>
        </is>
      </c>
    </row>
    <row r="106" ht="22" customHeight="1">
      <c r="A106" s="28" t="inlineStr">
        <is>
          <t>#</t>
        </is>
      </c>
      <c r="B106" s="28" t="inlineStr">
        <is>
          <t>Book / Component Title</t>
        </is>
      </c>
      <c r="F106" s="28" t="inlineStr">
        <is>
          <t>Units</t>
        </is>
      </c>
      <c r="G106" s="28" t="inlineStr">
        <is>
          <t>Cumul.</t>
        </is>
      </c>
      <c r="H106" s="28" t="inlineStr">
        <is>
          <t>Start
Week</t>
        </is>
      </c>
      <c r="I106" s="28" t="inlineStr">
        <is>
          <t>End
Week</t>
        </is>
      </c>
      <c r="J106" s="28" t="inlineStr">
        <is>
          <t>Est. Dates</t>
        </is>
      </c>
    </row>
    <row r="107" ht="18" customHeight="1">
      <c r="A107" s="53" t="n">
        <v>1</v>
      </c>
      <c r="B107" s="5" t="n"/>
      <c r="F107" s="32" t="n"/>
      <c r="G107" s="17">
        <f>IFERROR(SUM(F107:F107),"")</f>
        <v/>
      </c>
      <c r="H107" s="17">
        <f>IF(F107="","",1)</f>
        <v/>
      </c>
      <c r="I107" s="17">
        <f>IFERROR(IF(F107="","",CEILING(G107/((IFERROR(B104,0)+IFERROR(G104,0))/(IFERROR('Getting Started'!C15,0)+IFERROR('Getting Started'!C23,0))),1)),"")</f>
        <v/>
      </c>
      <c r="J107" s="54">
        <f>IFERROR(IF(F107="","",TEXT('Getting Started'!C10+(H107-1)*7,"MMM D")&amp;" – "&amp;TEXT('Getting Started'!C10+I107*7,"MMM D")),"")</f>
        <v/>
      </c>
    </row>
    <row r="108" ht="18" customHeight="1">
      <c r="A108" s="53" t="n">
        <v>2</v>
      </c>
      <c r="B108" s="18" t="n"/>
      <c r="F108" s="55" t="n"/>
      <c r="G108" s="17">
        <f>IFERROR(SUM(F107:F108),"")</f>
        <v/>
      </c>
      <c r="H108" s="17">
        <f>IFERROR(IF(F108="","",FLOOR(G107/((IFERROR(B104,0)+IFERROR(G104,0))/(IFERROR('Getting Started'!C15,0)+IFERROR('Getting Started'!C23,0))),1)+1),"")</f>
        <v/>
      </c>
      <c r="I108" s="17">
        <f>IFERROR(IF(F108="","",CEILING(G108/((IFERROR(B104,0)+IFERROR(G104,0))/(IFERROR('Getting Started'!C15,0)+IFERROR('Getting Started'!C23,0))),1)),"")</f>
        <v/>
      </c>
      <c r="J108" s="54">
        <f>IFERROR(IF(F108="","",TEXT('Getting Started'!C10+(H108-1)*7,"MMM D")&amp;" – "&amp;TEXT('Getting Started'!C10+I108*7,"MMM D")),"")</f>
        <v/>
      </c>
    </row>
    <row r="109" ht="18" customHeight="1">
      <c r="A109" s="53" t="n">
        <v>3</v>
      </c>
      <c r="B109" s="5" t="n"/>
      <c r="F109" s="32" t="n"/>
      <c r="G109" s="17">
        <f>IFERROR(SUM(F107:F109),"")</f>
        <v/>
      </c>
      <c r="H109" s="17">
        <f>IFERROR(IF(F109="","",FLOOR(G108/((IFERROR(B104,0)+IFERROR(G104,0))/(IFERROR('Getting Started'!C15,0)+IFERROR('Getting Started'!C23,0))),1)+1),"")</f>
        <v/>
      </c>
      <c r="I109" s="17">
        <f>IFERROR(IF(F109="","",CEILING(G109/((IFERROR(B104,0)+IFERROR(G104,0))/(IFERROR('Getting Started'!C15,0)+IFERROR('Getting Started'!C23,0))),1)),"")</f>
        <v/>
      </c>
      <c r="J109" s="54">
        <f>IFERROR(IF(F109="","",TEXT('Getting Started'!C10+(H109-1)*7,"MMM D")&amp;" – "&amp;TEXT('Getting Started'!C10+I109*7,"MMM D")),"")</f>
        <v/>
      </c>
    </row>
    <row r="110" ht="18" customHeight="1">
      <c r="A110" s="53" t="n">
        <v>4</v>
      </c>
      <c r="B110" s="18" t="n"/>
      <c r="F110" s="55" t="n"/>
      <c r="G110" s="17">
        <f>IFERROR(SUM(F107:F110),"")</f>
        <v/>
      </c>
      <c r="H110" s="17">
        <f>IFERROR(IF(F110="","",FLOOR(G109/((IFERROR(B104,0)+IFERROR(G104,0))/(IFERROR('Getting Started'!C15,0)+IFERROR('Getting Started'!C23,0))),1)+1),"")</f>
        <v/>
      </c>
      <c r="I110" s="17">
        <f>IFERROR(IF(F110="","",CEILING(G110/((IFERROR(B104,0)+IFERROR(G104,0))/(IFERROR('Getting Started'!C15,0)+IFERROR('Getting Started'!C23,0))),1)),"")</f>
        <v/>
      </c>
      <c r="J110" s="54">
        <f>IFERROR(IF(F110="","",TEXT('Getting Started'!C10+(H110-1)*7,"MMM D")&amp;" – "&amp;TEXT('Getting Started'!C10+I110*7,"MMM D")),"")</f>
        <v/>
      </c>
    </row>
    <row r="111" ht="18" customHeight="1">
      <c r="A111" s="53" t="n">
        <v>5</v>
      </c>
      <c r="B111" s="5" t="n"/>
      <c r="F111" s="32" t="n"/>
      <c r="G111" s="17">
        <f>IFERROR(SUM(F107:F111),"")</f>
        <v/>
      </c>
      <c r="H111" s="17">
        <f>IFERROR(IF(F111="","",FLOOR(G110/((IFERROR(B104,0)+IFERROR(G104,0))/(IFERROR('Getting Started'!C15,0)+IFERROR('Getting Started'!C23,0))),1)+1),"")</f>
        <v/>
      </c>
      <c r="I111" s="17">
        <f>IFERROR(IF(F111="","",CEILING(G111/((IFERROR(B104,0)+IFERROR(G104,0))/(IFERROR('Getting Started'!C15,0)+IFERROR('Getting Started'!C23,0))),1)),"")</f>
        <v/>
      </c>
      <c r="J111" s="54">
        <f>IFERROR(IF(F111="","",TEXT('Getting Started'!C10+(H111-1)*7,"MMM D")&amp;" – "&amp;TEXT('Getting Started'!C10+I111*7,"MMM D")),"")</f>
        <v/>
      </c>
    </row>
    <row r="112" ht="18" customHeight="1">
      <c r="A112" s="53" t="n">
        <v>6</v>
      </c>
      <c r="B112" s="18" t="n"/>
      <c r="F112" s="55" t="n"/>
      <c r="G112" s="17">
        <f>IFERROR(SUM(F107:F112),"")</f>
        <v/>
      </c>
      <c r="H112" s="17">
        <f>IFERROR(IF(F112="","",FLOOR(G111/((IFERROR(B104,0)+IFERROR(G104,0))/(IFERROR('Getting Started'!C15,0)+IFERROR('Getting Started'!C23,0))),1)+1),"")</f>
        <v/>
      </c>
      <c r="I112" s="17">
        <f>IFERROR(IF(F112="","",CEILING(G112/((IFERROR(B104,0)+IFERROR(G104,0))/(IFERROR('Getting Started'!C15,0)+IFERROR('Getting Started'!C23,0))),1)),"")</f>
        <v/>
      </c>
      <c r="J112" s="54">
        <f>IFERROR(IF(F112="","",TEXT('Getting Started'!C10+(H112-1)*7,"MMM D")&amp;" – "&amp;TEXT('Getting Started'!C10+I112*7,"MMM D")),"")</f>
        <v/>
      </c>
    </row>
    <row r="113" ht="20" customHeight="1">
      <c r="A113" s="56">
        <f>IFERROR(IF('Course Content'!I114="","",'Course Content'!I114),"")</f>
        <v/>
      </c>
    </row>
    <row r="114" ht="8" customHeight="1"/>
    <row r="115" ht="24" customHeight="1">
      <c r="A115" s="44" t="inlineStr">
        <is>
          <t xml:space="preserve">  ART / MUSIC</t>
        </is>
      </c>
      <c r="E115" s="45">
        <f>IFERROR(IF('Course Content'!E115="","← enter on Course Content tab",'Course Content'!E115),"")</f>
        <v/>
      </c>
    </row>
    <row r="116" ht="22" customHeight="1">
      <c r="B116" s="46">
        <f>'Course Content'!G115</f>
        <v/>
      </c>
      <c r="C116" s="47">
        <f>IFERROR(IF(B116="","",ROUND(B116/'Getting Started'!C15,1)),"")</f>
        <v/>
      </c>
      <c r="D116" s="47">
        <f>IFERROR(IF(C116="","",ROUND(C116/'Getting Started'!C7,1)),"")</f>
        <v/>
      </c>
      <c r="E116" s="48">
        <f>IFERROR(IF(B116="","",TEXT('Getting Started'!C10+(B116/D116),"MMM D, YYYY")),"")</f>
        <v/>
      </c>
      <c r="F116" s="39" t="n"/>
      <c r="G116" s="49">
        <f>'Course Content'!H115</f>
        <v/>
      </c>
      <c r="H116" s="50">
        <f>IFERROR(IF(G116="","",ROUND(G116/'Getting Started'!C23,1)),"")</f>
        <v/>
      </c>
      <c r="I116" s="50">
        <f>IFERROR(IF(H116="","",ROUND(H116/'Getting Started'!C7,1)),"")</f>
        <v/>
      </c>
      <c r="J116" s="51">
        <f>IFERROR(IF(G116="","",TEXT('Getting Started'!C18+(G116/I116),"MMM D, YYYY")),"")</f>
        <v/>
      </c>
    </row>
    <row r="117" ht="16" customHeight="1">
      <c r="A117" s="52" t="inlineStr">
        <is>
          <t xml:space="preserve">  Component Breakdown  (optional — use for multi-volume curricula)</t>
        </is>
      </c>
    </row>
    <row r="118" ht="22" customHeight="1">
      <c r="A118" s="28" t="inlineStr">
        <is>
          <t>#</t>
        </is>
      </c>
      <c r="B118" s="28" t="inlineStr">
        <is>
          <t>Book / Component Title</t>
        </is>
      </c>
      <c r="F118" s="28" t="inlineStr">
        <is>
          <t>Units</t>
        </is>
      </c>
      <c r="G118" s="28" t="inlineStr">
        <is>
          <t>Cumul.</t>
        </is>
      </c>
      <c r="H118" s="28" t="inlineStr">
        <is>
          <t>Start
Week</t>
        </is>
      </c>
      <c r="I118" s="28" t="inlineStr">
        <is>
          <t>End
Week</t>
        </is>
      </c>
      <c r="J118" s="28" t="inlineStr">
        <is>
          <t>Est. Dates</t>
        </is>
      </c>
    </row>
    <row r="119" ht="18" customHeight="1">
      <c r="A119" s="53" t="n">
        <v>1</v>
      </c>
      <c r="B119" s="5" t="n"/>
      <c r="F119" s="32" t="n"/>
      <c r="G119" s="17">
        <f>IFERROR(SUM(F119:F119),"")</f>
        <v/>
      </c>
      <c r="H119" s="17">
        <f>IF(F119="","",1)</f>
        <v/>
      </c>
      <c r="I119" s="17">
        <f>IFERROR(IF(F119="","",CEILING(G119/((IFERROR(B116,0)+IFERROR(G116,0))/(IFERROR('Getting Started'!C15,0)+IFERROR('Getting Started'!C23,0))),1)),"")</f>
        <v/>
      </c>
      <c r="J119" s="54">
        <f>IFERROR(IF(F119="","",TEXT('Getting Started'!C10+(H119-1)*7,"MMM D")&amp;" – "&amp;TEXT('Getting Started'!C10+I119*7,"MMM D")),"")</f>
        <v/>
      </c>
    </row>
    <row r="120" ht="18" customHeight="1">
      <c r="A120" s="53" t="n">
        <v>2</v>
      </c>
      <c r="B120" s="18" t="n"/>
      <c r="F120" s="55" t="n"/>
      <c r="G120" s="17">
        <f>IFERROR(SUM(F119:F120),"")</f>
        <v/>
      </c>
      <c r="H120" s="17">
        <f>IFERROR(IF(F120="","",FLOOR(G119/((IFERROR(B116,0)+IFERROR(G116,0))/(IFERROR('Getting Started'!C15,0)+IFERROR('Getting Started'!C23,0))),1)+1),"")</f>
        <v/>
      </c>
      <c r="I120" s="17">
        <f>IFERROR(IF(F120="","",CEILING(G120/((IFERROR(B116,0)+IFERROR(G116,0))/(IFERROR('Getting Started'!C15,0)+IFERROR('Getting Started'!C23,0))),1)),"")</f>
        <v/>
      </c>
      <c r="J120" s="54">
        <f>IFERROR(IF(F120="","",TEXT('Getting Started'!C10+(H120-1)*7,"MMM D")&amp;" – "&amp;TEXT('Getting Started'!C10+I120*7,"MMM D")),"")</f>
        <v/>
      </c>
    </row>
    <row r="121" ht="18" customHeight="1">
      <c r="A121" s="53" t="n">
        <v>3</v>
      </c>
      <c r="B121" s="5" t="n"/>
      <c r="F121" s="32" t="n"/>
      <c r="G121" s="17">
        <f>IFERROR(SUM(F119:F121),"")</f>
        <v/>
      </c>
      <c r="H121" s="17">
        <f>IFERROR(IF(F121="","",FLOOR(G120/((IFERROR(B116,0)+IFERROR(G116,0))/(IFERROR('Getting Started'!C15,0)+IFERROR('Getting Started'!C23,0))),1)+1),"")</f>
        <v/>
      </c>
      <c r="I121" s="17">
        <f>IFERROR(IF(F121="","",CEILING(G121/((IFERROR(B116,0)+IFERROR(G116,0))/(IFERROR('Getting Started'!C15,0)+IFERROR('Getting Started'!C23,0))),1)),"")</f>
        <v/>
      </c>
      <c r="J121" s="54">
        <f>IFERROR(IF(F121="","",TEXT('Getting Started'!C10+(H121-1)*7,"MMM D")&amp;" – "&amp;TEXT('Getting Started'!C10+I121*7,"MMM D")),"")</f>
        <v/>
      </c>
    </row>
    <row r="122" ht="18" customHeight="1">
      <c r="A122" s="53" t="n">
        <v>4</v>
      </c>
      <c r="B122" s="18" t="n"/>
      <c r="F122" s="55" t="n"/>
      <c r="G122" s="17">
        <f>IFERROR(SUM(F119:F122),"")</f>
        <v/>
      </c>
      <c r="H122" s="17">
        <f>IFERROR(IF(F122="","",FLOOR(G121/((IFERROR(B116,0)+IFERROR(G116,0))/(IFERROR('Getting Started'!C15,0)+IFERROR('Getting Started'!C23,0))),1)+1),"")</f>
        <v/>
      </c>
      <c r="I122" s="17">
        <f>IFERROR(IF(F122="","",CEILING(G122/((IFERROR(B116,0)+IFERROR(G116,0))/(IFERROR('Getting Started'!C15,0)+IFERROR('Getting Started'!C23,0))),1)),"")</f>
        <v/>
      </c>
      <c r="J122" s="54">
        <f>IFERROR(IF(F122="","",TEXT('Getting Started'!C10+(H122-1)*7,"MMM D")&amp;" – "&amp;TEXT('Getting Started'!C10+I122*7,"MMM D")),"")</f>
        <v/>
      </c>
    </row>
    <row r="123" ht="18" customHeight="1">
      <c r="A123" s="53" t="n">
        <v>5</v>
      </c>
      <c r="B123" s="5" t="n"/>
      <c r="F123" s="32" t="n"/>
      <c r="G123" s="17">
        <f>IFERROR(SUM(F119:F123),"")</f>
        <v/>
      </c>
      <c r="H123" s="17">
        <f>IFERROR(IF(F123="","",FLOOR(G122/((IFERROR(B116,0)+IFERROR(G116,0))/(IFERROR('Getting Started'!C15,0)+IFERROR('Getting Started'!C23,0))),1)+1),"")</f>
        <v/>
      </c>
      <c r="I123" s="17">
        <f>IFERROR(IF(F123="","",CEILING(G123/((IFERROR(B116,0)+IFERROR(G116,0))/(IFERROR('Getting Started'!C15,0)+IFERROR('Getting Started'!C23,0))),1)),"")</f>
        <v/>
      </c>
      <c r="J123" s="54">
        <f>IFERROR(IF(F123="","",TEXT('Getting Started'!C10+(H123-1)*7,"MMM D")&amp;" – "&amp;TEXT('Getting Started'!C10+I123*7,"MMM D")),"")</f>
        <v/>
      </c>
    </row>
    <row r="124" ht="18" customHeight="1">
      <c r="A124" s="53" t="n">
        <v>6</v>
      </c>
      <c r="B124" s="18" t="n"/>
      <c r="F124" s="55" t="n"/>
      <c r="G124" s="17">
        <f>IFERROR(SUM(F119:F124),"")</f>
        <v/>
      </c>
      <c r="H124" s="17">
        <f>IFERROR(IF(F124="","",FLOOR(G123/((IFERROR(B116,0)+IFERROR(G116,0))/(IFERROR('Getting Started'!C15,0)+IFERROR('Getting Started'!C23,0))),1)+1),"")</f>
        <v/>
      </c>
      <c r="I124" s="17">
        <f>IFERROR(IF(F124="","",CEILING(G124/((IFERROR(B116,0)+IFERROR(G116,0))/(IFERROR('Getting Started'!C15,0)+IFERROR('Getting Started'!C23,0))),1)),"")</f>
        <v/>
      </c>
      <c r="J124" s="54">
        <f>IFERROR(IF(F124="","",TEXT('Getting Started'!C10+(H124-1)*7,"MMM D")&amp;" – "&amp;TEXT('Getting Started'!C10+I124*7,"MMM D")),"")</f>
        <v/>
      </c>
    </row>
    <row r="125" ht="20" customHeight="1">
      <c r="A125" s="56">
        <f>IFERROR(IF('Course Content'!I115="","",'Course Content'!I115),"")</f>
        <v/>
      </c>
    </row>
    <row r="126" ht="8" customHeight="1"/>
    <row r="127" ht="24" customHeight="1">
      <c r="A127" s="44">
        <f>IF('Course Content'!D116="","  ELECTIVE / OTHER 1","  "&amp;UPPER('Course Content'!D116))</f>
        <v/>
      </c>
      <c r="E127" s="45">
        <f>IFERROR(IF('Course Content'!E116="","← enter on Course Content tab",'Course Content'!E116),"")</f>
        <v/>
      </c>
    </row>
    <row r="128" ht="22" customHeight="1">
      <c r="B128" s="46">
        <f>'Course Content'!G116</f>
        <v/>
      </c>
      <c r="C128" s="47">
        <f>IFERROR(IF(B128="","",ROUND(B128/'Getting Started'!C15,1)),"")</f>
        <v/>
      </c>
      <c r="D128" s="47">
        <f>IFERROR(IF(C128="","",ROUND(C128/'Getting Started'!C7,1)),"")</f>
        <v/>
      </c>
      <c r="E128" s="48">
        <f>IFERROR(IF(B128="","",TEXT('Getting Started'!C10+(B128/D128),"MMM D, YYYY")),"")</f>
        <v/>
      </c>
      <c r="F128" s="39" t="n"/>
      <c r="G128" s="49">
        <f>'Course Content'!H116</f>
        <v/>
      </c>
      <c r="H128" s="50">
        <f>IFERROR(IF(G128="","",ROUND(G128/'Getting Started'!C23,1)),"")</f>
        <v/>
      </c>
      <c r="I128" s="50">
        <f>IFERROR(IF(H128="","",ROUND(H128/'Getting Started'!C7,1)),"")</f>
        <v/>
      </c>
      <c r="J128" s="51">
        <f>IFERROR(IF(G128="","",TEXT('Getting Started'!C18+(G128/I128),"MMM D, YYYY")),"")</f>
        <v/>
      </c>
    </row>
    <row r="129" ht="16" customHeight="1">
      <c r="A129" s="52" t="inlineStr">
        <is>
          <t xml:space="preserve">  Component Breakdown  (optional — use for multi-volume curricula)</t>
        </is>
      </c>
    </row>
    <row r="130" ht="22" customHeight="1">
      <c r="A130" s="28" t="inlineStr">
        <is>
          <t>#</t>
        </is>
      </c>
      <c r="B130" s="28" t="inlineStr">
        <is>
          <t>Book / Component Title</t>
        </is>
      </c>
      <c r="F130" s="28" t="inlineStr">
        <is>
          <t>Units</t>
        </is>
      </c>
      <c r="G130" s="28" t="inlineStr">
        <is>
          <t>Cumul.</t>
        </is>
      </c>
      <c r="H130" s="28" t="inlineStr">
        <is>
          <t>Start
Week</t>
        </is>
      </c>
      <c r="I130" s="28" t="inlineStr">
        <is>
          <t>End
Week</t>
        </is>
      </c>
      <c r="J130" s="28" t="inlineStr">
        <is>
          <t>Est. Dates</t>
        </is>
      </c>
    </row>
    <row r="131" ht="18" customHeight="1">
      <c r="A131" s="53" t="n">
        <v>1</v>
      </c>
      <c r="B131" s="5" t="n"/>
      <c r="F131" s="32" t="n"/>
      <c r="G131" s="17">
        <f>IFERROR(SUM(F131:F131),"")</f>
        <v/>
      </c>
      <c r="H131" s="17">
        <f>IF(F131="","",1)</f>
        <v/>
      </c>
      <c r="I131" s="17">
        <f>IFERROR(IF(F131="","",CEILING(G131/((IFERROR(B128,0)+IFERROR(G128,0))/(IFERROR('Getting Started'!C15,0)+IFERROR('Getting Started'!C23,0))),1)),"")</f>
        <v/>
      </c>
      <c r="J131" s="54">
        <f>IFERROR(IF(F131="","",TEXT('Getting Started'!C10+(H131-1)*7,"MMM D")&amp;" – "&amp;TEXT('Getting Started'!C10+I131*7,"MMM D")),"")</f>
        <v/>
      </c>
    </row>
    <row r="132" ht="18" customHeight="1">
      <c r="A132" s="53" t="n">
        <v>2</v>
      </c>
      <c r="B132" s="18" t="n"/>
      <c r="F132" s="55" t="n"/>
      <c r="G132" s="17">
        <f>IFERROR(SUM(F131:F132),"")</f>
        <v/>
      </c>
      <c r="H132" s="17">
        <f>IFERROR(IF(F132="","",FLOOR(G131/((IFERROR(B128,0)+IFERROR(G128,0))/(IFERROR('Getting Started'!C15,0)+IFERROR('Getting Started'!C23,0))),1)+1),"")</f>
        <v/>
      </c>
      <c r="I132" s="17">
        <f>IFERROR(IF(F132="","",CEILING(G132/((IFERROR(B128,0)+IFERROR(G128,0))/(IFERROR('Getting Started'!C15,0)+IFERROR('Getting Started'!C23,0))),1)),"")</f>
        <v/>
      </c>
      <c r="J132" s="54">
        <f>IFERROR(IF(F132="","",TEXT('Getting Started'!C10+(H132-1)*7,"MMM D")&amp;" – "&amp;TEXT('Getting Started'!C10+I132*7,"MMM D")),"")</f>
        <v/>
      </c>
    </row>
    <row r="133" ht="18" customHeight="1">
      <c r="A133" s="53" t="n">
        <v>3</v>
      </c>
      <c r="B133" s="5" t="n"/>
      <c r="F133" s="32" t="n"/>
      <c r="G133" s="17">
        <f>IFERROR(SUM(F131:F133),"")</f>
        <v/>
      </c>
      <c r="H133" s="17">
        <f>IFERROR(IF(F133="","",FLOOR(G132/((IFERROR(B128,0)+IFERROR(G128,0))/(IFERROR('Getting Started'!C15,0)+IFERROR('Getting Started'!C23,0))),1)+1),"")</f>
        <v/>
      </c>
      <c r="I133" s="17">
        <f>IFERROR(IF(F133="","",CEILING(G133/((IFERROR(B128,0)+IFERROR(G128,0))/(IFERROR('Getting Started'!C15,0)+IFERROR('Getting Started'!C23,0))),1)),"")</f>
        <v/>
      </c>
      <c r="J133" s="54">
        <f>IFERROR(IF(F133="","",TEXT('Getting Started'!C10+(H133-1)*7,"MMM D")&amp;" – "&amp;TEXT('Getting Started'!C10+I133*7,"MMM D")),"")</f>
        <v/>
      </c>
    </row>
    <row r="134" ht="18" customHeight="1">
      <c r="A134" s="53" t="n">
        <v>4</v>
      </c>
      <c r="B134" s="18" t="n"/>
      <c r="F134" s="55" t="n"/>
      <c r="G134" s="17">
        <f>IFERROR(SUM(F131:F134),"")</f>
        <v/>
      </c>
      <c r="H134" s="17">
        <f>IFERROR(IF(F134="","",FLOOR(G133/((IFERROR(B128,0)+IFERROR(G128,0))/(IFERROR('Getting Started'!C15,0)+IFERROR('Getting Started'!C23,0))),1)+1),"")</f>
        <v/>
      </c>
      <c r="I134" s="17">
        <f>IFERROR(IF(F134="","",CEILING(G134/((IFERROR(B128,0)+IFERROR(G128,0))/(IFERROR('Getting Started'!C15,0)+IFERROR('Getting Started'!C23,0))),1)),"")</f>
        <v/>
      </c>
      <c r="J134" s="54">
        <f>IFERROR(IF(F134="","",TEXT('Getting Started'!C10+(H134-1)*7,"MMM D")&amp;" – "&amp;TEXT('Getting Started'!C10+I134*7,"MMM D")),"")</f>
        <v/>
      </c>
    </row>
    <row r="135" ht="18" customHeight="1">
      <c r="A135" s="53" t="n">
        <v>5</v>
      </c>
      <c r="B135" s="5" t="n"/>
      <c r="F135" s="32" t="n"/>
      <c r="G135" s="17">
        <f>IFERROR(SUM(F131:F135),"")</f>
        <v/>
      </c>
      <c r="H135" s="17">
        <f>IFERROR(IF(F135="","",FLOOR(G134/((IFERROR(B128,0)+IFERROR(G128,0))/(IFERROR('Getting Started'!C15,0)+IFERROR('Getting Started'!C23,0))),1)+1),"")</f>
        <v/>
      </c>
      <c r="I135" s="17">
        <f>IFERROR(IF(F135="","",CEILING(G135/((IFERROR(B128,0)+IFERROR(G128,0))/(IFERROR('Getting Started'!C15,0)+IFERROR('Getting Started'!C23,0))),1)),"")</f>
        <v/>
      </c>
      <c r="J135" s="54">
        <f>IFERROR(IF(F135="","",TEXT('Getting Started'!C10+(H135-1)*7,"MMM D")&amp;" – "&amp;TEXT('Getting Started'!C10+I135*7,"MMM D")),"")</f>
        <v/>
      </c>
    </row>
    <row r="136" ht="18" customHeight="1">
      <c r="A136" s="53" t="n">
        <v>6</v>
      </c>
      <c r="B136" s="18" t="n"/>
      <c r="F136" s="55" t="n"/>
      <c r="G136" s="17">
        <f>IFERROR(SUM(F131:F136),"")</f>
        <v/>
      </c>
      <c r="H136" s="17">
        <f>IFERROR(IF(F136="","",FLOOR(G135/((IFERROR(B128,0)+IFERROR(G128,0))/(IFERROR('Getting Started'!C15,0)+IFERROR('Getting Started'!C23,0))),1)+1),"")</f>
        <v/>
      </c>
      <c r="I136" s="17">
        <f>IFERROR(IF(F136="","",CEILING(G136/((IFERROR(B128,0)+IFERROR(G128,0))/(IFERROR('Getting Started'!C15,0)+IFERROR('Getting Started'!C23,0))),1)),"")</f>
        <v/>
      </c>
      <c r="J136" s="54">
        <f>IFERROR(IF(F136="","",TEXT('Getting Started'!C10+(H136-1)*7,"MMM D")&amp;" – "&amp;TEXT('Getting Started'!C10+I136*7,"MMM D")),"")</f>
        <v/>
      </c>
    </row>
    <row r="137" ht="20" customHeight="1">
      <c r="A137" s="56">
        <f>IFERROR(IF('Course Content'!I116="","",'Course Content'!I116),"")</f>
        <v/>
      </c>
    </row>
    <row r="138" ht="8" customHeight="1"/>
    <row r="139" ht="24" customHeight="1">
      <c r="A139" s="44">
        <f>IF('Course Content'!D117="","  ELECTIVE / OTHER 2","  "&amp;UPPER('Course Content'!D117))</f>
        <v/>
      </c>
      <c r="E139" s="45">
        <f>IFERROR(IF('Course Content'!E117="","← enter on Course Content tab",'Course Content'!E117),"")</f>
        <v/>
      </c>
    </row>
    <row r="140" ht="22" customHeight="1">
      <c r="B140" s="46">
        <f>'Course Content'!G117</f>
        <v/>
      </c>
      <c r="C140" s="47">
        <f>IFERROR(IF(B140="","",ROUND(B140/'Getting Started'!C15,1)),"")</f>
        <v/>
      </c>
      <c r="D140" s="47">
        <f>IFERROR(IF(C140="","",ROUND(C140/'Getting Started'!C7,1)),"")</f>
        <v/>
      </c>
      <c r="E140" s="48">
        <f>IFERROR(IF(B140="","",TEXT('Getting Started'!C10+(B140/D140),"MMM D, YYYY")),"")</f>
        <v/>
      </c>
      <c r="F140" s="39" t="n"/>
      <c r="G140" s="49">
        <f>'Course Content'!H117</f>
        <v/>
      </c>
      <c r="H140" s="50">
        <f>IFERROR(IF(G140="","",ROUND(G140/'Getting Started'!C23,1)),"")</f>
        <v/>
      </c>
      <c r="I140" s="50">
        <f>IFERROR(IF(H140="","",ROUND(H140/'Getting Started'!C7,1)),"")</f>
        <v/>
      </c>
      <c r="J140" s="51">
        <f>IFERROR(IF(G140="","",TEXT('Getting Started'!C18+(G140/I140),"MMM D, YYYY")),"")</f>
        <v/>
      </c>
    </row>
    <row r="141" ht="16" customHeight="1">
      <c r="A141" s="52" t="inlineStr">
        <is>
          <t xml:space="preserve">  Component Breakdown  (optional — use for multi-volume curricula)</t>
        </is>
      </c>
    </row>
    <row r="142" ht="22" customHeight="1">
      <c r="A142" s="28" t="inlineStr">
        <is>
          <t>#</t>
        </is>
      </c>
      <c r="B142" s="28" t="inlineStr">
        <is>
          <t>Book / Component Title</t>
        </is>
      </c>
      <c r="F142" s="28" t="inlineStr">
        <is>
          <t>Units</t>
        </is>
      </c>
      <c r="G142" s="28" t="inlineStr">
        <is>
          <t>Cumul.</t>
        </is>
      </c>
      <c r="H142" s="28" t="inlineStr">
        <is>
          <t>Start
Week</t>
        </is>
      </c>
      <c r="I142" s="28" t="inlineStr">
        <is>
          <t>End
Week</t>
        </is>
      </c>
      <c r="J142" s="28" t="inlineStr">
        <is>
          <t>Est. Dates</t>
        </is>
      </c>
    </row>
    <row r="143" ht="18" customHeight="1">
      <c r="A143" s="53" t="n">
        <v>1</v>
      </c>
      <c r="B143" s="5" t="n"/>
      <c r="F143" s="32" t="n"/>
      <c r="G143" s="17">
        <f>IFERROR(SUM(F143:F143),"")</f>
        <v/>
      </c>
      <c r="H143" s="17">
        <f>IF(F143="","",1)</f>
        <v/>
      </c>
      <c r="I143" s="17">
        <f>IFERROR(IF(F143="","",CEILING(G143/((IFERROR(B140,0)+IFERROR(G140,0))/(IFERROR('Getting Started'!C15,0)+IFERROR('Getting Started'!C23,0))),1)),"")</f>
        <v/>
      </c>
      <c r="J143" s="54">
        <f>IFERROR(IF(F143="","",TEXT('Getting Started'!C10+(H143-1)*7,"MMM D")&amp;" – "&amp;TEXT('Getting Started'!C10+I143*7,"MMM D")),"")</f>
        <v/>
      </c>
    </row>
    <row r="144" ht="18" customHeight="1">
      <c r="A144" s="53" t="n">
        <v>2</v>
      </c>
      <c r="B144" s="18" t="n"/>
      <c r="F144" s="55" t="n"/>
      <c r="G144" s="17">
        <f>IFERROR(SUM(F143:F144),"")</f>
        <v/>
      </c>
      <c r="H144" s="17">
        <f>IFERROR(IF(F144="","",FLOOR(G143/((IFERROR(B140,0)+IFERROR(G140,0))/(IFERROR('Getting Started'!C15,0)+IFERROR('Getting Started'!C23,0))),1)+1),"")</f>
        <v/>
      </c>
      <c r="I144" s="17">
        <f>IFERROR(IF(F144="","",CEILING(G144/((IFERROR(B140,0)+IFERROR(G140,0))/(IFERROR('Getting Started'!C15,0)+IFERROR('Getting Started'!C23,0))),1)),"")</f>
        <v/>
      </c>
      <c r="J144" s="54">
        <f>IFERROR(IF(F144="","",TEXT('Getting Started'!C10+(H144-1)*7,"MMM D")&amp;" – "&amp;TEXT('Getting Started'!C10+I144*7,"MMM D")),"")</f>
        <v/>
      </c>
    </row>
    <row r="145" ht="18" customHeight="1">
      <c r="A145" s="53" t="n">
        <v>3</v>
      </c>
      <c r="B145" s="5" t="n"/>
      <c r="F145" s="32" t="n"/>
      <c r="G145" s="17">
        <f>IFERROR(SUM(F143:F145),"")</f>
        <v/>
      </c>
      <c r="H145" s="17">
        <f>IFERROR(IF(F145="","",FLOOR(G144/((IFERROR(B140,0)+IFERROR(G140,0))/(IFERROR('Getting Started'!C15,0)+IFERROR('Getting Started'!C23,0))),1)+1),"")</f>
        <v/>
      </c>
      <c r="I145" s="17">
        <f>IFERROR(IF(F145="","",CEILING(G145/((IFERROR(B140,0)+IFERROR(G140,0))/(IFERROR('Getting Started'!C15,0)+IFERROR('Getting Started'!C23,0))),1)),"")</f>
        <v/>
      </c>
      <c r="J145" s="54">
        <f>IFERROR(IF(F145="","",TEXT('Getting Started'!C10+(H145-1)*7,"MMM D")&amp;" – "&amp;TEXT('Getting Started'!C10+I145*7,"MMM D")),"")</f>
        <v/>
      </c>
    </row>
    <row r="146" ht="18" customHeight="1">
      <c r="A146" s="53" t="n">
        <v>4</v>
      </c>
      <c r="B146" s="18" t="n"/>
      <c r="F146" s="55" t="n"/>
      <c r="G146" s="17">
        <f>IFERROR(SUM(F143:F146),"")</f>
        <v/>
      </c>
      <c r="H146" s="17">
        <f>IFERROR(IF(F146="","",FLOOR(G145/((IFERROR(B140,0)+IFERROR(G140,0))/(IFERROR('Getting Started'!C15,0)+IFERROR('Getting Started'!C23,0))),1)+1),"")</f>
        <v/>
      </c>
      <c r="I146" s="17">
        <f>IFERROR(IF(F146="","",CEILING(G146/((IFERROR(B140,0)+IFERROR(G140,0))/(IFERROR('Getting Started'!C15,0)+IFERROR('Getting Started'!C23,0))),1)),"")</f>
        <v/>
      </c>
      <c r="J146" s="54">
        <f>IFERROR(IF(F146="","",TEXT('Getting Started'!C10+(H146-1)*7,"MMM D")&amp;" – "&amp;TEXT('Getting Started'!C10+I146*7,"MMM D")),"")</f>
        <v/>
      </c>
    </row>
    <row r="147" ht="18" customHeight="1">
      <c r="A147" s="53" t="n">
        <v>5</v>
      </c>
      <c r="B147" s="5" t="n"/>
      <c r="F147" s="32" t="n"/>
      <c r="G147" s="17">
        <f>IFERROR(SUM(F143:F147),"")</f>
        <v/>
      </c>
      <c r="H147" s="17">
        <f>IFERROR(IF(F147="","",FLOOR(G146/((IFERROR(B140,0)+IFERROR(G140,0))/(IFERROR('Getting Started'!C15,0)+IFERROR('Getting Started'!C23,0))),1)+1),"")</f>
        <v/>
      </c>
      <c r="I147" s="17">
        <f>IFERROR(IF(F147="","",CEILING(G147/((IFERROR(B140,0)+IFERROR(G140,0))/(IFERROR('Getting Started'!C15,0)+IFERROR('Getting Started'!C23,0))),1)),"")</f>
        <v/>
      </c>
      <c r="J147" s="54">
        <f>IFERROR(IF(F147="","",TEXT('Getting Started'!C10+(H147-1)*7,"MMM D")&amp;" – "&amp;TEXT('Getting Started'!C10+I147*7,"MMM D")),"")</f>
        <v/>
      </c>
    </row>
    <row r="148" ht="18" customHeight="1">
      <c r="A148" s="53" t="n">
        <v>6</v>
      </c>
      <c r="B148" s="18" t="n"/>
      <c r="F148" s="55" t="n"/>
      <c r="G148" s="17">
        <f>IFERROR(SUM(F143:F148),"")</f>
        <v/>
      </c>
      <c r="H148" s="17">
        <f>IFERROR(IF(F148="","",FLOOR(G147/((IFERROR(B140,0)+IFERROR(G140,0))/(IFERROR('Getting Started'!C15,0)+IFERROR('Getting Started'!C23,0))),1)+1),"")</f>
        <v/>
      </c>
      <c r="I148" s="17">
        <f>IFERROR(IF(F148="","",CEILING(G148/((IFERROR(B140,0)+IFERROR(G140,0))/(IFERROR('Getting Started'!C15,0)+IFERROR('Getting Started'!C23,0))),1)),"")</f>
        <v/>
      </c>
      <c r="J148" s="54">
        <f>IFERROR(IF(F148="","",TEXT('Getting Started'!C10+(H148-1)*7,"MMM D")&amp;" – "&amp;TEXT('Getting Started'!C10+I148*7,"MMM D")),"")</f>
        <v/>
      </c>
    </row>
    <row r="149" ht="20" customHeight="1">
      <c r="A149" s="56">
        <f>IFERROR(IF('Course Content'!I117="","",'Course Content'!I117),"")</f>
        <v/>
      </c>
    </row>
    <row r="150" ht="8" customHeight="1"/>
    <row r="151" ht="24" customHeight="1">
      <c r="A151" s="44">
        <f>IF('Course Content'!D118="","  ELECTIVE / OTHER 3","  "&amp;UPPER('Course Content'!D118))</f>
        <v/>
      </c>
      <c r="E151" s="45">
        <f>IFERROR(IF('Course Content'!E118="","← enter on Course Content tab",'Course Content'!E118),"")</f>
        <v/>
      </c>
    </row>
    <row r="152" ht="22" customHeight="1">
      <c r="B152" s="46">
        <f>'Course Content'!G118</f>
        <v/>
      </c>
      <c r="C152" s="47">
        <f>IFERROR(IF(B152="","",ROUND(B152/'Getting Started'!C15,1)),"")</f>
        <v/>
      </c>
      <c r="D152" s="47">
        <f>IFERROR(IF(C152="","",ROUND(C152/'Getting Started'!C7,1)),"")</f>
        <v/>
      </c>
      <c r="E152" s="48">
        <f>IFERROR(IF(B152="","",TEXT('Getting Started'!C10+(B152/D152),"MMM D, YYYY")),"")</f>
        <v/>
      </c>
      <c r="F152" s="39" t="n"/>
      <c r="G152" s="49">
        <f>'Course Content'!H118</f>
        <v/>
      </c>
      <c r="H152" s="50">
        <f>IFERROR(IF(G152="","",ROUND(G152/'Getting Started'!C23,1)),"")</f>
        <v/>
      </c>
      <c r="I152" s="50">
        <f>IFERROR(IF(H152="","",ROUND(H152/'Getting Started'!C7,1)),"")</f>
        <v/>
      </c>
      <c r="J152" s="51">
        <f>IFERROR(IF(G152="","",TEXT('Getting Started'!C18+(G152/I152),"MMM D, YYYY")),"")</f>
        <v/>
      </c>
    </row>
    <row r="153" ht="16" customHeight="1">
      <c r="A153" s="52" t="inlineStr">
        <is>
          <t xml:space="preserve">  Component Breakdown  (optional — use for multi-volume curricula)</t>
        </is>
      </c>
    </row>
    <row r="154" ht="22" customHeight="1">
      <c r="A154" s="28" t="inlineStr">
        <is>
          <t>#</t>
        </is>
      </c>
      <c r="B154" s="28" t="inlineStr">
        <is>
          <t>Book / Component Title</t>
        </is>
      </c>
      <c r="F154" s="28" t="inlineStr">
        <is>
          <t>Units</t>
        </is>
      </c>
      <c r="G154" s="28" t="inlineStr">
        <is>
          <t>Cumul.</t>
        </is>
      </c>
      <c r="H154" s="28" t="inlineStr">
        <is>
          <t>Start
Week</t>
        </is>
      </c>
      <c r="I154" s="28" t="inlineStr">
        <is>
          <t>End
Week</t>
        </is>
      </c>
      <c r="J154" s="28" t="inlineStr">
        <is>
          <t>Est. Dates</t>
        </is>
      </c>
    </row>
    <row r="155" ht="18" customHeight="1">
      <c r="A155" s="53" t="n">
        <v>1</v>
      </c>
      <c r="B155" s="5" t="n"/>
      <c r="F155" s="32" t="n"/>
      <c r="G155" s="17">
        <f>IFERROR(SUM(F155:F155),"")</f>
        <v/>
      </c>
      <c r="H155" s="17">
        <f>IF(F155="","",1)</f>
        <v/>
      </c>
      <c r="I155" s="17">
        <f>IFERROR(IF(F155="","",CEILING(G155/((IFERROR(B152,0)+IFERROR(G152,0))/(IFERROR('Getting Started'!C15,0)+IFERROR('Getting Started'!C23,0))),1)),"")</f>
        <v/>
      </c>
      <c r="J155" s="54">
        <f>IFERROR(IF(F155="","",TEXT('Getting Started'!C10+(H155-1)*7,"MMM D")&amp;" – "&amp;TEXT('Getting Started'!C10+I155*7,"MMM D")),"")</f>
        <v/>
      </c>
    </row>
    <row r="156" ht="18" customHeight="1">
      <c r="A156" s="53" t="n">
        <v>2</v>
      </c>
      <c r="B156" s="18" t="n"/>
      <c r="F156" s="55" t="n"/>
      <c r="G156" s="17">
        <f>IFERROR(SUM(F155:F156),"")</f>
        <v/>
      </c>
      <c r="H156" s="17">
        <f>IFERROR(IF(F156="","",FLOOR(G155/((IFERROR(B152,0)+IFERROR(G152,0))/(IFERROR('Getting Started'!C15,0)+IFERROR('Getting Started'!C23,0))),1)+1),"")</f>
        <v/>
      </c>
      <c r="I156" s="17">
        <f>IFERROR(IF(F156="","",CEILING(G156/((IFERROR(B152,0)+IFERROR(G152,0))/(IFERROR('Getting Started'!C15,0)+IFERROR('Getting Started'!C23,0))),1)),"")</f>
        <v/>
      </c>
      <c r="J156" s="54">
        <f>IFERROR(IF(F156="","",TEXT('Getting Started'!C10+(H156-1)*7,"MMM D")&amp;" – "&amp;TEXT('Getting Started'!C10+I156*7,"MMM D")),"")</f>
        <v/>
      </c>
    </row>
    <row r="157" ht="18" customHeight="1">
      <c r="A157" s="53" t="n">
        <v>3</v>
      </c>
      <c r="B157" s="5" t="n"/>
      <c r="F157" s="32" t="n"/>
      <c r="G157" s="17">
        <f>IFERROR(SUM(F155:F157),"")</f>
        <v/>
      </c>
      <c r="H157" s="17">
        <f>IFERROR(IF(F157="","",FLOOR(G156/((IFERROR(B152,0)+IFERROR(G152,0))/(IFERROR('Getting Started'!C15,0)+IFERROR('Getting Started'!C23,0))),1)+1),"")</f>
        <v/>
      </c>
      <c r="I157" s="17">
        <f>IFERROR(IF(F157="","",CEILING(G157/((IFERROR(B152,0)+IFERROR(G152,0))/(IFERROR('Getting Started'!C15,0)+IFERROR('Getting Started'!C23,0))),1)),"")</f>
        <v/>
      </c>
      <c r="J157" s="54">
        <f>IFERROR(IF(F157="","",TEXT('Getting Started'!C10+(H157-1)*7,"MMM D")&amp;" – "&amp;TEXT('Getting Started'!C10+I157*7,"MMM D")),"")</f>
        <v/>
      </c>
    </row>
    <row r="158" ht="18" customHeight="1">
      <c r="A158" s="53" t="n">
        <v>4</v>
      </c>
      <c r="B158" s="18" t="n"/>
      <c r="F158" s="55" t="n"/>
      <c r="G158" s="17">
        <f>IFERROR(SUM(F155:F158),"")</f>
        <v/>
      </c>
      <c r="H158" s="17">
        <f>IFERROR(IF(F158="","",FLOOR(G157/((IFERROR(B152,0)+IFERROR(G152,0))/(IFERROR('Getting Started'!C15,0)+IFERROR('Getting Started'!C23,0))),1)+1),"")</f>
        <v/>
      </c>
      <c r="I158" s="17">
        <f>IFERROR(IF(F158="","",CEILING(G158/((IFERROR(B152,0)+IFERROR(G152,0))/(IFERROR('Getting Started'!C15,0)+IFERROR('Getting Started'!C23,0))),1)),"")</f>
        <v/>
      </c>
      <c r="J158" s="54">
        <f>IFERROR(IF(F158="","",TEXT('Getting Started'!C10+(H158-1)*7,"MMM D")&amp;" – "&amp;TEXT('Getting Started'!C10+I158*7,"MMM D")),"")</f>
        <v/>
      </c>
    </row>
    <row r="159" ht="18" customHeight="1">
      <c r="A159" s="53" t="n">
        <v>5</v>
      </c>
      <c r="B159" s="5" t="n"/>
      <c r="F159" s="32" t="n"/>
      <c r="G159" s="17">
        <f>IFERROR(SUM(F155:F159),"")</f>
        <v/>
      </c>
      <c r="H159" s="17">
        <f>IFERROR(IF(F159="","",FLOOR(G158/((IFERROR(B152,0)+IFERROR(G152,0))/(IFERROR('Getting Started'!C15,0)+IFERROR('Getting Started'!C23,0))),1)+1),"")</f>
        <v/>
      </c>
      <c r="I159" s="17">
        <f>IFERROR(IF(F159="","",CEILING(G159/((IFERROR(B152,0)+IFERROR(G152,0))/(IFERROR('Getting Started'!C15,0)+IFERROR('Getting Started'!C23,0))),1)),"")</f>
        <v/>
      </c>
      <c r="J159" s="54">
        <f>IFERROR(IF(F159="","",TEXT('Getting Started'!C10+(H159-1)*7,"MMM D")&amp;" – "&amp;TEXT('Getting Started'!C10+I159*7,"MMM D")),"")</f>
        <v/>
      </c>
    </row>
    <row r="160" ht="18" customHeight="1">
      <c r="A160" s="53" t="n">
        <v>6</v>
      </c>
      <c r="B160" s="18" t="n"/>
      <c r="F160" s="55" t="n"/>
      <c r="G160" s="17">
        <f>IFERROR(SUM(F155:F160),"")</f>
        <v/>
      </c>
      <c r="H160" s="17">
        <f>IFERROR(IF(F160="","",FLOOR(G159/((IFERROR(B152,0)+IFERROR(G152,0))/(IFERROR('Getting Started'!C15,0)+IFERROR('Getting Started'!C23,0))),1)+1),"")</f>
        <v/>
      </c>
      <c r="I160" s="17">
        <f>IFERROR(IF(F160="","",CEILING(G160/((IFERROR(B152,0)+IFERROR(G152,0))/(IFERROR('Getting Started'!C15,0)+IFERROR('Getting Started'!C23,0))),1)),"")</f>
        <v/>
      </c>
      <c r="J160" s="54">
        <f>IFERROR(IF(F160="","",TEXT('Getting Started'!C10+(H160-1)*7,"MMM D")&amp;" – "&amp;TEXT('Getting Started'!C10+I160*7,"MMM D")),"")</f>
        <v/>
      </c>
    </row>
    <row r="161" ht="20" customHeight="1">
      <c r="A161" s="56">
        <f>IFERROR(IF('Course Content'!I118="","",'Course Content'!I118),"")</f>
        <v/>
      </c>
    </row>
    <row r="162" ht="8" customHeight="1"/>
    <row r="163" ht="24" customHeight="1">
      <c r="A163" s="44">
        <f>IF('Course Content'!D119="","  ELECTIVE / OTHER 4","  "&amp;UPPER('Course Content'!D119))</f>
        <v/>
      </c>
      <c r="E163" s="45">
        <f>IFERROR(IF('Course Content'!E119="","← enter on Course Content tab",'Course Content'!E119),"")</f>
        <v/>
      </c>
    </row>
    <row r="164" ht="22" customHeight="1">
      <c r="B164" s="46">
        <f>'Course Content'!G119</f>
        <v/>
      </c>
      <c r="C164" s="47">
        <f>IFERROR(IF(B164="","",ROUND(B164/'Getting Started'!C15,1)),"")</f>
        <v/>
      </c>
      <c r="D164" s="47">
        <f>IFERROR(IF(C164="","",ROUND(C164/'Getting Started'!C7,1)),"")</f>
        <v/>
      </c>
      <c r="E164" s="48">
        <f>IFERROR(IF(B164="","",TEXT('Getting Started'!C10+(B164/D164),"MMM D, YYYY")),"")</f>
        <v/>
      </c>
      <c r="F164" s="39" t="n"/>
      <c r="G164" s="49">
        <f>'Course Content'!H119</f>
        <v/>
      </c>
      <c r="H164" s="50">
        <f>IFERROR(IF(G164="","",ROUND(G164/'Getting Started'!C23,1)),"")</f>
        <v/>
      </c>
      <c r="I164" s="50">
        <f>IFERROR(IF(H164="","",ROUND(H164/'Getting Started'!C7,1)),"")</f>
        <v/>
      </c>
      <c r="J164" s="51">
        <f>IFERROR(IF(G164="","",TEXT('Getting Started'!C18+(G164/I164),"MMM D, YYYY")),"")</f>
        <v/>
      </c>
    </row>
    <row r="165" ht="16" customHeight="1">
      <c r="A165" s="52" t="inlineStr">
        <is>
          <t xml:space="preserve">  Component Breakdown  (optional — use for multi-volume curricula)</t>
        </is>
      </c>
    </row>
    <row r="166" ht="22" customHeight="1">
      <c r="A166" s="28" t="inlineStr">
        <is>
          <t>#</t>
        </is>
      </c>
      <c r="B166" s="28" t="inlineStr">
        <is>
          <t>Book / Component Title</t>
        </is>
      </c>
      <c r="F166" s="28" t="inlineStr">
        <is>
          <t>Units</t>
        </is>
      </c>
      <c r="G166" s="28" t="inlineStr">
        <is>
          <t>Cumul.</t>
        </is>
      </c>
      <c r="H166" s="28" t="inlineStr">
        <is>
          <t>Start
Week</t>
        </is>
      </c>
      <c r="I166" s="28" t="inlineStr">
        <is>
          <t>End
Week</t>
        </is>
      </c>
      <c r="J166" s="28" t="inlineStr">
        <is>
          <t>Est. Dates</t>
        </is>
      </c>
    </row>
    <row r="167" ht="18" customHeight="1">
      <c r="A167" s="53" t="n">
        <v>1</v>
      </c>
      <c r="B167" s="5" t="n"/>
      <c r="F167" s="32" t="n"/>
      <c r="G167" s="17">
        <f>IFERROR(SUM(F167:F167),"")</f>
        <v/>
      </c>
      <c r="H167" s="17">
        <f>IF(F167="","",1)</f>
        <v/>
      </c>
      <c r="I167" s="17">
        <f>IFERROR(IF(F167="","",CEILING(G167/((IFERROR(B164,0)+IFERROR(G164,0))/(IFERROR('Getting Started'!C15,0)+IFERROR('Getting Started'!C23,0))),1)),"")</f>
        <v/>
      </c>
      <c r="J167" s="54">
        <f>IFERROR(IF(F167="","",TEXT('Getting Started'!C10+(H167-1)*7,"MMM D")&amp;" – "&amp;TEXT('Getting Started'!C10+I167*7,"MMM D")),"")</f>
        <v/>
      </c>
    </row>
    <row r="168" ht="18" customHeight="1">
      <c r="A168" s="53" t="n">
        <v>2</v>
      </c>
      <c r="B168" s="18" t="n"/>
      <c r="F168" s="55" t="n"/>
      <c r="G168" s="17">
        <f>IFERROR(SUM(F167:F168),"")</f>
        <v/>
      </c>
      <c r="H168" s="17">
        <f>IFERROR(IF(F168="","",FLOOR(G167/((IFERROR(B164,0)+IFERROR(G164,0))/(IFERROR('Getting Started'!C15,0)+IFERROR('Getting Started'!C23,0))),1)+1),"")</f>
        <v/>
      </c>
      <c r="I168" s="17">
        <f>IFERROR(IF(F168="","",CEILING(G168/((IFERROR(B164,0)+IFERROR(G164,0))/(IFERROR('Getting Started'!C15,0)+IFERROR('Getting Started'!C23,0))),1)),"")</f>
        <v/>
      </c>
      <c r="J168" s="54">
        <f>IFERROR(IF(F168="","",TEXT('Getting Started'!C10+(H168-1)*7,"MMM D")&amp;" – "&amp;TEXT('Getting Started'!C10+I168*7,"MMM D")),"")</f>
        <v/>
      </c>
    </row>
    <row r="169" ht="18" customHeight="1">
      <c r="A169" s="53" t="n">
        <v>3</v>
      </c>
      <c r="B169" s="5" t="n"/>
      <c r="F169" s="32" t="n"/>
      <c r="G169" s="17">
        <f>IFERROR(SUM(F167:F169),"")</f>
        <v/>
      </c>
      <c r="H169" s="17">
        <f>IFERROR(IF(F169="","",FLOOR(G168/((IFERROR(B164,0)+IFERROR(G164,0))/(IFERROR('Getting Started'!C15,0)+IFERROR('Getting Started'!C23,0))),1)+1),"")</f>
        <v/>
      </c>
      <c r="I169" s="17">
        <f>IFERROR(IF(F169="","",CEILING(G169/((IFERROR(B164,0)+IFERROR(G164,0))/(IFERROR('Getting Started'!C15,0)+IFERROR('Getting Started'!C23,0))),1)),"")</f>
        <v/>
      </c>
      <c r="J169" s="54">
        <f>IFERROR(IF(F169="","",TEXT('Getting Started'!C10+(H169-1)*7,"MMM D")&amp;" – "&amp;TEXT('Getting Started'!C10+I169*7,"MMM D")),"")</f>
        <v/>
      </c>
    </row>
    <row r="170" ht="18" customHeight="1">
      <c r="A170" s="53" t="n">
        <v>4</v>
      </c>
      <c r="B170" s="18" t="n"/>
      <c r="F170" s="55" t="n"/>
      <c r="G170" s="17">
        <f>IFERROR(SUM(F167:F170),"")</f>
        <v/>
      </c>
      <c r="H170" s="17">
        <f>IFERROR(IF(F170="","",FLOOR(G169/((IFERROR(B164,0)+IFERROR(G164,0))/(IFERROR('Getting Started'!C15,0)+IFERROR('Getting Started'!C23,0))),1)+1),"")</f>
        <v/>
      </c>
      <c r="I170" s="17">
        <f>IFERROR(IF(F170="","",CEILING(G170/((IFERROR(B164,0)+IFERROR(G164,0))/(IFERROR('Getting Started'!C15,0)+IFERROR('Getting Started'!C23,0))),1)),"")</f>
        <v/>
      </c>
      <c r="J170" s="54">
        <f>IFERROR(IF(F170="","",TEXT('Getting Started'!C10+(H170-1)*7,"MMM D")&amp;" – "&amp;TEXT('Getting Started'!C10+I170*7,"MMM D")),"")</f>
        <v/>
      </c>
    </row>
    <row r="171" ht="18" customHeight="1">
      <c r="A171" s="53" t="n">
        <v>5</v>
      </c>
      <c r="B171" s="5" t="n"/>
      <c r="F171" s="32" t="n"/>
      <c r="G171" s="17">
        <f>IFERROR(SUM(F167:F171),"")</f>
        <v/>
      </c>
      <c r="H171" s="17">
        <f>IFERROR(IF(F171="","",FLOOR(G170/((IFERROR(B164,0)+IFERROR(G164,0))/(IFERROR('Getting Started'!C15,0)+IFERROR('Getting Started'!C23,0))),1)+1),"")</f>
        <v/>
      </c>
      <c r="I171" s="17">
        <f>IFERROR(IF(F171="","",CEILING(G171/((IFERROR(B164,0)+IFERROR(G164,0))/(IFERROR('Getting Started'!C15,0)+IFERROR('Getting Started'!C23,0))),1)),"")</f>
        <v/>
      </c>
      <c r="J171" s="54">
        <f>IFERROR(IF(F171="","",TEXT('Getting Started'!C10+(H171-1)*7,"MMM D")&amp;" – "&amp;TEXT('Getting Started'!C10+I171*7,"MMM D")),"")</f>
        <v/>
      </c>
    </row>
    <row r="172" ht="18" customHeight="1">
      <c r="A172" s="53" t="n">
        <v>6</v>
      </c>
      <c r="B172" s="18" t="n"/>
      <c r="F172" s="55" t="n"/>
      <c r="G172" s="17">
        <f>IFERROR(SUM(F167:F172),"")</f>
        <v/>
      </c>
      <c r="H172" s="17">
        <f>IFERROR(IF(F172="","",FLOOR(G171/((IFERROR(B164,0)+IFERROR(G164,0))/(IFERROR('Getting Started'!C15,0)+IFERROR('Getting Started'!C23,0))),1)+1),"")</f>
        <v/>
      </c>
      <c r="I172" s="17">
        <f>IFERROR(IF(F172="","",CEILING(G172/((IFERROR(B164,0)+IFERROR(G164,0))/(IFERROR('Getting Started'!C15,0)+IFERROR('Getting Started'!C23,0))),1)),"")</f>
        <v/>
      </c>
      <c r="J172" s="54">
        <f>IFERROR(IF(F172="","",TEXT('Getting Started'!C10+(H172-1)*7,"MMM D")&amp;" – "&amp;TEXT('Getting Started'!C10+I172*7,"MMM D")),"")</f>
        <v/>
      </c>
    </row>
    <row r="173" ht="20" customHeight="1">
      <c r="A173" s="56">
        <f>IFERROR(IF('Course Content'!I119="","",'Course Content'!I119),"")</f>
        <v/>
      </c>
    </row>
    <row r="174" ht="8" customHeight="1"/>
  </sheetData>
  <mergeCells count="158">
    <mergeCell ref="B146:E146"/>
    <mergeCell ref="E19:J19"/>
    <mergeCell ref="B74:E74"/>
    <mergeCell ref="G4:J4"/>
    <mergeCell ref="A165:J165"/>
    <mergeCell ref="B123:E123"/>
    <mergeCell ref="B36:E36"/>
    <mergeCell ref="B76:E76"/>
    <mergeCell ref="B110:E110"/>
    <mergeCell ref="A93:J93"/>
    <mergeCell ref="A31:D31"/>
    <mergeCell ref="A173:J173"/>
    <mergeCell ref="B100:E100"/>
    <mergeCell ref="A77:J77"/>
    <mergeCell ref="B109:E109"/>
    <mergeCell ref="B47:E47"/>
    <mergeCell ref="B22:E22"/>
    <mergeCell ref="B155:E155"/>
    <mergeCell ref="B12:E12"/>
    <mergeCell ref="B86:E86"/>
    <mergeCell ref="A69:J69"/>
    <mergeCell ref="A7:D7"/>
    <mergeCell ref="B39:E39"/>
    <mergeCell ref="E139:J139"/>
    <mergeCell ref="B14:E14"/>
    <mergeCell ref="B136:E136"/>
    <mergeCell ref="B23:E23"/>
    <mergeCell ref="B13:E13"/>
    <mergeCell ref="A163:D163"/>
    <mergeCell ref="B38:E38"/>
    <mergeCell ref="B112:E112"/>
    <mergeCell ref="E79:J79"/>
    <mergeCell ref="B87:E87"/>
    <mergeCell ref="B40:E40"/>
    <mergeCell ref="B49:E49"/>
    <mergeCell ref="B64:E64"/>
    <mergeCell ref="A29:J29"/>
    <mergeCell ref="A81:J81"/>
    <mergeCell ref="A19:D19"/>
    <mergeCell ref="B51:E51"/>
    <mergeCell ref="A161:J161"/>
    <mergeCell ref="B63:E63"/>
    <mergeCell ref="B26:E26"/>
    <mergeCell ref="B154:E154"/>
    <mergeCell ref="B35:E35"/>
    <mergeCell ref="B50:E50"/>
    <mergeCell ref="B106:E106"/>
    <mergeCell ref="A127:D127"/>
    <mergeCell ref="E163:J163"/>
    <mergeCell ref="B16:E16"/>
    <mergeCell ref="B25:E25"/>
    <mergeCell ref="B156:E156"/>
    <mergeCell ref="E91:J91"/>
    <mergeCell ref="B131:E131"/>
    <mergeCell ref="B27:E27"/>
    <mergeCell ref="A79:D79"/>
    <mergeCell ref="E115:J115"/>
    <mergeCell ref="B130:E130"/>
    <mergeCell ref="B11:E11"/>
    <mergeCell ref="B61:E61"/>
    <mergeCell ref="A4:E4"/>
    <mergeCell ref="B132:E132"/>
    <mergeCell ref="B166:E166"/>
    <mergeCell ref="A149:J149"/>
    <mergeCell ref="B119:E119"/>
    <mergeCell ref="E127:J127"/>
    <mergeCell ref="A139:D139"/>
    <mergeCell ref="B37:E37"/>
    <mergeCell ref="A2:J2"/>
    <mergeCell ref="B168:E168"/>
    <mergeCell ref="B84:E84"/>
    <mergeCell ref="B118:E118"/>
    <mergeCell ref="A141:J141"/>
    <mergeCell ref="A91:D91"/>
    <mergeCell ref="B158:E158"/>
    <mergeCell ref="B15:E15"/>
    <mergeCell ref="B142:E142"/>
    <mergeCell ref="B24:E24"/>
    <mergeCell ref="A125:J125"/>
    <mergeCell ref="B95:E95"/>
    <mergeCell ref="A115:D115"/>
    <mergeCell ref="B160:E160"/>
    <mergeCell ref="B169:E169"/>
    <mergeCell ref="B144:E144"/>
    <mergeCell ref="B97:E97"/>
    <mergeCell ref="B72:E72"/>
    <mergeCell ref="B134:E134"/>
    <mergeCell ref="B121:E121"/>
    <mergeCell ref="A103:D103"/>
    <mergeCell ref="B122:E122"/>
    <mergeCell ref="B71:E71"/>
    <mergeCell ref="B58:E58"/>
    <mergeCell ref="B52:E52"/>
    <mergeCell ref="A153:J153"/>
    <mergeCell ref="B120:E120"/>
    <mergeCell ref="A137:J137"/>
    <mergeCell ref="B107:E107"/>
    <mergeCell ref="A41:J41"/>
    <mergeCell ref="B60:E60"/>
    <mergeCell ref="E151:J151"/>
    <mergeCell ref="B170:E170"/>
    <mergeCell ref="E55:J55"/>
    <mergeCell ref="B148:E148"/>
    <mergeCell ref="B157:E157"/>
    <mergeCell ref="E67:J67"/>
    <mergeCell ref="B171:E171"/>
    <mergeCell ref="A101:J101"/>
    <mergeCell ref="B34:E34"/>
    <mergeCell ref="B172:E172"/>
    <mergeCell ref="B28:E28"/>
    <mergeCell ref="B99:E99"/>
    <mergeCell ref="A33:J33"/>
    <mergeCell ref="B108:E108"/>
    <mergeCell ref="E103:J103"/>
    <mergeCell ref="B83:E83"/>
    <mergeCell ref="A17:J17"/>
    <mergeCell ref="B143:E143"/>
    <mergeCell ref="A53:J53"/>
    <mergeCell ref="E31:J31"/>
    <mergeCell ref="B124:E124"/>
    <mergeCell ref="A43:D43"/>
    <mergeCell ref="B133:E133"/>
    <mergeCell ref="B85:E85"/>
    <mergeCell ref="B94:E94"/>
    <mergeCell ref="A117:J117"/>
    <mergeCell ref="A67:D67"/>
    <mergeCell ref="B75:E75"/>
    <mergeCell ref="A9:J9"/>
    <mergeCell ref="B135:E135"/>
    <mergeCell ref="B62:E62"/>
    <mergeCell ref="B59:E59"/>
    <mergeCell ref="B46:E46"/>
    <mergeCell ref="B159:E159"/>
    <mergeCell ref="E7:J7"/>
    <mergeCell ref="A1:J1"/>
    <mergeCell ref="A45:J45"/>
    <mergeCell ref="B96:E96"/>
    <mergeCell ref="B167:E167"/>
    <mergeCell ref="B70:E70"/>
    <mergeCell ref="B48:E48"/>
    <mergeCell ref="A65:J65"/>
    <mergeCell ref="E43:J43"/>
    <mergeCell ref="B111:E111"/>
    <mergeCell ref="B145:E145"/>
    <mergeCell ref="B98:E98"/>
    <mergeCell ref="A89:J89"/>
    <mergeCell ref="B73:E73"/>
    <mergeCell ref="B88:E88"/>
    <mergeCell ref="B82:E82"/>
    <mergeCell ref="A21:J21"/>
    <mergeCell ref="A55:D55"/>
    <mergeCell ref="A105:J105"/>
    <mergeCell ref="B147:E147"/>
    <mergeCell ref="A57:J57"/>
    <mergeCell ref="A113:J113"/>
    <mergeCell ref="A151:D151"/>
    <mergeCell ref="B10:E10"/>
    <mergeCell ref="A129:J129"/>
  </mergeCells>
  <pageMargins left="0.75" right="0.75" top="1" bottom="1" header="0.5" footer="0.5"/>
</worksheet>
</file>

<file path=xl/worksheets/sheet11.xml><?xml version="1.0" encoding="utf-8"?>
<worksheet xmlns="http://schemas.openxmlformats.org/spreadsheetml/2006/main">
  <sheetPr>
    <tabColor rgb="008A6B8A"/>
    <outlinePr summaryBelow="1" summaryRight="1"/>
    <pageSetUpPr/>
  </sheetPr>
  <dimension ref="A1:J173"/>
  <sheetViews>
    <sheetView workbookViewId="0">
      <pane ySplit="6" topLeftCell="A7"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8" customWidth="1" min="5" max="5"/>
    <col width="4" customWidth="1" min="6" max="6"/>
    <col width="14" customWidth="1" min="7" max="7"/>
    <col width="14" customWidth="1" min="8" max="8"/>
    <col width="14" customWidth="1" min="9" max="9"/>
    <col width="18" customWidth="1" min="10" max="10"/>
  </cols>
  <sheetData>
    <row r="1" ht="40" customHeight="1">
      <c r="A1" s="1">
        <f>IF('Getting Started'!B37="","Student 9",'Getting Started'!B37)</f>
        <v/>
      </c>
    </row>
    <row r="2" ht="22" customHeight="1">
      <c r="A2" s="37">
        <f>IFERROR("Grade: "&amp;'Getting Started'!F37&amp;"   ·   School Year: "&amp;'Getting Started'!C6,"")</f>
        <v/>
      </c>
    </row>
    <row r="3" ht="8" customHeight="1"/>
    <row r="4" ht="22" customHeight="1">
      <c r="A4" s="38">
        <f>IFERROR("SEMESTER 1   "&amp;TEXT('Getting Started'!C10,"MMM D")&amp;" – "&amp;TEXT('Getting Started'!C11,"MMM D, YYYY")&amp;"   ("&amp;'Getting Started'!C15&amp;" wks)","SEMESTER 1")</f>
        <v/>
      </c>
      <c r="F4" s="39" t="n"/>
      <c r="G4" s="40">
        <f>IFERROR("SEMESTER 2   "&amp;TEXT('Getting Started'!C18,"MMM D")&amp;" – "&amp;TEXT('Getting Started'!C19,"MMM D, YYYY")&amp;"   ("&amp;'Getting Started'!C23&amp;" wks)","SEMESTER 2")</f>
        <v/>
      </c>
    </row>
    <row r="5" ht="24" customHeight="1">
      <c r="A5" s="28" t="inlineStr">
        <is>
          <t>Subject  /  Curriculum</t>
        </is>
      </c>
      <c r="B5" s="41" t="inlineStr">
        <is>
          <t>Sem 1
Units</t>
        </is>
      </c>
      <c r="C5" s="41" t="inlineStr">
        <is>
          <t>/ Week</t>
        </is>
      </c>
      <c r="D5" s="41" t="inlineStr">
        <is>
          <t>/ Day</t>
        </is>
      </c>
      <c r="E5" s="41" t="inlineStr">
        <is>
          <t>Est. End</t>
        </is>
      </c>
      <c r="F5" s="42" t="inlineStr"/>
      <c r="G5" s="43" t="inlineStr">
        <is>
          <t>Sem 2
Units</t>
        </is>
      </c>
      <c r="H5" s="43" t="inlineStr">
        <is>
          <t>/ Week</t>
        </is>
      </c>
      <c r="I5" s="43" t="inlineStr">
        <is>
          <t>/ Day</t>
        </is>
      </c>
      <c r="J5" s="43" t="inlineStr">
        <is>
          <t>Est. End</t>
        </is>
      </c>
    </row>
    <row r="6" ht="8" customHeight="1"/>
    <row r="7" ht="24" customHeight="1">
      <c r="A7" s="44" t="inlineStr">
        <is>
          <t xml:space="preserve">  BIBLE</t>
        </is>
      </c>
      <c r="E7" s="45">
        <f>IFERROR(IF('Course Content'!E120="","← enter on Course Content tab",'Course Content'!E120),"")</f>
        <v/>
      </c>
    </row>
    <row r="8" ht="22" customHeight="1">
      <c r="B8" s="46">
        <f>'Course Content'!G120</f>
        <v/>
      </c>
      <c r="C8" s="47">
        <f>IFERROR(IF(B8="","",ROUND(B8/'Getting Started'!C15,1)),"")</f>
        <v/>
      </c>
      <c r="D8" s="47">
        <f>IFERROR(IF(C8="","",ROUND(C8/'Getting Started'!C7,1)),"")</f>
        <v/>
      </c>
      <c r="E8" s="48">
        <f>IFERROR(IF(B8="","",TEXT('Getting Started'!C10+(B8/D8),"MMM D, YYYY")),"")</f>
        <v/>
      </c>
      <c r="F8" s="39" t="n"/>
      <c r="G8" s="49">
        <f>'Course Content'!H120</f>
        <v/>
      </c>
      <c r="H8" s="50">
        <f>IFERROR(IF(G8="","",ROUND(G8/'Getting Started'!C23,1)),"")</f>
        <v/>
      </c>
      <c r="I8" s="50">
        <f>IFERROR(IF(H8="","",ROUND(H8/'Getting Started'!C7,1)),"")</f>
        <v/>
      </c>
      <c r="J8" s="51">
        <f>IFERROR(IF(G8="","",TEXT('Getting Started'!C18+(G8/I8),"MMM D, YYYY")),"")</f>
        <v/>
      </c>
    </row>
    <row r="9" ht="16" customHeight="1">
      <c r="A9" s="52" t="inlineStr">
        <is>
          <t xml:space="preserve">  Component Breakdown  (optional — use for multi-volume curricula)</t>
        </is>
      </c>
    </row>
    <row r="10" ht="22" customHeight="1">
      <c r="A10" s="28" t="inlineStr">
        <is>
          <t>#</t>
        </is>
      </c>
      <c r="B10" s="28" t="inlineStr">
        <is>
          <t>Book / Component Title</t>
        </is>
      </c>
      <c r="F10" s="28" t="inlineStr">
        <is>
          <t>Units</t>
        </is>
      </c>
      <c r="G10" s="28" t="inlineStr">
        <is>
          <t>Cumul.</t>
        </is>
      </c>
      <c r="H10" s="28" t="inlineStr">
        <is>
          <t>Start
Week</t>
        </is>
      </c>
      <c r="I10" s="28" t="inlineStr">
        <is>
          <t>End
Week</t>
        </is>
      </c>
      <c r="J10" s="28" t="inlineStr">
        <is>
          <t>Est. Dates</t>
        </is>
      </c>
    </row>
    <row r="11" ht="18" customHeight="1">
      <c r="A11" s="53" t="n">
        <v>1</v>
      </c>
      <c r="B11" s="5" t="n"/>
      <c r="F11" s="32" t="n"/>
      <c r="G11" s="17">
        <f>IFERROR(SUM(F11:F11),"")</f>
        <v/>
      </c>
      <c r="H11" s="17">
        <f>IF(F11="","",1)</f>
        <v/>
      </c>
      <c r="I11" s="17">
        <f>IFERROR(IF(F11="","",CEILING(G11/((IFERROR(B8,0)+IFERROR(G8,0))/(IFERROR('Getting Started'!C15,0)+IFERROR('Getting Started'!C23,0))),1)),"")</f>
        <v/>
      </c>
      <c r="J11" s="54">
        <f>IFERROR(IF(F11="","",TEXT('Getting Started'!C10+(H11-1)*7,"MMM D")&amp;" – "&amp;TEXT('Getting Started'!C10+I11*7,"MMM D")),"")</f>
        <v/>
      </c>
    </row>
    <row r="12" ht="18" customHeight="1">
      <c r="A12" s="53" t="n">
        <v>2</v>
      </c>
      <c r="B12" s="18" t="n"/>
      <c r="F12" s="55" t="n"/>
      <c r="G12" s="17">
        <f>IFERROR(SUM(F11:F12),"")</f>
        <v/>
      </c>
      <c r="H12" s="17">
        <f>IFERROR(IF(F12="","",FLOOR(G11/((IFERROR(B8,0)+IFERROR(G8,0))/(IFERROR('Getting Started'!C15,0)+IFERROR('Getting Started'!C23,0))),1)+1),"")</f>
        <v/>
      </c>
      <c r="I12" s="17">
        <f>IFERROR(IF(F12="","",CEILING(G12/((IFERROR(B8,0)+IFERROR(G8,0))/(IFERROR('Getting Started'!C15,0)+IFERROR('Getting Started'!C23,0))),1)),"")</f>
        <v/>
      </c>
      <c r="J12" s="54">
        <f>IFERROR(IF(F12="","",TEXT('Getting Started'!C10+(H12-1)*7,"MMM D")&amp;" – "&amp;TEXT('Getting Started'!C10+I12*7,"MMM D")),"")</f>
        <v/>
      </c>
    </row>
    <row r="13" ht="18" customHeight="1">
      <c r="A13" s="53" t="n">
        <v>3</v>
      </c>
      <c r="B13" s="5" t="n"/>
      <c r="F13" s="32" t="n"/>
      <c r="G13" s="17">
        <f>IFERROR(SUM(F11:F13),"")</f>
        <v/>
      </c>
      <c r="H13" s="17">
        <f>IFERROR(IF(F13="","",FLOOR(G12/((IFERROR(B8,0)+IFERROR(G8,0))/(IFERROR('Getting Started'!C15,0)+IFERROR('Getting Started'!C23,0))),1)+1),"")</f>
        <v/>
      </c>
      <c r="I13" s="17">
        <f>IFERROR(IF(F13="","",CEILING(G13/((IFERROR(B8,0)+IFERROR(G8,0))/(IFERROR('Getting Started'!C15,0)+IFERROR('Getting Started'!C23,0))),1)),"")</f>
        <v/>
      </c>
      <c r="J13" s="54">
        <f>IFERROR(IF(F13="","",TEXT('Getting Started'!C10+(H13-1)*7,"MMM D")&amp;" – "&amp;TEXT('Getting Started'!C10+I13*7,"MMM D")),"")</f>
        <v/>
      </c>
    </row>
    <row r="14" ht="18" customHeight="1">
      <c r="A14" s="53" t="n">
        <v>4</v>
      </c>
      <c r="B14" s="18" t="n"/>
      <c r="F14" s="55" t="n"/>
      <c r="G14" s="17">
        <f>IFERROR(SUM(F11:F14),"")</f>
        <v/>
      </c>
      <c r="H14" s="17">
        <f>IFERROR(IF(F14="","",FLOOR(G13/((IFERROR(B8,0)+IFERROR(G8,0))/(IFERROR('Getting Started'!C15,0)+IFERROR('Getting Started'!C23,0))),1)+1),"")</f>
        <v/>
      </c>
      <c r="I14" s="17">
        <f>IFERROR(IF(F14="","",CEILING(G14/((IFERROR(B8,0)+IFERROR(G8,0))/(IFERROR('Getting Started'!C15,0)+IFERROR('Getting Started'!C23,0))),1)),"")</f>
        <v/>
      </c>
      <c r="J14" s="54">
        <f>IFERROR(IF(F14="","",TEXT('Getting Started'!C10+(H14-1)*7,"MMM D")&amp;" – "&amp;TEXT('Getting Started'!C10+I14*7,"MMM D")),"")</f>
        <v/>
      </c>
    </row>
    <row r="15" ht="18" customHeight="1">
      <c r="A15" s="53" t="n">
        <v>5</v>
      </c>
      <c r="B15" s="5" t="n"/>
      <c r="F15" s="32" t="n"/>
      <c r="G15" s="17">
        <f>IFERROR(SUM(F11:F15),"")</f>
        <v/>
      </c>
      <c r="H15" s="17">
        <f>IFERROR(IF(F15="","",FLOOR(G14/((IFERROR(B8,0)+IFERROR(G8,0))/(IFERROR('Getting Started'!C15,0)+IFERROR('Getting Started'!C23,0))),1)+1),"")</f>
        <v/>
      </c>
      <c r="I15" s="17">
        <f>IFERROR(IF(F15="","",CEILING(G15/((IFERROR(B8,0)+IFERROR(G8,0))/(IFERROR('Getting Started'!C15,0)+IFERROR('Getting Started'!C23,0))),1)),"")</f>
        <v/>
      </c>
      <c r="J15" s="54">
        <f>IFERROR(IF(F15="","",TEXT('Getting Started'!C10+(H15-1)*7,"MMM D")&amp;" – "&amp;TEXT('Getting Started'!C10+I15*7,"MMM D")),"")</f>
        <v/>
      </c>
    </row>
    <row r="16" ht="18" customHeight="1">
      <c r="A16" s="53" t="n">
        <v>6</v>
      </c>
      <c r="B16" s="18" t="n"/>
      <c r="F16" s="55" t="n"/>
      <c r="G16" s="17">
        <f>IFERROR(SUM(F11:F16),"")</f>
        <v/>
      </c>
      <c r="H16" s="17">
        <f>IFERROR(IF(F16="","",FLOOR(G15/((IFERROR(B8,0)+IFERROR(G8,0))/(IFERROR('Getting Started'!C15,0)+IFERROR('Getting Started'!C23,0))),1)+1),"")</f>
        <v/>
      </c>
      <c r="I16" s="17">
        <f>IFERROR(IF(F16="","",CEILING(G16/((IFERROR(B8,0)+IFERROR(G8,0))/(IFERROR('Getting Started'!C15,0)+IFERROR('Getting Started'!C23,0))),1)),"")</f>
        <v/>
      </c>
      <c r="J16" s="54">
        <f>IFERROR(IF(F16="","",TEXT('Getting Started'!C10+(H16-1)*7,"MMM D")&amp;" – "&amp;TEXT('Getting Started'!C10+I16*7,"MMM D")),"")</f>
        <v/>
      </c>
    </row>
    <row r="17" ht="20" customHeight="1">
      <c r="A17" s="56">
        <f>IFERROR(IF('Course Content'!I120="","",'Course Content'!I120),"")</f>
        <v/>
      </c>
    </row>
    <row r="18" ht="8" customHeight="1"/>
    <row r="19" ht="24" customHeight="1">
      <c r="A19" s="44" t="inlineStr">
        <is>
          <t xml:space="preserve">  MATH</t>
        </is>
      </c>
      <c r="E19" s="45">
        <f>IFERROR(IF('Course Content'!E121="","← enter on Course Content tab",'Course Content'!E121),"")</f>
        <v/>
      </c>
    </row>
    <row r="20" ht="22" customHeight="1">
      <c r="B20" s="46">
        <f>'Course Content'!G121</f>
        <v/>
      </c>
      <c r="C20" s="47">
        <f>IFERROR(IF(B20="","",ROUND(B20/'Getting Started'!C15,1)),"")</f>
        <v/>
      </c>
      <c r="D20" s="47">
        <f>IFERROR(IF(C20="","",ROUND(C20/'Getting Started'!C7,1)),"")</f>
        <v/>
      </c>
      <c r="E20" s="48">
        <f>IFERROR(IF(B20="","",TEXT('Getting Started'!C10+(B20/D20),"MMM D, YYYY")),"")</f>
        <v/>
      </c>
      <c r="F20" s="39" t="n"/>
      <c r="G20" s="49">
        <f>'Course Content'!H121</f>
        <v/>
      </c>
      <c r="H20" s="50">
        <f>IFERROR(IF(G20="","",ROUND(G20/'Getting Started'!C23,1)),"")</f>
        <v/>
      </c>
      <c r="I20" s="50">
        <f>IFERROR(IF(H20="","",ROUND(H20/'Getting Started'!C7,1)),"")</f>
        <v/>
      </c>
      <c r="J20" s="51">
        <f>IFERROR(IF(G20="","",TEXT('Getting Started'!C18+(G20/I20),"MMM D, YYYY")),"")</f>
        <v/>
      </c>
    </row>
    <row r="21" ht="16" customHeight="1">
      <c r="A21" s="52" t="inlineStr">
        <is>
          <t xml:space="preserve">  Component Breakdown  (optional — use for multi-volume curricula)</t>
        </is>
      </c>
    </row>
    <row r="22" ht="22" customHeight="1">
      <c r="A22" s="28" t="inlineStr">
        <is>
          <t>#</t>
        </is>
      </c>
      <c r="B22" s="28" t="inlineStr">
        <is>
          <t>Book / Component Title</t>
        </is>
      </c>
      <c r="F22" s="28" t="inlineStr">
        <is>
          <t>Units</t>
        </is>
      </c>
      <c r="G22" s="28" t="inlineStr">
        <is>
          <t>Cumul.</t>
        </is>
      </c>
      <c r="H22" s="28" t="inlineStr">
        <is>
          <t>Start
Week</t>
        </is>
      </c>
      <c r="I22" s="28" t="inlineStr">
        <is>
          <t>End
Week</t>
        </is>
      </c>
      <c r="J22" s="28" t="inlineStr">
        <is>
          <t>Est. Dates</t>
        </is>
      </c>
    </row>
    <row r="23" ht="18" customHeight="1">
      <c r="A23" s="53" t="n">
        <v>1</v>
      </c>
      <c r="B23" s="5" t="n"/>
      <c r="F23" s="32" t="n"/>
      <c r="G23" s="17">
        <f>IFERROR(SUM(F23:F23),"")</f>
        <v/>
      </c>
      <c r="H23" s="17">
        <f>IF(F23="","",1)</f>
        <v/>
      </c>
      <c r="I23" s="17">
        <f>IFERROR(IF(F23="","",CEILING(G23/((IFERROR(B20,0)+IFERROR(G20,0))/(IFERROR('Getting Started'!C15,0)+IFERROR('Getting Started'!C23,0))),1)),"")</f>
        <v/>
      </c>
      <c r="J23" s="54">
        <f>IFERROR(IF(F23="","",TEXT('Getting Started'!C10+(H23-1)*7,"MMM D")&amp;" – "&amp;TEXT('Getting Started'!C10+I23*7,"MMM D")),"")</f>
        <v/>
      </c>
    </row>
    <row r="24" ht="18" customHeight="1">
      <c r="A24" s="53" t="n">
        <v>2</v>
      </c>
      <c r="B24" s="18" t="n"/>
      <c r="F24" s="55" t="n"/>
      <c r="G24" s="17">
        <f>IFERROR(SUM(F23:F24),"")</f>
        <v/>
      </c>
      <c r="H24" s="17">
        <f>IFERROR(IF(F24="","",FLOOR(G23/((IFERROR(B20,0)+IFERROR(G20,0))/(IFERROR('Getting Started'!C15,0)+IFERROR('Getting Started'!C23,0))),1)+1),"")</f>
        <v/>
      </c>
      <c r="I24" s="17">
        <f>IFERROR(IF(F24="","",CEILING(G24/((IFERROR(B20,0)+IFERROR(G20,0))/(IFERROR('Getting Started'!C15,0)+IFERROR('Getting Started'!C23,0))),1)),"")</f>
        <v/>
      </c>
      <c r="J24" s="54">
        <f>IFERROR(IF(F24="","",TEXT('Getting Started'!C10+(H24-1)*7,"MMM D")&amp;" – "&amp;TEXT('Getting Started'!C10+I24*7,"MMM D")),"")</f>
        <v/>
      </c>
    </row>
    <row r="25" ht="18" customHeight="1">
      <c r="A25" s="53" t="n">
        <v>3</v>
      </c>
      <c r="B25" s="5" t="n"/>
      <c r="F25" s="32" t="n"/>
      <c r="G25" s="17">
        <f>IFERROR(SUM(F23:F25),"")</f>
        <v/>
      </c>
      <c r="H25" s="17">
        <f>IFERROR(IF(F25="","",FLOOR(G24/((IFERROR(B20,0)+IFERROR(G20,0))/(IFERROR('Getting Started'!C15,0)+IFERROR('Getting Started'!C23,0))),1)+1),"")</f>
        <v/>
      </c>
      <c r="I25" s="17">
        <f>IFERROR(IF(F25="","",CEILING(G25/((IFERROR(B20,0)+IFERROR(G20,0))/(IFERROR('Getting Started'!C15,0)+IFERROR('Getting Started'!C23,0))),1)),"")</f>
        <v/>
      </c>
      <c r="J25" s="54">
        <f>IFERROR(IF(F25="","",TEXT('Getting Started'!C10+(H25-1)*7,"MMM D")&amp;" – "&amp;TEXT('Getting Started'!C10+I25*7,"MMM D")),"")</f>
        <v/>
      </c>
    </row>
    <row r="26" ht="18" customHeight="1">
      <c r="A26" s="53" t="n">
        <v>4</v>
      </c>
      <c r="B26" s="18" t="n"/>
      <c r="F26" s="55" t="n"/>
      <c r="G26" s="17">
        <f>IFERROR(SUM(F23:F26),"")</f>
        <v/>
      </c>
      <c r="H26" s="17">
        <f>IFERROR(IF(F26="","",FLOOR(G25/((IFERROR(B20,0)+IFERROR(G20,0))/(IFERROR('Getting Started'!C15,0)+IFERROR('Getting Started'!C23,0))),1)+1),"")</f>
        <v/>
      </c>
      <c r="I26" s="17">
        <f>IFERROR(IF(F26="","",CEILING(G26/((IFERROR(B20,0)+IFERROR(G20,0))/(IFERROR('Getting Started'!C15,0)+IFERROR('Getting Started'!C23,0))),1)),"")</f>
        <v/>
      </c>
      <c r="J26" s="54">
        <f>IFERROR(IF(F26="","",TEXT('Getting Started'!C10+(H26-1)*7,"MMM D")&amp;" – "&amp;TEXT('Getting Started'!C10+I26*7,"MMM D")),"")</f>
        <v/>
      </c>
    </row>
    <row r="27" ht="18" customHeight="1">
      <c r="A27" s="53" t="n">
        <v>5</v>
      </c>
      <c r="B27" s="5" t="n"/>
      <c r="F27" s="32" t="n"/>
      <c r="G27" s="17">
        <f>IFERROR(SUM(F23:F27),"")</f>
        <v/>
      </c>
      <c r="H27" s="17">
        <f>IFERROR(IF(F27="","",FLOOR(G26/((IFERROR(B20,0)+IFERROR(G20,0))/(IFERROR('Getting Started'!C15,0)+IFERROR('Getting Started'!C23,0))),1)+1),"")</f>
        <v/>
      </c>
      <c r="I27" s="17">
        <f>IFERROR(IF(F27="","",CEILING(G27/((IFERROR(B20,0)+IFERROR(G20,0))/(IFERROR('Getting Started'!C15,0)+IFERROR('Getting Started'!C23,0))),1)),"")</f>
        <v/>
      </c>
      <c r="J27" s="54">
        <f>IFERROR(IF(F27="","",TEXT('Getting Started'!C10+(H27-1)*7,"MMM D")&amp;" – "&amp;TEXT('Getting Started'!C10+I27*7,"MMM D")),"")</f>
        <v/>
      </c>
    </row>
    <row r="28" ht="18" customHeight="1">
      <c r="A28" s="53" t="n">
        <v>6</v>
      </c>
      <c r="B28" s="18" t="n"/>
      <c r="F28" s="55" t="n"/>
      <c r="G28" s="17">
        <f>IFERROR(SUM(F23:F28),"")</f>
        <v/>
      </c>
      <c r="H28" s="17">
        <f>IFERROR(IF(F28="","",FLOOR(G27/((IFERROR(B20,0)+IFERROR(G20,0))/(IFERROR('Getting Started'!C15,0)+IFERROR('Getting Started'!C23,0))),1)+1),"")</f>
        <v/>
      </c>
      <c r="I28" s="17">
        <f>IFERROR(IF(F28="","",CEILING(G28/((IFERROR(B20,0)+IFERROR(G20,0))/(IFERROR('Getting Started'!C15,0)+IFERROR('Getting Started'!C23,0))),1)),"")</f>
        <v/>
      </c>
      <c r="J28" s="54">
        <f>IFERROR(IF(F28="","",TEXT('Getting Started'!C10+(H28-1)*7,"MMM D")&amp;" – "&amp;TEXT('Getting Started'!C10+I28*7,"MMM D")),"")</f>
        <v/>
      </c>
    </row>
    <row r="29" ht="20" customHeight="1">
      <c r="A29" s="56">
        <f>IFERROR(IF('Course Content'!I121="","",'Course Content'!I121),"")</f>
        <v/>
      </c>
    </row>
    <row r="30" ht="8" customHeight="1"/>
    <row r="31" ht="24" customHeight="1">
      <c r="A31" s="44" t="inlineStr">
        <is>
          <t xml:space="preserve">  ENGLISH / LANGUAGE ARTS</t>
        </is>
      </c>
      <c r="E31" s="45">
        <f>IFERROR(IF('Course Content'!E122="","← enter on Course Content tab",'Course Content'!E122),"")</f>
        <v/>
      </c>
    </row>
    <row r="32" ht="22" customHeight="1">
      <c r="B32" s="46">
        <f>'Course Content'!G122</f>
        <v/>
      </c>
      <c r="C32" s="47">
        <f>IFERROR(IF(B32="","",ROUND(B32/'Getting Started'!C15,1)),"")</f>
        <v/>
      </c>
      <c r="D32" s="47">
        <f>IFERROR(IF(C32="","",ROUND(C32/'Getting Started'!C7,1)),"")</f>
        <v/>
      </c>
      <c r="E32" s="48">
        <f>IFERROR(IF(B32="","",TEXT('Getting Started'!C10+(B32/D32),"MMM D, YYYY")),"")</f>
        <v/>
      </c>
      <c r="F32" s="39" t="n"/>
      <c r="G32" s="49">
        <f>'Course Content'!H122</f>
        <v/>
      </c>
      <c r="H32" s="50">
        <f>IFERROR(IF(G32="","",ROUND(G32/'Getting Started'!C23,1)),"")</f>
        <v/>
      </c>
      <c r="I32" s="50">
        <f>IFERROR(IF(H32="","",ROUND(H32/'Getting Started'!C7,1)),"")</f>
        <v/>
      </c>
      <c r="J32" s="51">
        <f>IFERROR(IF(G32="","",TEXT('Getting Started'!C18+(G32/I32),"MMM D, YYYY")),"")</f>
        <v/>
      </c>
    </row>
    <row r="33" ht="16" customHeight="1">
      <c r="A33" s="52" t="inlineStr">
        <is>
          <t xml:space="preserve">  Component Breakdown  (optional — use for multi-volume curricula)</t>
        </is>
      </c>
    </row>
    <row r="34" ht="22" customHeight="1">
      <c r="A34" s="28" t="inlineStr">
        <is>
          <t>#</t>
        </is>
      </c>
      <c r="B34" s="28" t="inlineStr">
        <is>
          <t>Book / Component Title</t>
        </is>
      </c>
      <c r="F34" s="28" t="inlineStr">
        <is>
          <t>Units</t>
        </is>
      </c>
      <c r="G34" s="28" t="inlineStr">
        <is>
          <t>Cumul.</t>
        </is>
      </c>
      <c r="H34" s="28" t="inlineStr">
        <is>
          <t>Start
Week</t>
        </is>
      </c>
      <c r="I34" s="28" t="inlineStr">
        <is>
          <t>End
Week</t>
        </is>
      </c>
      <c r="J34" s="28" t="inlineStr">
        <is>
          <t>Est. Dates</t>
        </is>
      </c>
    </row>
    <row r="35" ht="18" customHeight="1">
      <c r="A35" s="53" t="n">
        <v>1</v>
      </c>
      <c r="B35" s="5" t="n"/>
      <c r="F35" s="32" t="n"/>
      <c r="G35" s="17">
        <f>IFERROR(SUM(F35:F35),"")</f>
        <v/>
      </c>
      <c r="H35" s="17">
        <f>IF(F35="","",1)</f>
        <v/>
      </c>
      <c r="I35" s="17">
        <f>IFERROR(IF(F35="","",CEILING(G35/((IFERROR(B32,0)+IFERROR(G32,0))/(IFERROR('Getting Started'!C15,0)+IFERROR('Getting Started'!C23,0))),1)),"")</f>
        <v/>
      </c>
      <c r="J35" s="54">
        <f>IFERROR(IF(F35="","",TEXT('Getting Started'!C10+(H35-1)*7,"MMM D")&amp;" – "&amp;TEXT('Getting Started'!C10+I35*7,"MMM D")),"")</f>
        <v/>
      </c>
    </row>
    <row r="36" ht="18" customHeight="1">
      <c r="A36" s="53" t="n">
        <v>2</v>
      </c>
      <c r="B36" s="18" t="n"/>
      <c r="F36" s="55" t="n"/>
      <c r="G36" s="17">
        <f>IFERROR(SUM(F35:F36),"")</f>
        <v/>
      </c>
      <c r="H36" s="17">
        <f>IFERROR(IF(F36="","",FLOOR(G35/((IFERROR(B32,0)+IFERROR(G32,0))/(IFERROR('Getting Started'!C15,0)+IFERROR('Getting Started'!C23,0))),1)+1),"")</f>
        <v/>
      </c>
      <c r="I36" s="17">
        <f>IFERROR(IF(F36="","",CEILING(G36/((IFERROR(B32,0)+IFERROR(G32,0))/(IFERROR('Getting Started'!C15,0)+IFERROR('Getting Started'!C23,0))),1)),"")</f>
        <v/>
      </c>
      <c r="J36" s="54">
        <f>IFERROR(IF(F36="","",TEXT('Getting Started'!C10+(H36-1)*7,"MMM D")&amp;" – "&amp;TEXT('Getting Started'!C10+I36*7,"MMM D")),"")</f>
        <v/>
      </c>
    </row>
    <row r="37" ht="18" customHeight="1">
      <c r="A37" s="53" t="n">
        <v>3</v>
      </c>
      <c r="B37" s="5" t="n"/>
      <c r="F37" s="32" t="n"/>
      <c r="G37" s="17">
        <f>IFERROR(SUM(F35:F37),"")</f>
        <v/>
      </c>
      <c r="H37" s="17">
        <f>IFERROR(IF(F37="","",FLOOR(G36/((IFERROR(B32,0)+IFERROR(G32,0))/(IFERROR('Getting Started'!C15,0)+IFERROR('Getting Started'!C23,0))),1)+1),"")</f>
        <v/>
      </c>
      <c r="I37" s="17">
        <f>IFERROR(IF(F37="","",CEILING(G37/((IFERROR(B32,0)+IFERROR(G32,0))/(IFERROR('Getting Started'!C15,0)+IFERROR('Getting Started'!C23,0))),1)),"")</f>
        <v/>
      </c>
      <c r="J37" s="54">
        <f>IFERROR(IF(F37="","",TEXT('Getting Started'!C10+(H37-1)*7,"MMM D")&amp;" – "&amp;TEXT('Getting Started'!C10+I37*7,"MMM D")),"")</f>
        <v/>
      </c>
    </row>
    <row r="38" ht="18" customHeight="1">
      <c r="A38" s="53" t="n">
        <v>4</v>
      </c>
      <c r="B38" s="18" t="n"/>
      <c r="F38" s="55" t="n"/>
      <c r="G38" s="17">
        <f>IFERROR(SUM(F35:F38),"")</f>
        <v/>
      </c>
      <c r="H38" s="17">
        <f>IFERROR(IF(F38="","",FLOOR(G37/((IFERROR(B32,0)+IFERROR(G32,0))/(IFERROR('Getting Started'!C15,0)+IFERROR('Getting Started'!C23,0))),1)+1),"")</f>
        <v/>
      </c>
      <c r="I38" s="17">
        <f>IFERROR(IF(F38="","",CEILING(G38/((IFERROR(B32,0)+IFERROR(G32,0))/(IFERROR('Getting Started'!C15,0)+IFERROR('Getting Started'!C23,0))),1)),"")</f>
        <v/>
      </c>
      <c r="J38" s="54">
        <f>IFERROR(IF(F38="","",TEXT('Getting Started'!C10+(H38-1)*7,"MMM D")&amp;" – "&amp;TEXT('Getting Started'!C10+I38*7,"MMM D")),"")</f>
        <v/>
      </c>
    </row>
    <row r="39" ht="18" customHeight="1">
      <c r="A39" s="53" t="n">
        <v>5</v>
      </c>
      <c r="B39" s="5" t="n"/>
      <c r="F39" s="32" t="n"/>
      <c r="G39" s="17">
        <f>IFERROR(SUM(F35:F39),"")</f>
        <v/>
      </c>
      <c r="H39" s="17">
        <f>IFERROR(IF(F39="","",FLOOR(G38/((IFERROR(B32,0)+IFERROR(G32,0))/(IFERROR('Getting Started'!C15,0)+IFERROR('Getting Started'!C23,0))),1)+1),"")</f>
        <v/>
      </c>
      <c r="I39" s="17">
        <f>IFERROR(IF(F39="","",CEILING(G39/((IFERROR(B32,0)+IFERROR(G32,0))/(IFERROR('Getting Started'!C15,0)+IFERROR('Getting Started'!C23,0))),1)),"")</f>
        <v/>
      </c>
      <c r="J39" s="54">
        <f>IFERROR(IF(F39="","",TEXT('Getting Started'!C10+(H39-1)*7,"MMM D")&amp;" – "&amp;TEXT('Getting Started'!C10+I39*7,"MMM D")),"")</f>
        <v/>
      </c>
    </row>
    <row r="40" ht="18" customHeight="1">
      <c r="A40" s="53" t="n">
        <v>6</v>
      </c>
      <c r="B40" s="18" t="n"/>
      <c r="F40" s="55" t="n"/>
      <c r="G40" s="17">
        <f>IFERROR(SUM(F35:F40),"")</f>
        <v/>
      </c>
      <c r="H40" s="17">
        <f>IFERROR(IF(F40="","",FLOOR(G39/((IFERROR(B32,0)+IFERROR(G32,0))/(IFERROR('Getting Started'!C15,0)+IFERROR('Getting Started'!C23,0))),1)+1),"")</f>
        <v/>
      </c>
      <c r="I40" s="17">
        <f>IFERROR(IF(F40="","",CEILING(G40/((IFERROR(B32,0)+IFERROR(G32,0))/(IFERROR('Getting Started'!C15,0)+IFERROR('Getting Started'!C23,0))),1)),"")</f>
        <v/>
      </c>
      <c r="J40" s="54">
        <f>IFERROR(IF(F40="","",TEXT('Getting Started'!C10+(H40-1)*7,"MMM D")&amp;" – "&amp;TEXT('Getting Started'!C10+I40*7,"MMM D")),"")</f>
        <v/>
      </c>
    </row>
    <row r="41" ht="20" customHeight="1">
      <c r="A41" s="56">
        <f>IFERROR(IF('Course Content'!I122="","",'Course Content'!I122),"")</f>
        <v/>
      </c>
    </row>
    <row r="42" ht="8" customHeight="1"/>
    <row r="43" ht="24" customHeight="1">
      <c r="A43" s="44" t="inlineStr">
        <is>
          <t xml:space="preserve">  READING</t>
        </is>
      </c>
      <c r="E43" s="45">
        <f>IFERROR(IF('Course Content'!E123="","← enter on Course Content tab",'Course Content'!E123),"")</f>
        <v/>
      </c>
    </row>
    <row r="44" ht="22" customHeight="1">
      <c r="B44" s="46">
        <f>'Course Content'!G123</f>
        <v/>
      </c>
      <c r="C44" s="47">
        <f>IFERROR(IF(B44="","",ROUND(B44/'Getting Started'!C15,1)),"")</f>
        <v/>
      </c>
      <c r="D44" s="47">
        <f>IFERROR(IF(C44="","",ROUND(C44/'Getting Started'!C7,1)),"")</f>
        <v/>
      </c>
      <c r="E44" s="48">
        <f>IFERROR(IF(B44="","",TEXT('Getting Started'!C10+(B44/D44),"MMM D, YYYY")),"")</f>
        <v/>
      </c>
      <c r="F44" s="39" t="n"/>
      <c r="G44" s="49">
        <f>'Course Content'!H123</f>
        <v/>
      </c>
      <c r="H44" s="50">
        <f>IFERROR(IF(G44="","",ROUND(G44/'Getting Started'!C23,1)),"")</f>
        <v/>
      </c>
      <c r="I44" s="50">
        <f>IFERROR(IF(H44="","",ROUND(H44/'Getting Started'!C7,1)),"")</f>
        <v/>
      </c>
      <c r="J44" s="51">
        <f>IFERROR(IF(G44="","",TEXT('Getting Started'!C18+(G44/I44),"MMM D, YYYY")),"")</f>
        <v/>
      </c>
    </row>
    <row r="45" ht="16" customHeight="1">
      <c r="A45" s="52" t="inlineStr">
        <is>
          <t xml:space="preserve">  Component Breakdown  (optional — use for multi-volume curricula)</t>
        </is>
      </c>
    </row>
    <row r="46" ht="22" customHeight="1">
      <c r="A46" s="28" t="inlineStr">
        <is>
          <t>#</t>
        </is>
      </c>
      <c r="B46" s="28" t="inlineStr">
        <is>
          <t>Book / Component Title</t>
        </is>
      </c>
      <c r="F46" s="28" t="inlineStr">
        <is>
          <t>Units</t>
        </is>
      </c>
      <c r="G46" s="28" t="inlineStr">
        <is>
          <t>Cumul.</t>
        </is>
      </c>
      <c r="H46" s="28" t="inlineStr">
        <is>
          <t>Start
Week</t>
        </is>
      </c>
      <c r="I46" s="28" t="inlineStr">
        <is>
          <t>End
Week</t>
        </is>
      </c>
      <c r="J46" s="28" t="inlineStr">
        <is>
          <t>Est. Dates</t>
        </is>
      </c>
    </row>
    <row r="47" ht="18" customHeight="1">
      <c r="A47" s="53" t="n">
        <v>1</v>
      </c>
      <c r="B47" s="5" t="n"/>
      <c r="F47" s="32" t="n"/>
      <c r="G47" s="17">
        <f>IFERROR(SUM(F47:F47),"")</f>
        <v/>
      </c>
      <c r="H47" s="17">
        <f>IF(F47="","",1)</f>
        <v/>
      </c>
      <c r="I47" s="17">
        <f>IFERROR(IF(F47="","",CEILING(G47/((IFERROR(B44,0)+IFERROR(G44,0))/(IFERROR('Getting Started'!C15,0)+IFERROR('Getting Started'!C23,0))),1)),"")</f>
        <v/>
      </c>
      <c r="J47" s="54">
        <f>IFERROR(IF(F47="","",TEXT('Getting Started'!C10+(H47-1)*7,"MMM D")&amp;" – "&amp;TEXT('Getting Started'!C10+I47*7,"MMM D")),"")</f>
        <v/>
      </c>
    </row>
    <row r="48" ht="18" customHeight="1">
      <c r="A48" s="53" t="n">
        <v>2</v>
      </c>
      <c r="B48" s="18" t="n"/>
      <c r="F48" s="55" t="n"/>
      <c r="G48" s="17">
        <f>IFERROR(SUM(F47:F48),"")</f>
        <v/>
      </c>
      <c r="H48" s="17">
        <f>IFERROR(IF(F48="","",FLOOR(G47/((IFERROR(B44,0)+IFERROR(G44,0))/(IFERROR('Getting Started'!C15,0)+IFERROR('Getting Started'!C23,0))),1)+1),"")</f>
        <v/>
      </c>
      <c r="I48" s="17">
        <f>IFERROR(IF(F48="","",CEILING(G48/((IFERROR(B44,0)+IFERROR(G44,0))/(IFERROR('Getting Started'!C15,0)+IFERROR('Getting Started'!C23,0))),1)),"")</f>
        <v/>
      </c>
      <c r="J48" s="54">
        <f>IFERROR(IF(F48="","",TEXT('Getting Started'!C10+(H48-1)*7,"MMM D")&amp;" – "&amp;TEXT('Getting Started'!C10+I48*7,"MMM D")),"")</f>
        <v/>
      </c>
    </row>
    <row r="49" ht="18" customHeight="1">
      <c r="A49" s="53" t="n">
        <v>3</v>
      </c>
      <c r="B49" s="5" t="n"/>
      <c r="F49" s="32" t="n"/>
      <c r="G49" s="17">
        <f>IFERROR(SUM(F47:F49),"")</f>
        <v/>
      </c>
      <c r="H49" s="17">
        <f>IFERROR(IF(F49="","",FLOOR(G48/((IFERROR(B44,0)+IFERROR(G44,0))/(IFERROR('Getting Started'!C15,0)+IFERROR('Getting Started'!C23,0))),1)+1),"")</f>
        <v/>
      </c>
      <c r="I49" s="17">
        <f>IFERROR(IF(F49="","",CEILING(G49/((IFERROR(B44,0)+IFERROR(G44,0))/(IFERROR('Getting Started'!C15,0)+IFERROR('Getting Started'!C23,0))),1)),"")</f>
        <v/>
      </c>
      <c r="J49" s="54">
        <f>IFERROR(IF(F49="","",TEXT('Getting Started'!C10+(H49-1)*7,"MMM D")&amp;" – "&amp;TEXT('Getting Started'!C10+I49*7,"MMM D")),"")</f>
        <v/>
      </c>
    </row>
    <row r="50" ht="18" customHeight="1">
      <c r="A50" s="53" t="n">
        <v>4</v>
      </c>
      <c r="B50" s="18" t="n"/>
      <c r="F50" s="55" t="n"/>
      <c r="G50" s="17">
        <f>IFERROR(SUM(F47:F50),"")</f>
        <v/>
      </c>
      <c r="H50" s="17">
        <f>IFERROR(IF(F50="","",FLOOR(G49/((IFERROR(B44,0)+IFERROR(G44,0))/(IFERROR('Getting Started'!C15,0)+IFERROR('Getting Started'!C23,0))),1)+1),"")</f>
        <v/>
      </c>
      <c r="I50" s="17">
        <f>IFERROR(IF(F50="","",CEILING(G50/((IFERROR(B44,0)+IFERROR(G44,0))/(IFERROR('Getting Started'!C15,0)+IFERROR('Getting Started'!C23,0))),1)),"")</f>
        <v/>
      </c>
      <c r="J50" s="54">
        <f>IFERROR(IF(F50="","",TEXT('Getting Started'!C10+(H50-1)*7,"MMM D")&amp;" – "&amp;TEXT('Getting Started'!C10+I50*7,"MMM D")),"")</f>
        <v/>
      </c>
    </row>
    <row r="51" ht="18" customHeight="1">
      <c r="A51" s="53" t="n">
        <v>5</v>
      </c>
      <c r="B51" s="5" t="n"/>
      <c r="F51" s="32" t="n"/>
      <c r="G51" s="17">
        <f>IFERROR(SUM(F47:F51),"")</f>
        <v/>
      </c>
      <c r="H51" s="17">
        <f>IFERROR(IF(F51="","",FLOOR(G50/((IFERROR(B44,0)+IFERROR(G44,0))/(IFERROR('Getting Started'!C15,0)+IFERROR('Getting Started'!C23,0))),1)+1),"")</f>
        <v/>
      </c>
      <c r="I51" s="17">
        <f>IFERROR(IF(F51="","",CEILING(G51/((IFERROR(B44,0)+IFERROR(G44,0))/(IFERROR('Getting Started'!C15,0)+IFERROR('Getting Started'!C23,0))),1)),"")</f>
        <v/>
      </c>
      <c r="J51" s="54">
        <f>IFERROR(IF(F51="","",TEXT('Getting Started'!C10+(H51-1)*7,"MMM D")&amp;" – "&amp;TEXT('Getting Started'!C10+I51*7,"MMM D")),"")</f>
        <v/>
      </c>
    </row>
    <row r="52" ht="18" customHeight="1">
      <c r="A52" s="53" t="n">
        <v>6</v>
      </c>
      <c r="B52" s="18" t="n"/>
      <c r="F52" s="55" t="n"/>
      <c r="G52" s="17">
        <f>IFERROR(SUM(F47:F52),"")</f>
        <v/>
      </c>
      <c r="H52" s="17">
        <f>IFERROR(IF(F52="","",FLOOR(G51/((IFERROR(B44,0)+IFERROR(G44,0))/(IFERROR('Getting Started'!C15,0)+IFERROR('Getting Started'!C23,0))),1)+1),"")</f>
        <v/>
      </c>
      <c r="I52" s="17">
        <f>IFERROR(IF(F52="","",CEILING(G52/((IFERROR(B44,0)+IFERROR(G44,0))/(IFERROR('Getting Started'!C15,0)+IFERROR('Getting Started'!C23,0))),1)),"")</f>
        <v/>
      </c>
      <c r="J52" s="54">
        <f>IFERROR(IF(F52="","",TEXT('Getting Started'!C10+(H52-1)*7,"MMM D")&amp;" – "&amp;TEXT('Getting Started'!C10+I52*7,"MMM D")),"")</f>
        <v/>
      </c>
    </row>
    <row r="53" ht="20" customHeight="1">
      <c r="A53" s="56">
        <f>IFERROR(IF('Course Content'!I123="","",'Course Content'!I123),"")</f>
        <v/>
      </c>
    </row>
    <row r="54" ht="8" customHeight="1"/>
    <row r="55" ht="24" customHeight="1">
      <c r="A55" s="44" t="inlineStr">
        <is>
          <t xml:space="preserve">  WRITING / COMPOSITION</t>
        </is>
      </c>
      <c r="E55" s="45">
        <f>IFERROR(IF('Course Content'!E124="","← enter on Course Content tab",'Course Content'!E124),"")</f>
        <v/>
      </c>
    </row>
    <row r="56" ht="22" customHeight="1">
      <c r="B56" s="46">
        <f>'Course Content'!G124</f>
        <v/>
      </c>
      <c r="C56" s="47">
        <f>IFERROR(IF(B56="","",ROUND(B56/'Getting Started'!C15,1)),"")</f>
        <v/>
      </c>
      <c r="D56" s="47">
        <f>IFERROR(IF(C56="","",ROUND(C56/'Getting Started'!C7,1)),"")</f>
        <v/>
      </c>
      <c r="E56" s="48">
        <f>IFERROR(IF(B56="","",TEXT('Getting Started'!C10+(B56/D56),"MMM D, YYYY")),"")</f>
        <v/>
      </c>
      <c r="F56" s="39" t="n"/>
      <c r="G56" s="49">
        <f>'Course Content'!H124</f>
        <v/>
      </c>
      <c r="H56" s="50">
        <f>IFERROR(IF(G56="","",ROUND(G56/'Getting Started'!C23,1)),"")</f>
        <v/>
      </c>
      <c r="I56" s="50">
        <f>IFERROR(IF(H56="","",ROUND(H56/'Getting Started'!C7,1)),"")</f>
        <v/>
      </c>
      <c r="J56" s="51">
        <f>IFERROR(IF(G56="","",TEXT('Getting Started'!C18+(G56/I56),"MMM D, YYYY")),"")</f>
        <v/>
      </c>
    </row>
    <row r="57" ht="16" customHeight="1">
      <c r="A57" s="52" t="inlineStr">
        <is>
          <t xml:space="preserve">  Component Breakdown  (optional — use for multi-volume curricula)</t>
        </is>
      </c>
    </row>
    <row r="58" ht="22" customHeight="1">
      <c r="A58" s="28" t="inlineStr">
        <is>
          <t>#</t>
        </is>
      </c>
      <c r="B58" s="28" t="inlineStr">
        <is>
          <t>Book / Component Title</t>
        </is>
      </c>
      <c r="F58" s="28" t="inlineStr">
        <is>
          <t>Units</t>
        </is>
      </c>
      <c r="G58" s="28" t="inlineStr">
        <is>
          <t>Cumul.</t>
        </is>
      </c>
      <c r="H58" s="28" t="inlineStr">
        <is>
          <t>Start
Week</t>
        </is>
      </c>
      <c r="I58" s="28" t="inlineStr">
        <is>
          <t>End
Week</t>
        </is>
      </c>
      <c r="J58" s="28" t="inlineStr">
        <is>
          <t>Est. Dates</t>
        </is>
      </c>
    </row>
    <row r="59" ht="18" customHeight="1">
      <c r="A59" s="53" t="n">
        <v>1</v>
      </c>
      <c r="B59" s="5" t="n"/>
      <c r="F59" s="32" t="n"/>
      <c r="G59" s="17">
        <f>IFERROR(SUM(F59:F59),"")</f>
        <v/>
      </c>
      <c r="H59" s="17">
        <f>IF(F59="","",1)</f>
        <v/>
      </c>
      <c r="I59" s="17">
        <f>IFERROR(IF(F59="","",CEILING(G59/((IFERROR(B56,0)+IFERROR(G56,0))/(IFERROR('Getting Started'!C15,0)+IFERROR('Getting Started'!C23,0))),1)),"")</f>
        <v/>
      </c>
      <c r="J59" s="54">
        <f>IFERROR(IF(F59="","",TEXT('Getting Started'!C10+(H59-1)*7,"MMM D")&amp;" – "&amp;TEXT('Getting Started'!C10+I59*7,"MMM D")),"")</f>
        <v/>
      </c>
    </row>
    <row r="60" ht="18" customHeight="1">
      <c r="A60" s="53" t="n">
        <v>2</v>
      </c>
      <c r="B60" s="18" t="n"/>
      <c r="F60" s="55" t="n"/>
      <c r="G60" s="17">
        <f>IFERROR(SUM(F59:F60),"")</f>
        <v/>
      </c>
      <c r="H60" s="17">
        <f>IFERROR(IF(F60="","",FLOOR(G59/((IFERROR(B56,0)+IFERROR(G56,0))/(IFERROR('Getting Started'!C15,0)+IFERROR('Getting Started'!C23,0))),1)+1),"")</f>
        <v/>
      </c>
      <c r="I60" s="17">
        <f>IFERROR(IF(F60="","",CEILING(G60/((IFERROR(B56,0)+IFERROR(G56,0))/(IFERROR('Getting Started'!C15,0)+IFERROR('Getting Started'!C23,0))),1)),"")</f>
        <v/>
      </c>
      <c r="J60" s="54">
        <f>IFERROR(IF(F60="","",TEXT('Getting Started'!C10+(H60-1)*7,"MMM D")&amp;" – "&amp;TEXT('Getting Started'!C10+I60*7,"MMM D")),"")</f>
        <v/>
      </c>
    </row>
    <row r="61" ht="18" customHeight="1">
      <c r="A61" s="53" t="n">
        <v>3</v>
      </c>
      <c r="B61" s="5" t="n"/>
      <c r="F61" s="32" t="n"/>
      <c r="G61" s="17">
        <f>IFERROR(SUM(F59:F61),"")</f>
        <v/>
      </c>
      <c r="H61" s="17">
        <f>IFERROR(IF(F61="","",FLOOR(G60/((IFERROR(B56,0)+IFERROR(G56,0))/(IFERROR('Getting Started'!C15,0)+IFERROR('Getting Started'!C23,0))),1)+1),"")</f>
        <v/>
      </c>
      <c r="I61" s="17">
        <f>IFERROR(IF(F61="","",CEILING(G61/((IFERROR(B56,0)+IFERROR(G56,0))/(IFERROR('Getting Started'!C15,0)+IFERROR('Getting Started'!C23,0))),1)),"")</f>
        <v/>
      </c>
      <c r="J61" s="54">
        <f>IFERROR(IF(F61="","",TEXT('Getting Started'!C10+(H61-1)*7,"MMM D")&amp;" – "&amp;TEXT('Getting Started'!C10+I61*7,"MMM D")),"")</f>
        <v/>
      </c>
    </row>
    <row r="62" ht="18" customHeight="1">
      <c r="A62" s="53" t="n">
        <v>4</v>
      </c>
      <c r="B62" s="18" t="n"/>
      <c r="F62" s="55" t="n"/>
      <c r="G62" s="17">
        <f>IFERROR(SUM(F59:F62),"")</f>
        <v/>
      </c>
      <c r="H62" s="17">
        <f>IFERROR(IF(F62="","",FLOOR(G61/((IFERROR(B56,0)+IFERROR(G56,0))/(IFERROR('Getting Started'!C15,0)+IFERROR('Getting Started'!C23,0))),1)+1),"")</f>
        <v/>
      </c>
      <c r="I62" s="17">
        <f>IFERROR(IF(F62="","",CEILING(G62/((IFERROR(B56,0)+IFERROR(G56,0))/(IFERROR('Getting Started'!C15,0)+IFERROR('Getting Started'!C23,0))),1)),"")</f>
        <v/>
      </c>
      <c r="J62" s="54">
        <f>IFERROR(IF(F62="","",TEXT('Getting Started'!C10+(H62-1)*7,"MMM D")&amp;" – "&amp;TEXT('Getting Started'!C10+I62*7,"MMM D")),"")</f>
        <v/>
      </c>
    </row>
    <row r="63" ht="18" customHeight="1">
      <c r="A63" s="53" t="n">
        <v>5</v>
      </c>
      <c r="B63" s="5" t="n"/>
      <c r="F63" s="32" t="n"/>
      <c r="G63" s="17">
        <f>IFERROR(SUM(F59:F63),"")</f>
        <v/>
      </c>
      <c r="H63" s="17">
        <f>IFERROR(IF(F63="","",FLOOR(G62/((IFERROR(B56,0)+IFERROR(G56,0))/(IFERROR('Getting Started'!C15,0)+IFERROR('Getting Started'!C23,0))),1)+1),"")</f>
        <v/>
      </c>
      <c r="I63" s="17">
        <f>IFERROR(IF(F63="","",CEILING(G63/((IFERROR(B56,0)+IFERROR(G56,0))/(IFERROR('Getting Started'!C15,0)+IFERROR('Getting Started'!C23,0))),1)),"")</f>
        <v/>
      </c>
      <c r="J63" s="54">
        <f>IFERROR(IF(F63="","",TEXT('Getting Started'!C10+(H63-1)*7,"MMM D")&amp;" – "&amp;TEXT('Getting Started'!C10+I63*7,"MMM D")),"")</f>
        <v/>
      </c>
    </row>
    <row r="64" ht="18" customHeight="1">
      <c r="A64" s="53" t="n">
        <v>6</v>
      </c>
      <c r="B64" s="18" t="n"/>
      <c r="F64" s="55" t="n"/>
      <c r="G64" s="17">
        <f>IFERROR(SUM(F59:F64),"")</f>
        <v/>
      </c>
      <c r="H64" s="17">
        <f>IFERROR(IF(F64="","",FLOOR(G63/((IFERROR(B56,0)+IFERROR(G56,0))/(IFERROR('Getting Started'!C15,0)+IFERROR('Getting Started'!C23,0))),1)+1),"")</f>
        <v/>
      </c>
      <c r="I64" s="17">
        <f>IFERROR(IF(F64="","",CEILING(G64/((IFERROR(B56,0)+IFERROR(G56,0))/(IFERROR('Getting Started'!C15,0)+IFERROR('Getting Started'!C23,0))),1)),"")</f>
        <v/>
      </c>
      <c r="J64" s="54">
        <f>IFERROR(IF(F64="","",TEXT('Getting Started'!C10+(H64-1)*7,"MMM D")&amp;" – "&amp;TEXT('Getting Started'!C10+I64*7,"MMM D")),"")</f>
        <v/>
      </c>
    </row>
    <row r="65" ht="20" customHeight="1">
      <c r="A65" s="56">
        <f>IFERROR(IF('Course Content'!I124="","",'Course Content'!I124),"")</f>
        <v/>
      </c>
    </row>
    <row r="66" ht="8" customHeight="1"/>
    <row r="67" ht="24" customHeight="1">
      <c r="A67" s="44" t="inlineStr">
        <is>
          <t xml:space="preserve">  SCIENCE</t>
        </is>
      </c>
      <c r="E67" s="45">
        <f>IFERROR(IF('Course Content'!E125="","← enter on Course Content tab",'Course Content'!E125),"")</f>
        <v/>
      </c>
    </row>
    <row r="68" ht="22" customHeight="1">
      <c r="B68" s="46">
        <f>'Course Content'!G125</f>
        <v/>
      </c>
      <c r="C68" s="47">
        <f>IFERROR(IF(B68="","",ROUND(B68/'Getting Started'!C15,1)),"")</f>
        <v/>
      </c>
      <c r="D68" s="47">
        <f>IFERROR(IF(C68="","",ROUND(C68/'Getting Started'!C7,1)),"")</f>
        <v/>
      </c>
      <c r="E68" s="48">
        <f>IFERROR(IF(B68="","",TEXT('Getting Started'!C10+(B68/D68),"MMM D, YYYY")),"")</f>
        <v/>
      </c>
      <c r="F68" s="39" t="n"/>
      <c r="G68" s="49">
        <f>'Course Content'!H125</f>
        <v/>
      </c>
      <c r="H68" s="50">
        <f>IFERROR(IF(G68="","",ROUND(G68/'Getting Started'!C23,1)),"")</f>
        <v/>
      </c>
      <c r="I68" s="50">
        <f>IFERROR(IF(H68="","",ROUND(H68/'Getting Started'!C7,1)),"")</f>
        <v/>
      </c>
      <c r="J68" s="51">
        <f>IFERROR(IF(G68="","",TEXT('Getting Started'!C18+(G68/I68),"MMM D, YYYY")),"")</f>
        <v/>
      </c>
    </row>
    <row r="69" ht="16" customHeight="1">
      <c r="A69" s="52" t="inlineStr">
        <is>
          <t xml:space="preserve">  Component Breakdown  (optional — use for multi-volume curricula)</t>
        </is>
      </c>
    </row>
    <row r="70" ht="22" customHeight="1">
      <c r="A70" s="28" t="inlineStr">
        <is>
          <t>#</t>
        </is>
      </c>
      <c r="B70" s="28" t="inlineStr">
        <is>
          <t>Book / Component Title</t>
        </is>
      </c>
      <c r="F70" s="28" t="inlineStr">
        <is>
          <t>Units</t>
        </is>
      </c>
      <c r="G70" s="28" t="inlineStr">
        <is>
          <t>Cumul.</t>
        </is>
      </c>
      <c r="H70" s="28" t="inlineStr">
        <is>
          <t>Start
Week</t>
        </is>
      </c>
      <c r="I70" s="28" t="inlineStr">
        <is>
          <t>End
Week</t>
        </is>
      </c>
      <c r="J70" s="28" t="inlineStr">
        <is>
          <t>Est. Dates</t>
        </is>
      </c>
    </row>
    <row r="71" ht="18" customHeight="1">
      <c r="A71" s="53" t="n">
        <v>1</v>
      </c>
      <c r="B71" s="5" t="n"/>
      <c r="F71" s="32" t="n"/>
      <c r="G71" s="17">
        <f>IFERROR(SUM(F71:F71),"")</f>
        <v/>
      </c>
      <c r="H71" s="17">
        <f>IF(F71="","",1)</f>
        <v/>
      </c>
      <c r="I71" s="17">
        <f>IFERROR(IF(F71="","",CEILING(G71/((IFERROR(B68,0)+IFERROR(G68,0))/(IFERROR('Getting Started'!C15,0)+IFERROR('Getting Started'!C23,0))),1)),"")</f>
        <v/>
      </c>
      <c r="J71" s="54">
        <f>IFERROR(IF(F71="","",TEXT('Getting Started'!C10+(H71-1)*7,"MMM D")&amp;" – "&amp;TEXT('Getting Started'!C10+I71*7,"MMM D")),"")</f>
        <v/>
      </c>
    </row>
    <row r="72" ht="18" customHeight="1">
      <c r="A72" s="53" t="n">
        <v>2</v>
      </c>
      <c r="B72" s="18" t="n"/>
      <c r="F72" s="55" t="n"/>
      <c r="G72" s="17">
        <f>IFERROR(SUM(F71:F72),"")</f>
        <v/>
      </c>
      <c r="H72" s="17">
        <f>IFERROR(IF(F72="","",FLOOR(G71/((IFERROR(B68,0)+IFERROR(G68,0))/(IFERROR('Getting Started'!C15,0)+IFERROR('Getting Started'!C23,0))),1)+1),"")</f>
        <v/>
      </c>
      <c r="I72" s="17">
        <f>IFERROR(IF(F72="","",CEILING(G72/((IFERROR(B68,0)+IFERROR(G68,0))/(IFERROR('Getting Started'!C15,0)+IFERROR('Getting Started'!C23,0))),1)),"")</f>
        <v/>
      </c>
      <c r="J72" s="54">
        <f>IFERROR(IF(F72="","",TEXT('Getting Started'!C10+(H72-1)*7,"MMM D")&amp;" – "&amp;TEXT('Getting Started'!C10+I72*7,"MMM D")),"")</f>
        <v/>
      </c>
    </row>
    <row r="73" ht="18" customHeight="1">
      <c r="A73" s="53" t="n">
        <v>3</v>
      </c>
      <c r="B73" s="5" t="n"/>
      <c r="F73" s="32" t="n"/>
      <c r="G73" s="17">
        <f>IFERROR(SUM(F71:F73),"")</f>
        <v/>
      </c>
      <c r="H73" s="17">
        <f>IFERROR(IF(F73="","",FLOOR(G72/((IFERROR(B68,0)+IFERROR(G68,0))/(IFERROR('Getting Started'!C15,0)+IFERROR('Getting Started'!C23,0))),1)+1),"")</f>
        <v/>
      </c>
      <c r="I73" s="17">
        <f>IFERROR(IF(F73="","",CEILING(G73/((IFERROR(B68,0)+IFERROR(G68,0))/(IFERROR('Getting Started'!C15,0)+IFERROR('Getting Started'!C23,0))),1)),"")</f>
        <v/>
      </c>
      <c r="J73" s="54">
        <f>IFERROR(IF(F73="","",TEXT('Getting Started'!C10+(H73-1)*7,"MMM D")&amp;" – "&amp;TEXT('Getting Started'!C10+I73*7,"MMM D")),"")</f>
        <v/>
      </c>
    </row>
    <row r="74" ht="18" customHeight="1">
      <c r="A74" s="53" t="n">
        <v>4</v>
      </c>
      <c r="B74" s="18" t="n"/>
      <c r="F74" s="55" t="n"/>
      <c r="G74" s="17">
        <f>IFERROR(SUM(F71:F74),"")</f>
        <v/>
      </c>
      <c r="H74" s="17">
        <f>IFERROR(IF(F74="","",FLOOR(G73/((IFERROR(B68,0)+IFERROR(G68,0))/(IFERROR('Getting Started'!C15,0)+IFERROR('Getting Started'!C23,0))),1)+1),"")</f>
        <v/>
      </c>
      <c r="I74" s="17">
        <f>IFERROR(IF(F74="","",CEILING(G74/((IFERROR(B68,0)+IFERROR(G68,0))/(IFERROR('Getting Started'!C15,0)+IFERROR('Getting Started'!C23,0))),1)),"")</f>
        <v/>
      </c>
      <c r="J74" s="54">
        <f>IFERROR(IF(F74="","",TEXT('Getting Started'!C10+(H74-1)*7,"MMM D")&amp;" – "&amp;TEXT('Getting Started'!C10+I74*7,"MMM D")),"")</f>
        <v/>
      </c>
    </row>
    <row r="75" ht="18" customHeight="1">
      <c r="A75" s="53" t="n">
        <v>5</v>
      </c>
      <c r="B75" s="5" t="n"/>
      <c r="F75" s="32" t="n"/>
      <c r="G75" s="17">
        <f>IFERROR(SUM(F71:F75),"")</f>
        <v/>
      </c>
      <c r="H75" s="17">
        <f>IFERROR(IF(F75="","",FLOOR(G74/((IFERROR(B68,0)+IFERROR(G68,0))/(IFERROR('Getting Started'!C15,0)+IFERROR('Getting Started'!C23,0))),1)+1),"")</f>
        <v/>
      </c>
      <c r="I75" s="17">
        <f>IFERROR(IF(F75="","",CEILING(G75/((IFERROR(B68,0)+IFERROR(G68,0))/(IFERROR('Getting Started'!C15,0)+IFERROR('Getting Started'!C23,0))),1)),"")</f>
        <v/>
      </c>
      <c r="J75" s="54">
        <f>IFERROR(IF(F75="","",TEXT('Getting Started'!C10+(H75-1)*7,"MMM D")&amp;" – "&amp;TEXT('Getting Started'!C10+I75*7,"MMM D")),"")</f>
        <v/>
      </c>
    </row>
    <row r="76" ht="18" customHeight="1">
      <c r="A76" s="53" t="n">
        <v>6</v>
      </c>
      <c r="B76" s="18" t="n"/>
      <c r="F76" s="55" t="n"/>
      <c r="G76" s="17">
        <f>IFERROR(SUM(F71:F76),"")</f>
        <v/>
      </c>
      <c r="H76" s="17">
        <f>IFERROR(IF(F76="","",FLOOR(G75/((IFERROR(B68,0)+IFERROR(G68,0))/(IFERROR('Getting Started'!C15,0)+IFERROR('Getting Started'!C23,0))),1)+1),"")</f>
        <v/>
      </c>
      <c r="I76" s="17">
        <f>IFERROR(IF(F76="","",CEILING(G76/((IFERROR(B68,0)+IFERROR(G68,0))/(IFERROR('Getting Started'!C15,0)+IFERROR('Getting Started'!C23,0))),1)),"")</f>
        <v/>
      </c>
      <c r="J76" s="54">
        <f>IFERROR(IF(F76="","",TEXT('Getting Started'!C10+(H76-1)*7,"MMM D")&amp;" – "&amp;TEXT('Getting Started'!C10+I76*7,"MMM D")),"")</f>
        <v/>
      </c>
    </row>
    <row r="77" ht="20" customHeight="1">
      <c r="A77" s="56">
        <f>IFERROR(IF('Course Content'!I125="","",'Course Content'!I125),"")</f>
        <v/>
      </c>
    </row>
    <row r="78" ht="8" customHeight="1"/>
    <row r="79" ht="24" customHeight="1">
      <c r="A79" s="44" t="inlineStr">
        <is>
          <t xml:space="preserve">  SOCIAL STUDIES / HISTORY</t>
        </is>
      </c>
      <c r="E79" s="45">
        <f>IFERROR(IF('Course Content'!E126="","← enter on Course Content tab",'Course Content'!E126),"")</f>
        <v/>
      </c>
    </row>
    <row r="80" ht="22" customHeight="1">
      <c r="B80" s="46">
        <f>'Course Content'!G126</f>
        <v/>
      </c>
      <c r="C80" s="47">
        <f>IFERROR(IF(B80="","",ROUND(B80/'Getting Started'!C15,1)),"")</f>
        <v/>
      </c>
      <c r="D80" s="47">
        <f>IFERROR(IF(C80="","",ROUND(C80/'Getting Started'!C7,1)),"")</f>
        <v/>
      </c>
      <c r="E80" s="48">
        <f>IFERROR(IF(B80="","",TEXT('Getting Started'!C10+(B80/D80),"MMM D, YYYY")),"")</f>
        <v/>
      </c>
      <c r="F80" s="39" t="n"/>
      <c r="G80" s="49">
        <f>'Course Content'!H126</f>
        <v/>
      </c>
      <c r="H80" s="50">
        <f>IFERROR(IF(G80="","",ROUND(G80/'Getting Started'!C23,1)),"")</f>
        <v/>
      </c>
      <c r="I80" s="50">
        <f>IFERROR(IF(H80="","",ROUND(H80/'Getting Started'!C7,1)),"")</f>
        <v/>
      </c>
      <c r="J80" s="51">
        <f>IFERROR(IF(G80="","",TEXT('Getting Started'!C18+(G80/I80),"MMM D, YYYY")),"")</f>
        <v/>
      </c>
    </row>
    <row r="81" ht="16" customHeight="1">
      <c r="A81" s="52" t="inlineStr">
        <is>
          <t xml:space="preserve">  Component Breakdown  (optional — use for multi-volume curricula)</t>
        </is>
      </c>
    </row>
    <row r="82" ht="22" customHeight="1">
      <c r="A82" s="28" t="inlineStr">
        <is>
          <t>#</t>
        </is>
      </c>
      <c r="B82" s="28" t="inlineStr">
        <is>
          <t>Book / Component Title</t>
        </is>
      </c>
      <c r="F82" s="28" t="inlineStr">
        <is>
          <t>Units</t>
        </is>
      </c>
      <c r="G82" s="28" t="inlineStr">
        <is>
          <t>Cumul.</t>
        </is>
      </c>
      <c r="H82" s="28" t="inlineStr">
        <is>
          <t>Start
Week</t>
        </is>
      </c>
      <c r="I82" s="28" t="inlineStr">
        <is>
          <t>End
Week</t>
        </is>
      </c>
      <c r="J82" s="28" t="inlineStr">
        <is>
          <t>Est. Dates</t>
        </is>
      </c>
    </row>
    <row r="83" ht="18" customHeight="1">
      <c r="A83" s="53" t="n">
        <v>1</v>
      </c>
      <c r="B83" s="5" t="n"/>
      <c r="F83" s="32" t="n"/>
      <c r="G83" s="17">
        <f>IFERROR(SUM(F83:F83),"")</f>
        <v/>
      </c>
      <c r="H83" s="17">
        <f>IF(F83="","",1)</f>
        <v/>
      </c>
      <c r="I83" s="17">
        <f>IFERROR(IF(F83="","",CEILING(G83/((IFERROR(B80,0)+IFERROR(G80,0))/(IFERROR('Getting Started'!C15,0)+IFERROR('Getting Started'!C23,0))),1)),"")</f>
        <v/>
      </c>
      <c r="J83" s="54">
        <f>IFERROR(IF(F83="","",TEXT('Getting Started'!C10+(H83-1)*7,"MMM D")&amp;" – "&amp;TEXT('Getting Started'!C10+I83*7,"MMM D")),"")</f>
        <v/>
      </c>
    </row>
    <row r="84" ht="18" customHeight="1">
      <c r="A84" s="53" t="n">
        <v>2</v>
      </c>
      <c r="B84" s="18" t="n"/>
      <c r="F84" s="55" t="n"/>
      <c r="G84" s="17">
        <f>IFERROR(SUM(F83:F84),"")</f>
        <v/>
      </c>
      <c r="H84" s="17">
        <f>IFERROR(IF(F84="","",FLOOR(G83/((IFERROR(B80,0)+IFERROR(G80,0))/(IFERROR('Getting Started'!C15,0)+IFERROR('Getting Started'!C23,0))),1)+1),"")</f>
        <v/>
      </c>
      <c r="I84" s="17">
        <f>IFERROR(IF(F84="","",CEILING(G84/((IFERROR(B80,0)+IFERROR(G80,0))/(IFERROR('Getting Started'!C15,0)+IFERROR('Getting Started'!C23,0))),1)),"")</f>
        <v/>
      </c>
      <c r="J84" s="54">
        <f>IFERROR(IF(F84="","",TEXT('Getting Started'!C10+(H84-1)*7,"MMM D")&amp;" – "&amp;TEXT('Getting Started'!C10+I84*7,"MMM D")),"")</f>
        <v/>
      </c>
    </row>
    <row r="85" ht="18" customHeight="1">
      <c r="A85" s="53" t="n">
        <v>3</v>
      </c>
      <c r="B85" s="5" t="n"/>
      <c r="F85" s="32" t="n"/>
      <c r="G85" s="17">
        <f>IFERROR(SUM(F83:F85),"")</f>
        <v/>
      </c>
      <c r="H85" s="17">
        <f>IFERROR(IF(F85="","",FLOOR(G84/((IFERROR(B80,0)+IFERROR(G80,0))/(IFERROR('Getting Started'!C15,0)+IFERROR('Getting Started'!C23,0))),1)+1),"")</f>
        <v/>
      </c>
      <c r="I85" s="17">
        <f>IFERROR(IF(F85="","",CEILING(G85/((IFERROR(B80,0)+IFERROR(G80,0))/(IFERROR('Getting Started'!C15,0)+IFERROR('Getting Started'!C23,0))),1)),"")</f>
        <v/>
      </c>
      <c r="J85" s="54">
        <f>IFERROR(IF(F85="","",TEXT('Getting Started'!C10+(H85-1)*7,"MMM D")&amp;" – "&amp;TEXT('Getting Started'!C10+I85*7,"MMM D")),"")</f>
        <v/>
      </c>
    </row>
    <row r="86" ht="18" customHeight="1">
      <c r="A86" s="53" t="n">
        <v>4</v>
      </c>
      <c r="B86" s="18" t="n"/>
      <c r="F86" s="55" t="n"/>
      <c r="G86" s="17">
        <f>IFERROR(SUM(F83:F86),"")</f>
        <v/>
      </c>
      <c r="H86" s="17">
        <f>IFERROR(IF(F86="","",FLOOR(G85/((IFERROR(B80,0)+IFERROR(G80,0))/(IFERROR('Getting Started'!C15,0)+IFERROR('Getting Started'!C23,0))),1)+1),"")</f>
        <v/>
      </c>
      <c r="I86" s="17">
        <f>IFERROR(IF(F86="","",CEILING(G86/((IFERROR(B80,0)+IFERROR(G80,0))/(IFERROR('Getting Started'!C15,0)+IFERROR('Getting Started'!C23,0))),1)),"")</f>
        <v/>
      </c>
      <c r="J86" s="54">
        <f>IFERROR(IF(F86="","",TEXT('Getting Started'!C10+(H86-1)*7,"MMM D")&amp;" – "&amp;TEXT('Getting Started'!C10+I86*7,"MMM D")),"")</f>
        <v/>
      </c>
    </row>
    <row r="87" ht="18" customHeight="1">
      <c r="A87" s="53" t="n">
        <v>5</v>
      </c>
      <c r="B87" s="5" t="n"/>
      <c r="F87" s="32" t="n"/>
      <c r="G87" s="17">
        <f>IFERROR(SUM(F83:F87),"")</f>
        <v/>
      </c>
      <c r="H87" s="17">
        <f>IFERROR(IF(F87="","",FLOOR(G86/((IFERROR(B80,0)+IFERROR(G80,0))/(IFERROR('Getting Started'!C15,0)+IFERROR('Getting Started'!C23,0))),1)+1),"")</f>
        <v/>
      </c>
      <c r="I87" s="17">
        <f>IFERROR(IF(F87="","",CEILING(G87/((IFERROR(B80,0)+IFERROR(G80,0))/(IFERROR('Getting Started'!C15,0)+IFERROR('Getting Started'!C23,0))),1)),"")</f>
        <v/>
      </c>
      <c r="J87" s="54">
        <f>IFERROR(IF(F87="","",TEXT('Getting Started'!C10+(H87-1)*7,"MMM D")&amp;" – "&amp;TEXT('Getting Started'!C10+I87*7,"MMM D")),"")</f>
        <v/>
      </c>
    </row>
    <row r="88" ht="18" customHeight="1">
      <c r="A88" s="53" t="n">
        <v>6</v>
      </c>
      <c r="B88" s="18" t="n"/>
      <c r="F88" s="55" t="n"/>
      <c r="G88" s="17">
        <f>IFERROR(SUM(F83:F88),"")</f>
        <v/>
      </c>
      <c r="H88" s="17">
        <f>IFERROR(IF(F88="","",FLOOR(G87/((IFERROR(B80,0)+IFERROR(G80,0))/(IFERROR('Getting Started'!C15,0)+IFERROR('Getting Started'!C23,0))),1)+1),"")</f>
        <v/>
      </c>
      <c r="I88" s="17">
        <f>IFERROR(IF(F88="","",CEILING(G88/((IFERROR(B80,0)+IFERROR(G80,0))/(IFERROR('Getting Started'!C15,0)+IFERROR('Getting Started'!C23,0))),1)),"")</f>
        <v/>
      </c>
      <c r="J88" s="54">
        <f>IFERROR(IF(F88="","",TEXT('Getting Started'!C10+(H88-1)*7,"MMM D")&amp;" – "&amp;TEXT('Getting Started'!C10+I88*7,"MMM D")),"")</f>
        <v/>
      </c>
    </row>
    <row r="89" ht="20" customHeight="1">
      <c r="A89" s="56">
        <f>IFERROR(IF('Course Content'!I126="","",'Course Content'!I126),"")</f>
        <v/>
      </c>
    </row>
    <row r="90" ht="8" customHeight="1"/>
    <row r="91" ht="24" customHeight="1">
      <c r="A91" s="44" t="inlineStr">
        <is>
          <t xml:space="preserve">  HEALTH</t>
        </is>
      </c>
      <c r="E91" s="45">
        <f>IFERROR(IF('Course Content'!E127="","← enter on Course Content tab",'Course Content'!E127),"")</f>
        <v/>
      </c>
    </row>
    <row r="92" ht="22" customHeight="1">
      <c r="B92" s="46">
        <f>'Course Content'!G127</f>
        <v/>
      </c>
      <c r="C92" s="47">
        <f>IFERROR(IF(B92="","",ROUND(B92/'Getting Started'!C15,1)),"")</f>
        <v/>
      </c>
      <c r="D92" s="47">
        <f>IFERROR(IF(C92="","",ROUND(C92/'Getting Started'!C7,1)),"")</f>
        <v/>
      </c>
      <c r="E92" s="48">
        <f>IFERROR(IF(B92="","",TEXT('Getting Started'!C10+(B92/D92),"MMM D, YYYY")),"")</f>
        <v/>
      </c>
      <c r="F92" s="39" t="n"/>
      <c r="G92" s="49">
        <f>'Course Content'!H127</f>
        <v/>
      </c>
      <c r="H92" s="50">
        <f>IFERROR(IF(G92="","",ROUND(G92/'Getting Started'!C23,1)),"")</f>
        <v/>
      </c>
      <c r="I92" s="50">
        <f>IFERROR(IF(H92="","",ROUND(H92/'Getting Started'!C7,1)),"")</f>
        <v/>
      </c>
      <c r="J92" s="51">
        <f>IFERROR(IF(G92="","",TEXT('Getting Started'!C18+(G92/I92),"MMM D, YYYY")),"")</f>
        <v/>
      </c>
    </row>
    <row r="93" ht="16" customHeight="1">
      <c r="A93" s="52" t="inlineStr">
        <is>
          <t xml:space="preserve">  Component Breakdown  (optional — use for multi-volume curricula)</t>
        </is>
      </c>
    </row>
    <row r="94" ht="22" customHeight="1">
      <c r="A94" s="28" t="inlineStr">
        <is>
          <t>#</t>
        </is>
      </c>
      <c r="B94" s="28" t="inlineStr">
        <is>
          <t>Book / Component Title</t>
        </is>
      </c>
      <c r="F94" s="28" t="inlineStr">
        <is>
          <t>Units</t>
        </is>
      </c>
      <c r="G94" s="28" t="inlineStr">
        <is>
          <t>Cumul.</t>
        </is>
      </c>
      <c r="H94" s="28" t="inlineStr">
        <is>
          <t>Start
Week</t>
        </is>
      </c>
      <c r="I94" s="28" t="inlineStr">
        <is>
          <t>End
Week</t>
        </is>
      </c>
      <c r="J94" s="28" t="inlineStr">
        <is>
          <t>Est. Dates</t>
        </is>
      </c>
    </row>
    <row r="95" ht="18" customHeight="1">
      <c r="A95" s="53" t="n">
        <v>1</v>
      </c>
      <c r="B95" s="5" t="n"/>
      <c r="F95" s="32" t="n"/>
      <c r="G95" s="17">
        <f>IFERROR(SUM(F95:F95),"")</f>
        <v/>
      </c>
      <c r="H95" s="17">
        <f>IF(F95="","",1)</f>
        <v/>
      </c>
      <c r="I95" s="17">
        <f>IFERROR(IF(F95="","",CEILING(G95/((IFERROR(B92,0)+IFERROR(G92,0))/(IFERROR('Getting Started'!C15,0)+IFERROR('Getting Started'!C23,0))),1)),"")</f>
        <v/>
      </c>
      <c r="J95" s="54">
        <f>IFERROR(IF(F95="","",TEXT('Getting Started'!C10+(H95-1)*7,"MMM D")&amp;" – "&amp;TEXT('Getting Started'!C10+I95*7,"MMM D")),"")</f>
        <v/>
      </c>
    </row>
    <row r="96" ht="18" customHeight="1">
      <c r="A96" s="53" t="n">
        <v>2</v>
      </c>
      <c r="B96" s="18" t="n"/>
      <c r="F96" s="55" t="n"/>
      <c r="G96" s="17">
        <f>IFERROR(SUM(F95:F96),"")</f>
        <v/>
      </c>
      <c r="H96" s="17">
        <f>IFERROR(IF(F96="","",FLOOR(G95/((IFERROR(B92,0)+IFERROR(G92,0))/(IFERROR('Getting Started'!C15,0)+IFERROR('Getting Started'!C23,0))),1)+1),"")</f>
        <v/>
      </c>
      <c r="I96" s="17">
        <f>IFERROR(IF(F96="","",CEILING(G96/((IFERROR(B92,0)+IFERROR(G92,0))/(IFERROR('Getting Started'!C15,0)+IFERROR('Getting Started'!C23,0))),1)),"")</f>
        <v/>
      </c>
      <c r="J96" s="54">
        <f>IFERROR(IF(F96="","",TEXT('Getting Started'!C10+(H96-1)*7,"MMM D")&amp;" – "&amp;TEXT('Getting Started'!C10+I96*7,"MMM D")),"")</f>
        <v/>
      </c>
    </row>
    <row r="97" ht="18" customHeight="1">
      <c r="A97" s="53" t="n">
        <v>3</v>
      </c>
      <c r="B97" s="5" t="n"/>
      <c r="F97" s="32" t="n"/>
      <c r="G97" s="17">
        <f>IFERROR(SUM(F95:F97),"")</f>
        <v/>
      </c>
      <c r="H97" s="17">
        <f>IFERROR(IF(F97="","",FLOOR(G96/((IFERROR(B92,0)+IFERROR(G92,0))/(IFERROR('Getting Started'!C15,0)+IFERROR('Getting Started'!C23,0))),1)+1),"")</f>
        <v/>
      </c>
      <c r="I97" s="17">
        <f>IFERROR(IF(F97="","",CEILING(G97/((IFERROR(B92,0)+IFERROR(G92,0))/(IFERROR('Getting Started'!C15,0)+IFERROR('Getting Started'!C23,0))),1)),"")</f>
        <v/>
      </c>
      <c r="J97" s="54">
        <f>IFERROR(IF(F97="","",TEXT('Getting Started'!C10+(H97-1)*7,"MMM D")&amp;" – "&amp;TEXT('Getting Started'!C10+I97*7,"MMM D")),"")</f>
        <v/>
      </c>
    </row>
    <row r="98" ht="18" customHeight="1">
      <c r="A98" s="53" t="n">
        <v>4</v>
      </c>
      <c r="B98" s="18" t="n"/>
      <c r="F98" s="55" t="n"/>
      <c r="G98" s="17">
        <f>IFERROR(SUM(F95:F98),"")</f>
        <v/>
      </c>
      <c r="H98" s="17">
        <f>IFERROR(IF(F98="","",FLOOR(G97/((IFERROR(B92,0)+IFERROR(G92,0))/(IFERROR('Getting Started'!C15,0)+IFERROR('Getting Started'!C23,0))),1)+1),"")</f>
        <v/>
      </c>
      <c r="I98" s="17">
        <f>IFERROR(IF(F98="","",CEILING(G98/((IFERROR(B92,0)+IFERROR(G92,0))/(IFERROR('Getting Started'!C15,0)+IFERROR('Getting Started'!C23,0))),1)),"")</f>
        <v/>
      </c>
      <c r="J98" s="54">
        <f>IFERROR(IF(F98="","",TEXT('Getting Started'!C10+(H98-1)*7,"MMM D")&amp;" – "&amp;TEXT('Getting Started'!C10+I98*7,"MMM D")),"")</f>
        <v/>
      </c>
    </row>
    <row r="99" ht="18" customHeight="1">
      <c r="A99" s="53" t="n">
        <v>5</v>
      </c>
      <c r="B99" s="5" t="n"/>
      <c r="F99" s="32" t="n"/>
      <c r="G99" s="17">
        <f>IFERROR(SUM(F95:F99),"")</f>
        <v/>
      </c>
      <c r="H99" s="17">
        <f>IFERROR(IF(F99="","",FLOOR(G98/((IFERROR(B92,0)+IFERROR(G92,0))/(IFERROR('Getting Started'!C15,0)+IFERROR('Getting Started'!C23,0))),1)+1),"")</f>
        <v/>
      </c>
      <c r="I99" s="17">
        <f>IFERROR(IF(F99="","",CEILING(G99/((IFERROR(B92,0)+IFERROR(G92,0))/(IFERROR('Getting Started'!C15,0)+IFERROR('Getting Started'!C23,0))),1)),"")</f>
        <v/>
      </c>
      <c r="J99" s="54">
        <f>IFERROR(IF(F99="","",TEXT('Getting Started'!C10+(H99-1)*7,"MMM D")&amp;" – "&amp;TEXT('Getting Started'!C10+I99*7,"MMM D")),"")</f>
        <v/>
      </c>
    </row>
    <row r="100" ht="18" customHeight="1">
      <c r="A100" s="53" t="n">
        <v>6</v>
      </c>
      <c r="B100" s="18" t="n"/>
      <c r="F100" s="55" t="n"/>
      <c r="G100" s="17">
        <f>IFERROR(SUM(F95:F100),"")</f>
        <v/>
      </c>
      <c r="H100" s="17">
        <f>IFERROR(IF(F100="","",FLOOR(G99/((IFERROR(B92,0)+IFERROR(G92,0))/(IFERROR('Getting Started'!C15,0)+IFERROR('Getting Started'!C23,0))),1)+1),"")</f>
        <v/>
      </c>
      <c r="I100" s="17">
        <f>IFERROR(IF(F100="","",CEILING(G100/((IFERROR(B92,0)+IFERROR(G92,0))/(IFERROR('Getting Started'!C15,0)+IFERROR('Getting Started'!C23,0))),1)),"")</f>
        <v/>
      </c>
      <c r="J100" s="54">
        <f>IFERROR(IF(F100="","",TEXT('Getting Started'!C10+(H100-1)*7,"MMM D")&amp;" – "&amp;TEXT('Getting Started'!C10+I100*7,"MMM D")),"")</f>
        <v/>
      </c>
    </row>
    <row r="101" ht="20" customHeight="1">
      <c r="A101" s="56">
        <f>IFERROR(IF('Course Content'!I127="","",'Course Content'!I127),"")</f>
        <v/>
      </c>
    </row>
    <row r="102" ht="8" customHeight="1"/>
    <row r="103" ht="24" customHeight="1">
      <c r="A103" s="44" t="inlineStr">
        <is>
          <t xml:space="preserve">  PHYSICAL EDUCATION</t>
        </is>
      </c>
      <c r="E103" s="45">
        <f>IFERROR(IF('Course Content'!E128="","← enter on Course Content tab",'Course Content'!E128),"")</f>
        <v/>
      </c>
    </row>
    <row r="104" ht="22" customHeight="1">
      <c r="B104" s="46">
        <f>'Course Content'!G128</f>
        <v/>
      </c>
      <c r="C104" s="47">
        <f>IFERROR(IF(B104="","",ROUND(B104/'Getting Started'!C15,1)),"")</f>
        <v/>
      </c>
      <c r="D104" s="47">
        <f>IFERROR(IF(C104="","",ROUND(C104/'Getting Started'!C7,1)),"")</f>
        <v/>
      </c>
      <c r="E104" s="48">
        <f>IFERROR(IF(B104="","",TEXT('Getting Started'!C10+(B104/D104),"MMM D, YYYY")),"")</f>
        <v/>
      </c>
      <c r="F104" s="39" t="n"/>
      <c r="G104" s="49">
        <f>'Course Content'!H128</f>
        <v/>
      </c>
      <c r="H104" s="50">
        <f>IFERROR(IF(G104="","",ROUND(G104/'Getting Started'!C23,1)),"")</f>
        <v/>
      </c>
      <c r="I104" s="50">
        <f>IFERROR(IF(H104="","",ROUND(H104/'Getting Started'!C7,1)),"")</f>
        <v/>
      </c>
      <c r="J104" s="51">
        <f>IFERROR(IF(G104="","",TEXT('Getting Started'!C18+(G104/I104),"MMM D, YYYY")),"")</f>
        <v/>
      </c>
    </row>
    <row r="105" ht="16" customHeight="1">
      <c r="A105" s="52" t="inlineStr">
        <is>
          <t xml:space="preserve">  Component Breakdown  (optional — use for multi-volume curricula)</t>
        </is>
      </c>
    </row>
    <row r="106" ht="22" customHeight="1">
      <c r="A106" s="28" t="inlineStr">
        <is>
          <t>#</t>
        </is>
      </c>
      <c r="B106" s="28" t="inlineStr">
        <is>
          <t>Book / Component Title</t>
        </is>
      </c>
      <c r="F106" s="28" t="inlineStr">
        <is>
          <t>Units</t>
        </is>
      </c>
      <c r="G106" s="28" t="inlineStr">
        <is>
          <t>Cumul.</t>
        </is>
      </c>
      <c r="H106" s="28" t="inlineStr">
        <is>
          <t>Start
Week</t>
        </is>
      </c>
      <c r="I106" s="28" t="inlineStr">
        <is>
          <t>End
Week</t>
        </is>
      </c>
      <c r="J106" s="28" t="inlineStr">
        <is>
          <t>Est. Dates</t>
        </is>
      </c>
    </row>
    <row r="107" ht="18" customHeight="1">
      <c r="A107" s="53" t="n">
        <v>1</v>
      </c>
      <c r="B107" s="5" t="n"/>
      <c r="F107" s="32" t="n"/>
      <c r="G107" s="17">
        <f>IFERROR(SUM(F107:F107),"")</f>
        <v/>
      </c>
      <c r="H107" s="17">
        <f>IF(F107="","",1)</f>
        <v/>
      </c>
      <c r="I107" s="17">
        <f>IFERROR(IF(F107="","",CEILING(G107/((IFERROR(B104,0)+IFERROR(G104,0))/(IFERROR('Getting Started'!C15,0)+IFERROR('Getting Started'!C23,0))),1)),"")</f>
        <v/>
      </c>
      <c r="J107" s="54">
        <f>IFERROR(IF(F107="","",TEXT('Getting Started'!C10+(H107-1)*7,"MMM D")&amp;" – "&amp;TEXT('Getting Started'!C10+I107*7,"MMM D")),"")</f>
        <v/>
      </c>
    </row>
    <row r="108" ht="18" customHeight="1">
      <c r="A108" s="53" t="n">
        <v>2</v>
      </c>
      <c r="B108" s="18" t="n"/>
      <c r="F108" s="55" t="n"/>
      <c r="G108" s="17">
        <f>IFERROR(SUM(F107:F108),"")</f>
        <v/>
      </c>
      <c r="H108" s="17">
        <f>IFERROR(IF(F108="","",FLOOR(G107/((IFERROR(B104,0)+IFERROR(G104,0))/(IFERROR('Getting Started'!C15,0)+IFERROR('Getting Started'!C23,0))),1)+1),"")</f>
        <v/>
      </c>
      <c r="I108" s="17">
        <f>IFERROR(IF(F108="","",CEILING(G108/((IFERROR(B104,0)+IFERROR(G104,0))/(IFERROR('Getting Started'!C15,0)+IFERROR('Getting Started'!C23,0))),1)),"")</f>
        <v/>
      </c>
      <c r="J108" s="54">
        <f>IFERROR(IF(F108="","",TEXT('Getting Started'!C10+(H108-1)*7,"MMM D")&amp;" – "&amp;TEXT('Getting Started'!C10+I108*7,"MMM D")),"")</f>
        <v/>
      </c>
    </row>
    <row r="109" ht="18" customHeight="1">
      <c r="A109" s="53" t="n">
        <v>3</v>
      </c>
      <c r="B109" s="5" t="n"/>
      <c r="F109" s="32" t="n"/>
      <c r="G109" s="17">
        <f>IFERROR(SUM(F107:F109),"")</f>
        <v/>
      </c>
      <c r="H109" s="17">
        <f>IFERROR(IF(F109="","",FLOOR(G108/((IFERROR(B104,0)+IFERROR(G104,0))/(IFERROR('Getting Started'!C15,0)+IFERROR('Getting Started'!C23,0))),1)+1),"")</f>
        <v/>
      </c>
      <c r="I109" s="17">
        <f>IFERROR(IF(F109="","",CEILING(G109/((IFERROR(B104,0)+IFERROR(G104,0))/(IFERROR('Getting Started'!C15,0)+IFERROR('Getting Started'!C23,0))),1)),"")</f>
        <v/>
      </c>
      <c r="J109" s="54">
        <f>IFERROR(IF(F109="","",TEXT('Getting Started'!C10+(H109-1)*7,"MMM D")&amp;" – "&amp;TEXT('Getting Started'!C10+I109*7,"MMM D")),"")</f>
        <v/>
      </c>
    </row>
    <row r="110" ht="18" customHeight="1">
      <c r="A110" s="53" t="n">
        <v>4</v>
      </c>
      <c r="B110" s="18" t="n"/>
      <c r="F110" s="55" t="n"/>
      <c r="G110" s="17">
        <f>IFERROR(SUM(F107:F110),"")</f>
        <v/>
      </c>
      <c r="H110" s="17">
        <f>IFERROR(IF(F110="","",FLOOR(G109/((IFERROR(B104,0)+IFERROR(G104,0))/(IFERROR('Getting Started'!C15,0)+IFERROR('Getting Started'!C23,0))),1)+1),"")</f>
        <v/>
      </c>
      <c r="I110" s="17">
        <f>IFERROR(IF(F110="","",CEILING(G110/((IFERROR(B104,0)+IFERROR(G104,0))/(IFERROR('Getting Started'!C15,0)+IFERROR('Getting Started'!C23,0))),1)),"")</f>
        <v/>
      </c>
      <c r="J110" s="54">
        <f>IFERROR(IF(F110="","",TEXT('Getting Started'!C10+(H110-1)*7,"MMM D")&amp;" – "&amp;TEXT('Getting Started'!C10+I110*7,"MMM D")),"")</f>
        <v/>
      </c>
    </row>
    <row r="111" ht="18" customHeight="1">
      <c r="A111" s="53" t="n">
        <v>5</v>
      </c>
      <c r="B111" s="5" t="n"/>
      <c r="F111" s="32" t="n"/>
      <c r="G111" s="17">
        <f>IFERROR(SUM(F107:F111),"")</f>
        <v/>
      </c>
      <c r="H111" s="17">
        <f>IFERROR(IF(F111="","",FLOOR(G110/((IFERROR(B104,0)+IFERROR(G104,0))/(IFERROR('Getting Started'!C15,0)+IFERROR('Getting Started'!C23,0))),1)+1),"")</f>
        <v/>
      </c>
      <c r="I111" s="17">
        <f>IFERROR(IF(F111="","",CEILING(G111/((IFERROR(B104,0)+IFERROR(G104,0))/(IFERROR('Getting Started'!C15,0)+IFERROR('Getting Started'!C23,0))),1)),"")</f>
        <v/>
      </c>
      <c r="J111" s="54">
        <f>IFERROR(IF(F111="","",TEXT('Getting Started'!C10+(H111-1)*7,"MMM D")&amp;" – "&amp;TEXT('Getting Started'!C10+I111*7,"MMM D")),"")</f>
        <v/>
      </c>
    </row>
    <row r="112" ht="18" customHeight="1">
      <c r="A112" s="53" t="n">
        <v>6</v>
      </c>
      <c r="B112" s="18" t="n"/>
      <c r="F112" s="55" t="n"/>
      <c r="G112" s="17">
        <f>IFERROR(SUM(F107:F112),"")</f>
        <v/>
      </c>
      <c r="H112" s="17">
        <f>IFERROR(IF(F112="","",FLOOR(G111/((IFERROR(B104,0)+IFERROR(G104,0))/(IFERROR('Getting Started'!C15,0)+IFERROR('Getting Started'!C23,0))),1)+1),"")</f>
        <v/>
      </c>
      <c r="I112" s="17">
        <f>IFERROR(IF(F112="","",CEILING(G112/((IFERROR(B104,0)+IFERROR(G104,0))/(IFERROR('Getting Started'!C15,0)+IFERROR('Getting Started'!C23,0))),1)),"")</f>
        <v/>
      </c>
      <c r="J112" s="54">
        <f>IFERROR(IF(F112="","",TEXT('Getting Started'!C10+(H112-1)*7,"MMM D")&amp;" – "&amp;TEXT('Getting Started'!C10+I112*7,"MMM D")),"")</f>
        <v/>
      </c>
    </row>
    <row r="113" ht="20" customHeight="1">
      <c r="A113" s="56">
        <f>IFERROR(IF('Course Content'!I128="","",'Course Content'!I128),"")</f>
        <v/>
      </c>
    </row>
    <row r="114" ht="8" customHeight="1"/>
    <row r="115" ht="24" customHeight="1">
      <c r="A115" s="44" t="inlineStr">
        <is>
          <t xml:space="preserve">  ART / MUSIC</t>
        </is>
      </c>
      <c r="E115" s="45">
        <f>IFERROR(IF('Course Content'!E129="","← enter on Course Content tab",'Course Content'!E129),"")</f>
        <v/>
      </c>
    </row>
    <row r="116" ht="22" customHeight="1">
      <c r="B116" s="46">
        <f>'Course Content'!G129</f>
        <v/>
      </c>
      <c r="C116" s="47">
        <f>IFERROR(IF(B116="","",ROUND(B116/'Getting Started'!C15,1)),"")</f>
        <v/>
      </c>
      <c r="D116" s="47">
        <f>IFERROR(IF(C116="","",ROUND(C116/'Getting Started'!C7,1)),"")</f>
        <v/>
      </c>
      <c r="E116" s="48">
        <f>IFERROR(IF(B116="","",TEXT('Getting Started'!C10+(B116/D116),"MMM D, YYYY")),"")</f>
        <v/>
      </c>
      <c r="F116" s="39" t="n"/>
      <c r="G116" s="49">
        <f>'Course Content'!H129</f>
        <v/>
      </c>
      <c r="H116" s="50">
        <f>IFERROR(IF(G116="","",ROUND(G116/'Getting Started'!C23,1)),"")</f>
        <v/>
      </c>
      <c r="I116" s="50">
        <f>IFERROR(IF(H116="","",ROUND(H116/'Getting Started'!C7,1)),"")</f>
        <v/>
      </c>
      <c r="J116" s="51">
        <f>IFERROR(IF(G116="","",TEXT('Getting Started'!C18+(G116/I116),"MMM D, YYYY")),"")</f>
        <v/>
      </c>
    </row>
    <row r="117" ht="16" customHeight="1">
      <c r="A117" s="52" t="inlineStr">
        <is>
          <t xml:space="preserve">  Component Breakdown  (optional — use for multi-volume curricula)</t>
        </is>
      </c>
    </row>
    <row r="118" ht="22" customHeight="1">
      <c r="A118" s="28" t="inlineStr">
        <is>
          <t>#</t>
        </is>
      </c>
      <c r="B118" s="28" t="inlineStr">
        <is>
          <t>Book / Component Title</t>
        </is>
      </c>
      <c r="F118" s="28" t="inlineStr">
        <is>
          <t>Units</t>
        </is>
      </c>
      <c r="G118" s="28" t="inlineStr">
        <is>
          <t>Cumul.</t>
        </is>
      </c>
      <c r="H118" s="28" t="inlineStr">
        <is>
          <t>Start
Week</t>
        </is>
      </c>
      <c r="I118" s="28" t="inlineStr">
        <is>
          <t>End
Week</t>
        </is>
      </c>
      <c r="J118" s="28" t="inlineStr">
        <is>
          <t>Est. Dates</t>
        </is>
      </c>
    </row>
    <row r="119" ht="18" customHeight="1">
      <c r="A119" s="53" t="n">
        <v>1</v>
      </c>
      <c r="B119" s="5" t="n"/>
      <c r="F119" s="32" t="n"/>
      <c r="G119" s="17">
        <f>IFERROR(SUM(F119:F119),"")</f>
        <v/>
      </c>
      <c r="H119" s="17">
        <f>IF(F119="","",1)</f>
        <v/>
      </c>
      <c r="I119" s="17">
        <f>IFERROR(IF(F119="","",CEILING(G119/((IFERROR(B116,0)+IFERROR(G116,0))/(IFERROR('Getting Started'!C15,0)+IFERROR('Getting Started'!C23,0))),1)),"")</f>
        <v/>
      </c>
      <c r="J119" s="54">
        <f>IFERROR(IF(F119="","",TEXT('Getting Started'!C10+(H119-1)*7,"MMM D")&amp;" – "&amp;TEXT('Getting Started'!C10+I119*7,"MMM D")),"")</f>
        <v/>
      </c>
    </row>
    <row r="120" ht="18" customHeight="1">
      <c r="A120" s="53" t="n">
        <v>2</v>
      </c>
      <c r="B120" s="18" t="n"/>
      <c r="F120" s="55" t="n"/>
      <c r="G120" s="17">
        <f>IFERROR(SUM(F119:F120),"")</f>
        <v/>
      </c>
      <c r="H120" s="17">
        <f>IFERROR(IF(F120="","",FLOOR(G119/((IFERROR(B116,0)+IFERROR(G116,0))/(IFERROR('Getting Started'!C15,0)+IFERROR('Getting Started'!C23,0))),1)+1),"")</f>
        <v/>
      </c>
      <c r="I120" s="17">
        <f>IFERROR(IF(F120="","",CEILING(G120/((IFERROR(B116,0)+IFERROR(G116,0))/(IFERROR('Getting Started'!C15,0)+IFERROR('Getting Started'!C23,0))),1)),"")</f>
        <v/>
      </c>
      <c r="J120" s="54">
        <f>IFERROR(IF(F120="","",TEXT('Getting Started'!C10+(H120-1)*7,"MMM D")&amp;" – "&amp;TEXT('Getting Started'!C10+I120*7,"MMM D")),"")</f>
        <v/>
      </c>
    </row>
    <row r="121" ht="18" customHeight="1">
      <c r="A121" s="53" t="n">
        <v>3</v>
      </c>
      <c r="B121" s="5" t="n"/>
      <c r="F121" s="32" t="n"/>
      <c r="G121" s="17">
        <f>IFERROR(SUM(F119:F121),"")</f>
        <v/>
      </c>
      <c r="H121" s="17">
        <f>IFERROR(IF(F121="","",FLOOR(G120/((IFERROR(B116,0)+IFERROR(G116,0))/(IFERROR('Getting Started'!C15,0)+IFERROR('Getting Started'!C23,0))),1)+1),"")</f>
        <v/>
      </c>
      <c r="I121" s="17">
        <f>IFERROR(IF(F121="","",CEILING(G121/((IFERROR(B116,0)+IFERROR(G116,0))/(IFERROR('Getting Started'!C15,0)+IFERROR('Getting Started'!C23,0))),1)),"")</f>
        <v/>
      </c>
      <c r="J121" s="54">
        <f>IFERROR(IF(F121="","",TEXT('Getting Started'!C10+(H121-1)*7,"MMM D")&amp;" – "&amp;TEXT('Getting Started'!C10+I121*7,"MMM D")),"")</f>
        <v/>
      </c>
    </row>
    <row r="122" ht="18" customHeight="1">
      <c r="A122" s="53" t="n">
        <v>4</v>
      </c>
      <c r="B122" s="18" t="n"/>
      <c r="F122" s="55" t="n"/>
      <c r="G122" s="17">
        <f>IFERROR(SUM(F119:F122),"")</f>
        <v/>
      </c>
      <c r="H122" s="17">
        <f>IFERROR(IF(F122="","",FLOOR(G121/((IFERROR(B116,0)+IFERROR(G116,0))/(IFERROR('Getting Started'!C15,0)+IFERROR('Getting Started'!C23,0))),1)+1),"")</f>
        <v/>
      </c>
      <c r="I122" s="17">
        <f>IFERROR(IF(F122="","",CEILING(G122/((IFERROR(B116,0)+IFERROR(G116,0))/(IFERROR('Getting Started'!C15,0)+IFERROR('Getting Started'!C23,0))),1)),"")</f>
        <v/>
      </c>
      <c r="J122" s="54">
        <f>IFERROR(IF(F122="","",TEXT('Getting Started'!C10+(H122-1)*7,"MMM D")&amp;" – "&amp;TEXT('Getting Started'!C10+I122*7,"MMM D")),"")</f>
        <v/>
      </c>
    </row>
    <row r="123" ht="18" customHeight="1">
      <c r="A123" s="53" t="n">
        <v>5</v>
      </c>
      <c r="B123" s="5" t="n"/>
      <c r="F123" s="32" t="n"/>
      <c r="G123" s="17">
        <f>IFERROR(SUM(F119:F123),"")</f>
        <v/>
      </c>
      <c r="H123" s="17">
        <f>IFERROR(IF(F123="","",FLOOR(G122/((IFERROR(B116,0)+IFERROR(G116,0))/(IFERROR('Getting Started'!C15,0)+IFERROR('Getting Started'!C23,0))),1)+1),"")</f>
        <v/>
      </c>
      <c r="I123" s="17">
        <f>IFERROR(IF(F123="","",CEILING(G123/((IFERROR(B116,0)+IFERROR(G116,0))/(IFERROR('Getting Started'!C15,0)+IFERROR('Getting Started'!C23,0))),1)),"")</f>
        <v/>
      </c>
      <c r="J123" s="54">
        <f>IFERROR(IF(F123="","",TEXT('Getting Started'!C10+(H123-1)*7,"MMM D")&amp;" – "&amp;TEXT('Getting Started'!C10+I123*7,"MMM D")),"")</f>
        <v/>
      </c>
    </row>
    <row r="124" ht="18" customHeight="1">
      <c r="A124" s="53" t="n">
        <v>6</v>
      </c>
      <c r="B124" s="18" t="n"/>
      <c r="F124" s="55" t="n"/>
      <c r="G124" s="17">
        <f>IFERROR(SUM(F119:F124),"")</f>
        <v/>
      </c>
      <c r="H124" s="17">
        <f>IFERROR(IF(F124="","",FLOOR(G123/((IFERROR(B116,0)+IFERROR(G116,0))/(IFERROR('Getting Started'!C15,0)+IFERROR('Getting Started'!C23,0))),1)+1),"")</f>
        <v/>
      </c>
      <c r="I124" s="17">
        <f>IFERROR(IF(F124="","",CEILING(G124/((IFERROR(B116,0)+IFERROR(G116,0))/(IFERROR('Getting Started'!C15,0)+IFERROR('Getting Started'!C23,0))),1)),"")</f>
        <v/>
      </c>
      <c r="J124" s="54">
        <f>IFERROR(IF(F124="","",TEXT('Getting Started'!C10+(H124-1)*7,"MMM D")&amp;" – "&amp;TEXT('Getting Started'!C10+I124*7,"MMM D")),"")</f>
        <v/>
      </c>
    </row>
    <row r="125" ht="20" customHeight="1">
      <c r="A125" s="56">
        <f>IFERROR(IF('Course Content'!I129="","",'Course Content'!I129),"")</f>
        <v/>
      </c>
    </row>
    <row r="126" ht="8" customHeight="1"/>
    <row r="127" ht="24" customHeight="1">
      <c r="A127" s="44">
        <f>IF('Course Content'!D130="","  ELECTIVE / OTHER 1","  "&amp;UPPER('Course Content'!D130))</f>
        <v/>
      </c>
      <c r="E127" s="45">
        <f>IFERROR(IF('Course Content'!E130="","← enter on Course Content tab",'Course Content'!E130),"")</f>
        <v/>
      </c>
    </row>
    <row r="128" ht="22" customHeight="1">
      <c r="B128" s="46">
        <f>'Course Content'!G130</f>
        <v/>
      </c>
      <c r="C128" s="47">
        <f>IFERROR(IF(B128="","",ROUND(B128/'Getting Started'!C15,1)),"")</f>
        <v/>
      </c>
      <c r="D128" s="47">
        <f>IFERROR(IF(C128="","",ROUND(C128/'Getting Started'!C7,1)),"")</f>
        <v/>
      </c>
      <c r="E128" s="48">
        <f>IFERROR(IF(B128="","",TEXT('Getting Started'!C10+(B128/D128),"MMM D, YYYY")),"")</f>
        <v/>
      </c>
      <c r="F128" s="39" t="n"/>
      <c r="G128" s="49">
        <f>'Course Content'!H130</f>
        <v/>
      </c>
      <c r="H128" s="50">
        <f>IFERROR(IF(G128="","",ROUND(G128/'Getting Started'!C23,1)),"")</f>
        <v/>
      </c>
      <c r="I128" s="50">
        <f>IFERROR(IF(H128="","",ROUND(H128/'Getting Started'!C7,1)),"")</f>
        <v/>
      </c>
      <c r="J128" s="51">
        <f>IFERROR(IF(G128="","",TEXT('Getting Started'!C18+(G128/I128),"MMM D, YYYY")),"")</f>
        <v/>
      </c>
    </row>
    <row r="129" ht="16" customHeight="1">
      <c r="A129" s="52" t="inlineStr">
        <is>
          <t xml:space="preserve">  Component Breakdown  (optional — use for multi-volume curricula)</t>
        </is>
      </c>
    </row>
    <row r="130" ht="22" customHeight="1">
      <c r="A130" s="28" t="inlineStr">
        <is>
          <t>#</t>
        </is>
      </c>
      <c r="B130" s="28" t="inlineStr">
        <is>
          <t>Book / Component Title</t>
        </is>
      </c>
      <c r="F130" s="28" t="inlineStr">
        <is>
          <t>Units</t>
        </is>
      </c>
      <c r="G130" s="28" t="inlineStr">
        <is>
          <t>Cumul.</t>
        </is>
      </c>
      <c r="H130" s="28" t="inlineStr">
        <is>
          <t>Start
Week</t>
        </is>
      </c>
      <c r="I130" s="28" t="inlineStr">
        <is>
          <t>End
Week</t>
        </is>
      </c>
      <c r="J130" s="28" t="inlineStr">
        <is>
          <t>Est. Dates</t>
        </is>
      </c>
    </row>
    <row r="131" ht="18" customHeight="1">
      <c r="A131" s="53" t="n">
        <v>1</v>
      </c>
      <c r="B131" s="5" t="n"/>
      <c r="F131" s="32" t="n"/>
      <c r="G131" s="17">
        <f>IFERROR(SUM(F131:F131),"")</f>
        <v/>
      </c>
      <c r="H131" s="17">
        <f>IF(F131="","",1)</f>
        <v/>
      </c>
      <c r="I131" s="17">
        <f>IFERROR(IF(F131="","",CEILING(G131/((IFERROR(B128,0)+IFERROR(G128,0))/(IFERROR('Getting Started'!C15,0)+IFERROR('Getting Started'!C23,0))),1)),"")</f>
        <v/>
      </c>
      <c r="J131" s="54">
        <f>IFERROR(IF(F131="","",TEXT('Getting Started'!C10+(H131-1)*7,"MMM D")&amp;" – "&amp;TEXT('Getting Started'!C10+I131*7,"MMM D")),"")</f>
        <v/>
      </c>
    </row>
    <row r="132" ht="18" customHeight="1">
      <c r="A132" s="53" t="n">
        <v>2</v>
      </c>
      <c r="B132" s="18" t="n"/>
      <c r="F132" s="55" t="n"/>
      <c r="G132" s="17">
        <f>IFERROR(SUM(F131:F132),"")</f>
        <v/>
      </c>
      <c r="H132" s="17">
        <f>IFERROR(IF(F132="","",FLOOR(G131/((IFERROR(B128,0)+IFERROR(G128,0))/(IFERROR('Getting Started'!C15,0)+IFERROR('Getting Started'!C23,0))),1)+1),"")</f>
        <v/>
      </c>
      <c r="I132" s="17">
        <f>IFERROR(IF(F132="","",CEILING(G132/((IFERROR(B128,0)+IFERROR(G128,0))/(IFERROR('Getting Started'!C15,0)+IFERROR('Getting Started'!C23,0))),1)),"")</f>
        <v/>
      </c>
      <c r="J132" s="54">
        <f>IFERROR(IF(F132="","",TEXT('Getting Started'!C10+(H132-1)*7,"MMM D")&amp;" – "&amp;TEXT('Getting Started'!C10+I132*7,"MMM D")),"")</f>
        <v/>
      </c>
    </row>
    <row r="133" ht="18" customHeight="1">
      <c r="A133" s="53" t="n">
        <v>3</v>
      </c>
      <c r="B133" s="5" t="n"/>
      <c r="F133" s="32" t="n"/>
      <c r="G133" s="17">
        <f>IFERROR(SUM(F131:F133),"")</f>
        <v/>
      </c>
      <c r="H133" s="17">
        <f>IFERROR(IF(F133="","",FLOOR(G132/((IFERROR(B128,0)+IFERROR(G128,0))/(IFERROR('Getting Started'!C15,0)+IFERROR('Getting Started'!C23,0))),1)+1),"")</f>
        <v/>
      </c>
      <c r="I133" s="17">
        <f>IFERROR(IF(F133="","",CEILING(G133/((IFERROR(B128,0)+IFERROR(G128,0))/(IFERROR('Getting Started'!C15,0)+IFERROR('Getting Started'!C23,0))),1)),"")</f>
        <v/>
      </c>
      <c r="J133" s="54">
        <f>IFERROR(IF(F133="","",TEXT('Getting Started'!C10+(H133-1)*7,"MMM D")&amp;" – "&amp;TEXT('Getting Started'!C10+I133*7,"MMM D")),"")</f>
        <v/>
      </c>
    </row>
    <row r="134" ht="18" customHeight="1">
      <c r="A134" s="53" t="n">
        <v>4</v>
      </c>
      <c r="B134" s="18" t="n"/>
      <c r="F134" s="55" t="n"/>
      <c r="G134" s="17">
        <f>IFERROR(SUM(F131:F134),"")</f>
        <v/>
      </c>
      <c r="H134" s="17">
        <f>IFERROR(IF(F134="","",FLOOR(G133/((IFERROR(B128,0)+IFERROR(G128,0))/(IFERROR('Getting Started'!C15,0)+IFERROR('Getting Started'!C23,0))),1)+1),"")</f>
        <v/>
      </c>
      <c r="I134" s="17">
        <f>IFERROR(IF(F134="","",CEILING(G134/((IFERROR(B128,0)+IFERROR(G128,0))/(IFERROR('Getting Started'!C15,0)+IFERROR('Getting Started'!C23,0))),1)),"")</f>
        <v/>
      </c>
      <c r="J134" s="54">
        <f>IFERROR(IF(F134="","",TEXT('Getting Started'!C10+(H134-1)*7,"MMM D")&amp;" – "&amp;TEXT('Getting Started'!C10+I134*7,"MMM D")),"")</f>
        <v/>
      </c>
    </row>
    <row r="135" ht="18" customHeight="1">
      <c r="A135" s="53" t="n">
        <v>5</v>
      </c>
      <c r="B135" s="5" t="n"/>
      <c r="F135" s="32" t="n"/>
      <c r="G135" s="17">
        <f>IFERROR(SUM(F131:F135),"")</f>
        <v/>
      </c>
      <c r="H135" s="17">
        <f>IFERROR(IF(F135="","",FLOOR(G134/((IFERROR(B128,0)+IFERROR(G128,0))/(IFERROR('Getting Started'!C15,0)+IFERROR('Getting Started'!C23,0))),1)+1),"")</f>
        <v/>
      </c>
      <c r="I135" s="17">
        <f>IFERROR(IF(F135="","",CEILING(G135/((IFERROR(B128,0)+IFERROR(G128,0))/(IFERROR('Getting Started'!C15,0)+IFERROR('Getting Started'!C23,0))),1)),"")</f>
        <v/>
      </c>
      <c r="J135" s="54">
        <f>IFERROR(IF(F135="","",TEXT('Getting Started'!C10+(H135-1)*7,"MMM D")&amp;" – "&amp;TEXT('Getting Started'!C10+I135*7,"MMM D")),"")</f>
        <v/>
      </c>
    </row>
    <row r="136" ht="18" customHeight="1">
      <c r="A136" s="53" t="n">
        <v>6</v>
      </c>
      <c r="B136" s="18" t="n"/>
      <c r="F136" s="55" t="n"/>
      <c r="G136" s="17">
        <f>IFERROR(SUM(F131:F136),"")</f>
        <v/>
      </c>
      <c r="H136" s="17">
        <f>IFERROR(IF(F136="","",FLOOR(G135/((IFERROR(B128,0)+IFERROR(G128,0))/(IFERROR('Getting Started'!C15,0)+IFERROR('Getting Started'!C23,0))),1)+1),"")</f>
        <v/>
      </c>
      <c r="I136" s="17">
        <f>IFERROR(IF(F136="","",CEILING(G136/((IFERROR(B128,0)+IFERROR(G128,0))/(IFERROR('Getting Started'!C15,0)+IFERROR('Getting Started'!C23,0))),1)),"")</f>
        <v/>
      </c>
      <c r="J136" s="54">
        <f>IFERROR(IF(F136="","",TEXT('Getting Started'!C10+(H136-1)*7,"MMM D")&amp;" – "&amp;TEXT('Getting Started'!C10+I136*7,"MMM D")),"")</f>
        <v/>
      </c>
    </row>
    <row r="137" ht="20" customHeight="1">
      <c r="A137" s="56">
        <f>IFERROR(IF('Course Content'!I130="","",'Course Content'!I130),"")</f>
        <v/>
      </c>
    </row>
    <row r="138" ht="8" customHeight="1"/>
    <row r="139" ht="24" customHeight="1">
      <c r="A139" s="44">
        <f>IF('Course Content'!D131="","  ELECTIVE / OTHER 2","  "&amp;UPPER('Course Content'!D131))</f>
        <v/>
      </c>
      <c r="E139" s="45">
        <f>IFERROR(IF('Course Content'!E131="","← enter on Course Content tab",'Course Content'!E131),"")</f>
        <v/>
      </c>
    </row>
    <row r="140" ht="22" customHeight="1">
      <c r="B140" s="46">
        <f>'Course Content'!G131</f>
        <v/>
      </c>
      <c r="C140" s="47">
        <f>IFERROR(IF(B140="","",ROUND(B140/'Getting Started'!C15,1)),"")</f>
        <v/>
      </c>
      <c r="D140" s="47">
        <f>IFERROR(IF(C140="","",ROUND(C140/'Getting Started'!C7,1)),"")</f>
        <v/>
      </c>
      <c r="E140" s="48">
        <f>IFERROR(IF(B140="","",TEXT('Getting Started'!C10+(B140/D140),"MMM D, YYYY")),"")</f>
        <v/>
      </c>
      <c r="F140" s="39" t="n"/>
      <c r="G140" s="49">
        <f>'Course Content'!H131</f>
        <v/>
      </c>
      <c r="H140" s="50">
        <f>IFERROR(IF(G140="","",ROUND(G140/'Getting Started'!C23,1)),"")</f>
        <v/>
      </c>
      <c r="I140" s="50">
        <f>IFERROR(IF(H140="","",ROUND(H140/'Getting Started'!C7,1)),"")</f>
        <v/>
      </c>
      <c r="J140" s="51">
        <f>IFERROR(IF(G140="","",TEXT('Getting Started'!C18+(G140/I140),"MMM D, YYYY")),"")</f>
        <v/>
      </c>
    </row>
    <row r="141" ht="16" customHeight="1">
      <c r="A141" s="52" t="inlineStr">
        <is>
          <t xml:space="preserve">  Component Breakdown  (optional — use for multi-volume curricula)</t>
        </is>
      </c>
    </row>
    <row r="142" ht="22" customHeight="1">
      <c r="A142" s="28" t="inlineStr">
        <is>
          <t>#</t>
        </is>
      </c>
      <c r="B142" s="28" t="inlineStr">
        <is>
          <t>Book / Component Title</t>
        </is>
      </c>
      <c r="F142" s="28" t="inlineStr">
        <is>
          <t>Units</t>
        </is>
      </c>
      <c r="G142" s="28" t="inlineStr">
        <is>
          <t>Cumul.</t>
        </is>
      </c>
      <c r="H142" s="28" t="inlineStr">
        <is>
          <t>Start
Week</t>
        </is>
      </c>
      <c r="I142" s="28" t="inlineStr">
        <is>
          <t>End
Week</t>
        </is>
      </c>
      <c r="J142" s="28" t="inlineStr">
        <is>
          <t>Est. Dates</t>
        </is>
      </c>
    </row>
    <row r="143" ht="18" customHeight="1">
      <c r="A143" s="53" t="n">
        <v>1</v>
      </c>
      <c r="B143" s="5" t="n"/>
      <c r="F143" s="32" t="n"/>
      <c r="G143" s="17">
        <f>IFERROR(SUM(F143:F143),"")</f>
        <v/>
      </c>
      <c r="H143" s="17">
        <f>IF(F143="","",1)</f>
        <v/>
      </c>
      <c r="I143" s="17">
        <f>IFERROR(IF(F143="","",CEILING(G143/((IFERROR(B140,0)+IFERROR(G140,0))/(IFERROR('Getting Started'!C15,0)+IFERROR('Getting Started'!C23,0))),1)),"")</f>
        <v/>
      </c>
      <c r="J143" s="54">
        <f>IFERROR(IF(F143="","",TEXT('Getting Started'!C10+(H143-1)*7,"MMM D")&amp;" – "&amp;TEXT('Getting Started'!C10+I143*7,"MMM D")),"")</f>
        <v/>
      </c>
    </row>
    <row r="144" ht="18" customHeight="1">
      <c r="A144" s="53" t="n">
        <v>2</v>
      </c>
      <c r="B144" s="18" t="n"/>
      <c r="F144" s="55" t="n"/>
      <c r="G144" s="17">
        <f>IFERROR(SUM(F143:F144),"")</f>
        <v/>
      </c>
      <c r="H144" s="17">
        <f>IFERROR(IF(F144="","",FLOOR(G143/((IFERROR(B140,0)+IFERROR(G140,0))/(IFERROR('Getting Started'!C15,0)+IFERROR('Getting Started'!C23,0))),1)+1),"")</f>
        <v/>
      </c>
      <c r="I144" s="17">
        <f>IFERROR(IF(F144="","",CEILING(G144/((IFERROR(B140,0)+IFERROR(G140,0))/(IFERROR('Getting Started'!C15,0)+IFERROR('Getting Started'!C23,0))),1)),"")</f>
        <v/>
      </c>
      <c r="J144" s="54">
        <f>IFERROR(IF(F144="","",TEXT('Getting Started'!C10+(H144-1)*7,"MMM D")&amp;" – "&amp;TEXT('Getting Started'!C10+I144*7,"MMM D")),"")</f>
        <v/>
      </c>
    </row>
    <row r="145" ht="18" customHeight="1">
      <c r="A145" s="53" t="n">
        <v>3</v>
      </c>
      <c r="B145" s="5" t="n"/>
      <c r="F145" s="32" t="n"/>
      <c r="G145" s="17">
        <f>IFERROR(SUM(F143:F145),"")</f>
        <v/>
      </c>
      <c r="H145" s="17">
        <f>IFERROR(IF(F145="","",FLOOR(G144/((IFERROR(B140,0)+IFERROR(G140,0))/(IFERROR('Getting Started'!C15,0)+IFERROR('Getting Started'!C23,0))),1)+1),"")</f>
        <v/>
      </c>
      <c r="I145" s="17">
        <f>IFERROR(IF(F145="","",CEILING(G145/((IFERROR(B140,0)+IFERROR(G140,0))/(IFERROR('Getting Started'!C15,0)+IFERROR('Getting Started'!C23,0))),1)),"")</f>
        <v/>
      </c>
      <c r="J145" s="54">
        <f>IFERROR(IF(F145="","",TEXT('Getting Started'!C10+(H145-1)*7,"MMM D")&amp;" – "&amp;TEXT('Getting Started'!C10+I145*7,"MMM D")),"")</f>
        <v/>
      </c>
    </row>
    <row r="146" ht="18" customHeight="1">
      <c r="A146" s="53" t="n">
        <v>4</v>
      </c>
      <c r="B146" s="18" t="n"/>
      <c r="F146" s="55" t="n"/>
      <c r="G146" s="17">
        <f>IFERROR(SUM(F143:F146),"")</f>
        <v/>
      </c>
      <c r="H146" s="17">
        <f>IFERROR(IF(F146="","",FLOOR(G145/((IFERROR(B140,0)+IFERROR(G140,0))/(IFERROR('Getting Started'!C15,0)+IFERROR('Getting Started'!C23,0))),1)+1),"")</f>
        <v/>
      </c>
      <c r="I146" s="17">
        <f>IFERROR(IF(F146="","",CEILING(G146/((IFERROR(B140,0)+IFERROR(G140,0))/(IFERROR('Getting Started'!C15,0)+IFERROR('Getting Started'!C23,0))),1)),"")</f>
        <v/>
      </c>
      <c r="J146" s="54">
        <f>IFERROR(IF(F146="","",TEXT('Getting Started'!C10+(H146-1)*7,"MMM D")&amp;" – "&amp;TEXT('Getting Started'!C10+I146*7,"MMM D")),"")</f>
        <v/>
      </c>
    </row>
    <row r="147" ht="18" customHeight="1">
      <c r="A147" s="53" t="n">
        <v>5</v>
      </c>
      <c r="B147" s="5" t="n"/>
      <c r="F147" s="32" t="n"/>
      <c r="G147" s="17">
        <f>IFERROR(SUM(F143:F147),"")</f>
        <v/>
      </c>
      <c r="H147" s="17">
        <f>IFERROR(IF(F147="","",FLOOR(G146/((IFERROR(B140,0)+IFERROR(G140,0))/(IFERROR('Getting Started'!C15,0)+IFERROR('Getting Started'!C23,0))),1)+1),"")</f>
        <v/>
      </c>
      <c r="I147" s="17">
        <f>IFERROR(IF(F147="","",CEILING(G147/((IFERROR(B140,0)+IFERROR(G140,0))/(IFERROR('Getting Started'!C15,0)+IFERROR('Getting Started'!C23,0))),1)),"")</f>
        <v/>
      </c>
      <c r="J147" s="54">
        <f>IFERROR(IF(F147="","",TEXT('Getting Started'!C10+(H147-1)*7,"MMM D")&amp;" – "&amp;TEXT('Getting Started'!C10+I147*7,"MMM D")),"")</f>
        <v/>
      </c>
    </row>
    <row r="148" ht="18" customHeight="1">
      <c r="A148" s="53" t="n">
        <v>6</v>
      </c>
      <c r="B148" s="18" t="n"/>
      <c r="F148" s="55" t="n"/>
      <c r="G148" s="17">
        <f>IFERROR(SUM(F143:F148),"")</f>
        <v/>
      </c>
      <c r="H148" s="17">
        <f>IFERROR(IF(F148="","",FLOOR(G147/((IFERROR(B140,0)+IFERROR(G140,0))/(IFERROR('Getting Started'!C15,0)+IFERROR('Getting Started'!C23,0))),1)+1),"")</f>
        <v/>
      </c>
      <c r="I148" s="17">
        <f>IFERROR(IF(F148="","",CEILING(G148/((IFERROR(B140,0)+IFERROR(G140,0))/(IFERROR('Getting Started'!C15,0)+IFERROR('Getting Started'!C23,0))),1)),"")</f>
        <v/>
      </c>
      <c r="J148" s="54">
        <f>IFERROR(IF(F148="","",TEXT('Getting Started'!C10+(H148-1)*7,"MMM D")&amp;" – "&amp;TEXT('Getting Started'!C10+I148*7,"MMM D")),"")</f>
        <v/>
      </c>
    </row>
    <row r="149" ht="20" customHeight="1">
      <c r="A149" s="56">
        <f>IFERROR(IF('Course Content'!I131="","",'Course Content'!I131),"")</f>
        <v/>
      </c>
    </row>
    <row r="150" ht="8" customHeight="1"/>
    <row r="151" ht="24" customHeight="1">
      <c r="A151" s="44">
        <f>IF('Course Content'!D132="","  ELECTIVE / OTHER 3","  "&amp;UPPER('Course Content'!D132))</f>
        <v/>
      </c>
      <c r="E151" s="45">
        <f>IFERROR(IF('Course Content'!E132="","← enter on Course Content tab",'Course Content'!E132),"")</f>
        <v/>
      </c>
    </row>
    <row r="152" ht="22" customHeight="1">
      <c r="B152" s="46">
        <f>'Course Content'!G132</f>
        <v/>
      </c>
      <c r="C152" s="47">
        <f>IFERROR(IF(B152="","",ROUND(B152/'Getting Started'!C15,1)),"")</f>
        <v/>
      </c>
      <c r="D152" s="47">
        <f>IFERROR(IF(C152="","",ROUND(C152/'Getting Started'!C7,1)),"")</f>
        <v/>
      </c>
      <c r="E152" s="48">
        <f>IFERROR(IF(B152="","",TEXT('Getting Started'!C10+(B152/D152),"MMM D, YYYY")),"")</f>
        <v/>
      </c>
      <c r="F152" s="39" t="n"/>
      <c r="G152" s="49">
        <f>'Course Content'!H132</f>
        <v/>
      </c>
      <c r="H152" s="50">
        <f>IFERROR(IF(G152="","",ROUND(G152/'Getting Started'!C23,1)),"")</f>
        <v/>
      </c>
      <c r="I152" s="50">
        <f>IFERROR(IF(H152="","",ROUND(H152/'Getting Started'!C7,1)),"")</f>
        <v/>
      </c>
      <c r="J152" s="51">
        <f>IFERROR(IF(G152="","",TEXT('Getting Started'!C18+(G152/I152),"MMM D, YYYY")),"")</f>
        <v/>
      </c>
    </row>
    <row r="153" ht="16" customHeight="1">
      <c r="A153" s="52" t="inlineStr">
        <is>
          <t xml:space="preserve">  Component Breakdown  (optional — use for multi-volume curricula)</t>
        </is>
      </c>
    </row>
    <row r="154" ht="22" customHeight="1">
      <c r="A154" s="28" t="inlineStr">
        <is>
          <t>#</t>
        </is>
      </c>
      <c r="B154" s="28" t="inlineStr">
        <is>
          <t>Book / Component Title</t>
        </is>
      </c>
      <c r="F154" s="28" t="inlineStr">
        <is>
          <t>Units</t>
        </is>
      </c>
      <c r="G154" s="28" t="inlineStr">
        <is>
          <t>Cumul.</t>
        </is>
      </c>
      <c r="H154" s="28" t="inlineStr">
        <is>
          <t>Start
Week</t>
        </is>
      </c>
      <c r="I154" s="28" t="inlineStr">
        <is>
          <t>End
Week</t>
        </is>
      </c>
      <c r="J154" s="28" t="inlineStr">
        <is>
          <t>Est. Dates</t>
        </is>
      </c>
    </row>
    <row r="155" ht="18" customHeight="1">
      <c r="A155" s="53" t="n">
        <v>1</v>
      </c>
      <c r="B155" s="5" t="n"/>
      <c r="F155" s="32" t="n"/>
      <c r="G155" s="17">
        <f>IFERROR(SUM(F155:F155),"")</f>
        <v/>
      </c>
      <c r="H155" s="17">
        <f>IF(F155="","",1)</f>
        <v/>
      </c>
      <c r="I155" s="17">
        <f>IFERROR(IF(F155="","",CEILING(G155/((IFERROR(B152,0)+IFERROR(G152,0))/(IFERROR('Getting Started'!C15,0)+IFERROR('Getting Started'!C23,0))),1)),"")</f>
        <v/>
      </c>
      <c r="J155" s="54">
        <f>IFERROR(IF(F155="","",TEXT('Getting Started'!C10+(H155-1)*7,"MMM D")&amp;" – "&amp;TEXT('Getting Started'!C10+I155*7,"MMM D")),"")</f>
        <v/>
      </c>
    </row>
    <row r="156" ht="18" customHeight="1">
      <c r="A156" s="53" t="n">
        <v>2</v>
      </c>
      <c r="B156" s="18" t="n"/>
      <c r="F156" s="55" t="n"/>
      <c r="G156" s="17">
        <f>IFERROR(SUM(F155:F156),"")</f>
        <v/>
      </c>
      <c r="H156" s="17">
        <f>IFERROR(IF(F156="","",FLOOR(G155/((IFERROR(B152,0)+IFERROR(G152,0))/(IFERROR('Getting Started'!C15,0)+IFERROR('Getting Started'!C23,0))),1)+1),"")</f>
        <v/>
      </c>
      <c r="I156" s="17">
        <f>IFERROR(IF(F156="","",CEILING(G156/((IFERROR(B152,0)+IFERROR(G152,0))/(IFERROR('Getting Started'!C15,0)+IFERROR('Getting Started'!C23,0))),1)),"")</f>
        <v/>
      </c>
      <c r="J156" s="54">
        <f>IFERROR(IF(F156="","",TEXT('Getting Started'!C10+(H156-1)*7,"MMM D")&amp;" – "&amp;TEXT('Getting Started'!C10+I156*7,"MMM D")),"")</f>
        <v/>
      </c>
    </row>
    <row r="157" ht="18" customHeight="1">
      <c r="A157" s="53" t="n">
        <v>3</v>
      </c>
      <c r="B157" s="5" t="n"/>
      <c r="F157" s="32" t="n"/>
      <c r="G157" s="17">
        <f>IFERROR(SUM(F155:F157),"")</f>
        <v/>
      </c>
      <c r="H157" s="17">
        <f>IFERROR(IF(F157="","",FLOOR(G156/((IFERROR(B152,0)+IFERROR(G152,0))/(IFERROR('Getting Started'!C15,0)+IFERROR('Getting Started'!C23,0))),1)+1),"")</f>
        <v/>
      </c>
      <c r="I157" s="17">
        <f>IFERROR(IF(F157="","",CEILING(G157/((IFERROR(B152,0)+IFERROR(G152,0))/(IFERROR('Getting Started'!C15,0)+IFERROR('Getting Started'!C23,0))),1)),"")</f>
        <v/>
      </c>
      <c r="J157" s="54">
        <f>IFERROR(IF(F157="","",TEXT('Getting Started'!C10+(H157-1)*7,"MMM D")&amp;" – "&amp;TEXT('Getting Started'!C10+I157*7,"MMM D")),"")</f>
        <v/>
      </c>
    </row>
    <row r="158" ht="18" customHeight="1">
      <c r="A158" s="53" t="n">
        <v>4</v>
      </c>
      <c r="B158" s="18" t="n"/>
      <c r="F158" s="55" t="n"/>
      <c r="G158" s="17">
        <f>IFERROR(SUM(F155:F158),"")</f>
        <v/>
      </c>
      <c r="H158" s="17">
        <f>IFERROR(IF(F158="","",FLOOR(G157/((IFERROR(B152,0)+IFERROR(G152,0))/(IFERROR('Getting Started'!C15,0)+IFERROR('Getting Started'!C23,0))),1)+1),"")</f>
        <v/>
      </c>
      <c r="I158" s="17">
        <f>IFERROR(IF(F158="","",CEILING(G158/((IFERROR(B152,0)+IFERROR(G152,0))/(IFERROR('Getting Started'!C15,0)+IFERROR('Getting Started'!C23,0))),1)),"")</f>
        <v/>
      </c>
      <c r="J158" s="54">
        <f>IFERROR(IF(F158="","",TEXT('Getting Started'!C10+(H158-1)*7,"MMM D")&amp;" – "&amp;TEXT('Getting Started'!C10+I158*7,"MMM D")),"")</f>
        <v/>
      </c>
    </row>
    <row r="159" ht="18" customHeight="1">
      <c r="A159" s="53" t="n">
        <v>5</v>
      </c>
      <c r="B159" s="5" t="n"/>
      <c r="F159" s="32" t="n"/>
      <c r="G159" s="17">
        <f>IFERROR(SUM(F155:F159),"")</f>
        <v/>
      </c>
      <c r="H159" s="17">
        <f>IFERROR(IF(F159="","",FLOOR(G158/((IFERROR(B152,0)+IFERROR(G152,0))/(IFERROR('Getting Started'!C15,0)+IFERROR('Getting Started'!C23,0))),1)+1),"")</f>
        <v/>
      </c>
      <c r="I159" s="17">
        <f>IFERROR(IF(F159="","",CEILING(G159/((IFERROR(B152,0)+IFERROR(G152,0))/(IFERROR('Getting Started'!C15,0)+IFERROR('Getting Started'!C23,0))),1)),"")</f>
        <v/>
      </c>
      <c r="J159" s="54">
        <f>IFERROR(IF(F159="","",TEXT('Getting Started'!C10+(H159-1)*7,"MMM D")&amp;" – "&amp;TEXT('Getting Started'!C10+I159*7,"MMM D")),"")</f>
        <v/>
      </c>
    </row>
    <row r="160" ht="18" customHeight="1">
      <c r="A160" s="53" t="n">
        <v>6</v>
      </c>
      <c r="B160" s="18" t="n"/>
      <c r="F160" s="55" t="n"/>
      <c r="G160" s="17">
        <f>IFERROR(SUM(F155:F160),"")</f>
        <v/>
      </c>
      <c r="H160" s="17">
        <f>IFERROR(IF(F160="","",FLOOR(G159/((IFERROR(B152,0)+IFERROR(G152,0))/(IFERROR('Getting Started'!C15,0)+IFERROR('Getting Started'!C23,0))),1)+1),"")</f>
        <v/>
      </c>
      <c r="I160" s="17">
        <f>IFERROR(IF(F160="","",CEILING(G160/((IFERROR(B152,0)+IFERROR(G152,0))/(IFERROR('Getting Started'!C15,0)+IFERROR('Getting Started'!C23,0))),1)),"")</f>
        <v/>
      </c>
      <c r="J160" s="54">
        <f>IFERROR(IF(F160="","",TEXT('Getting Started'!C10+(H160-1)*7,"MMM D")&amp;" – "&amp;TEXT('Getting Started'!C10+I160*7,"MMM D")),"")</f>
        <v/>
      </c>
    </row>
    <row r="161" ht="20" customHeight="1">
      <c r="A161" s="56">
        <f>IFERROR(IF('Course Content'!I132="","",'Course Content'!I132),"")</f>
        <v/>
      </c>
    </row>
    <row r="162" ht="8" customHeight="1"/>
    <row r="163" ht="24" customHeight="1">
      <c r="A163" s="44">
        <f>IF('Course Content'!D133="","  ELECTIVE / OTHER 4","  "&amp;UPPER('Course Content'!D133))</f>
        <v/>
      </c>
      <c r="E163" s="45">
        <f>IFERROR(IF('Course Content'!E133="","← enter on Course Content tab",'Course Content'!E133),"")</f>
        <v/>
      </c>
    </row>
    <row r="164" ht="22" customHeight="1">
      <c r="B164" s="46">
        <f>'Course Content'!G133</f>
        <v/>
      </c>
      <c r="C164" s="47">
        <f>IFERROR(IF(B164="","",ROUND(B164/'Getting Started'!C15,1)),"")</f>
        <v/>
      </c>
      <c r="D164" s="47">
        <f>IFERROR(IF(C164="","",ROUND(C164/'Getting Started'!C7,1)),"")</f>
        <v/>
      </c>
      <c r="E164" s="48">
        <f>IFERROR(IF(B164="","",TEXT('Getting Started'!C10+(B164/D164),"MMM D, YYYY")),"")</f>
        <v/>
      </c>
      <c r="F164" s="39" t="n"/>
      <c r="G164" s="49">
        <f>'Course Content'!H133</f>
        <v/>
      </c>
      <c r="H164" s="50">
        <f>IFERROR(IF(G164="","",ROUND(G164/'Getting Started'!C23,1)),"")</f>
        <v/>
      </c>
      <c r="I164" s="50">
        <f>IFERROR(IF(H164="","",ROUND(H164/'Getting Started'!C7,1)),"")</f>
        <v/>
      </c>
      <c r="J164" s="51">
        <f>IFERROR(IF(G164="","",TEXT('Getting Started'!C18+(G164/I164),"MMM D, YYYY")),"")</f>
        <v/>
      </c>
    </row>
    <row r="165" ht="16" customHeight="1">
      <c r="A165" s="52" t="inlineStr">
        <is>
          <t xml:space="preserve">  Component Breakdown  (optional — use for multi-volume curricula)</t>
        </is>
      </c>
    </row>
    <row r="166" ht="22" customHeight="1">
      <c r="A166" s="28" t="inlineStr">
        <is>
          <t>#</t>
        </is>
      </c>
      <c r="B166" s="28" t="inlineStr">
        <is>
          <t>Book / Component Title</t>
        </is>
      </c>
      <c r="F166" s="28" t="inlineStr">
        <is>
          <t>Units</t>
        </is>
      </c>
      <c r="G166" s="28" t="inlineStr">
        <is>
          <t>Cumul.</t>
        </is>
      </c>
      <c r="H166" s="28" t="inlineStr">
        <is>
          <t>Start
Week</t>
        </is>
      </c>
      <c r="I166" s="28" t="inlineStr">
        <is>
          <t>End
Week</t>
        </is>
      </c>
      <c r="J166" s="28" t="inlineStr">
        <is>
          <t>Est. Dates</t>
        </is>
      </c>
    </row>
    <row r="167" ht="18" customHeight="1">
      <c r="A167" s="53" t="n">
        <v>1</v>
      </c>
      <c r="B167" s="5" t="n"/>
      <c r="F167" s="32" t="n"/>
      <c r="G167" s="17">
        <f>IFERROR(SUM(F167:F167),"")</f>
        <v/>
      </c>
      <c r="H167" s="17">
        <f>IF(F167="","",1)</f>
        <v/>
      </c>
      <c r="I167" s="17">
        <f>IFERROR(IF(F167="","",CEILING(G167/((IFERROR(B164,0)+IFERROR(G164,0))/(IFERROR('Getting Started'!C15,0)+IFERROR('Getting Started'!C23,0))),1)),"")</f>
        <v/>
      </c>
      <c r="J167" s="54">
        <f>IFERROR(IF(F167="","",TEXT('Getting Started'!C10+(H167-1)*7,"MMM D")&amp;" – "&amp;TEXT('Getting Started'!C10+I167*7,"MMM D")),"")</f>
        <v/>
      </c>
    </row>
    <row r="168" ht="18" customHeight="1">
      <c r="A168" s="53" t="n">
        <v>2</v>
      </c>
      <c r="B168" s="18" t="n"/>
      <c r="F168" s="55" t="n"/>
      <c r="G168" s="17">
        <f>IFERROR(SUM(F167:F168),"")</f>
        <v/>
      </c>
      <c r="H168" s="17">
        <f>IFERROR(IF(F168="","",FLOOR(G167/((IFERROR(B164,0)+IFERROR(G164,0))/(IFERROR('Getting Started'!C15,0)+IFERROR('Getting Started'!C23,0))),1)+1),"")</f>
        <v/>
      </c>
      <c r="I168" s="17">
        <f>IFERROR(IF(F168="","",CEILING(G168/((IFERROR(B164,0)+IFERROR(G164,0))/(IFERROR('Getting Started'!C15,0)+IFERROR('Getting Started'!C23,0))),1)),"")</f>
        <v/>
      </c>
      <c r="J168" s="54">
        <f>IFERROR(IF(F168="","",TEXT('Getting Started'!C10+(H168-1)*7,"MMM D")&amp;" – "&amp;TEXT('Getting Started'!C10+I168*7,"MMM D")),"")</f>
        <v/>
      </c>
    </row>
    <row r="169" ht="18" customHeight="1">
      <c r="A169" s="53" t="n">
        <v>3</v>
      </c>
      <c r="B169" s="5" t="n"/>
      <c r="F169" s="32" t="n"/>
      <c r="G169" s="17">
        <f>IFERROR(SUM(F167:F169),"")</f>
        <v/>
      </c>
      <c r="H169" s="17">
        <f>IFERROR(IF(F169="","",FLOOR(G168/((IFERROR(B164,0)+IFERROR(G164,0))/(IFERROR('Getting Started'!C15,0)+IFERROR('Getting Started'!C23,0))),1)+1),"")</f>
        <v/>
      </c>
      <c r="I169" s="17">
        <f>IFERROR(IF(F169="","",CEILING(G169/((IFERROR(B164,0)+IFERROR(G164,0))/(IFERROR('Getting Started'!C15,0)+IFERROR('Getting Started'!C23,0))),1)),"")</f>
        <v/>
      </c>
      <c r="J169" s="54">
        <f>IFERROR(IF(F169="","",TEXT('Getting Started'!C10+(H169-1)*7,"MMM D")&amp;" – "&amp;TEXT('Getting Started'!C10+I169*7,"MMM D")),"")</f>
        <v/>
      </c>
    </row>
    <row r="170" ht="18" customHeight="1">
      <c r="A170" s="53" t="n">
        <v>4</v>
      </c>
      <c r="B170" s="18" t="n"/>
      <c r="F170" s="55" t="n"/>
      <c r="G170" s="17">
        <f>IFERROR(SUM(F167:F170),"")</f>
        <v/>
      </c>
      <c r="H170" s="17">
        <f>IFERROR(IF(F170="","",FLOOR(G169/((IFERROR(B164,0)+IFERROR(G164,0))/(IFERROR('Getting Started'!C15,0)+IFERROR('Getting Started'!C23,0))),1)+1),"")</f>
        <v/>
      </c>
      <c r="I170" s="17">
        <f>IFERROR(IF(F170="","",CEILING(G170/((IFERROR(B164,0)+IFERROR(G164,0))/(IFERROR('Getting Started'!C15,0)+IFERROR('Getting Started'!C23,0))),1)),"")</f>
        <v/>
      </c>
      <c r="J170" s="54">
        <f>IFERROR(IF(F170="","",TEXT('Getting Started'!C10+(H170-1)*7,"MMM D")&amp;" – "&amp;TEXT('Getting Started'!C10+I170*7,"MMM D")),"")</f>
        <v/>
      </c>
    </row>
    <row r="171" ht="18" customHeight="1">
      <c r="A171" s="53" t="n">
        <v>5</v>
      </c>
      <c r="B171" s="5" t="n"/>
      <c r="F171" s="32" t="n"/>
      <c r="G171" s="17">
        <f>IFERROR(SUM(F167:F171),"")</f>
        <v/>
      </c>
      <c r="H171" s="17">
        <f>IFERROR(IF(F171="","",FLOOR(G170/((IFERROR(B164,0)+IFERROR(G164,0))/(IFERROR('Getting Started'!C15,0)+IFERROR('Getting Started'!C23,0))),1)+1),"")</f>
        <v/>
      </c>
      <c r="I171" s="17">
        <f>IFERROR(IF(F171="","",CEILING(G171/((IFERROR(B164,0)+IFERROR(G164,0))/(IFERROR('Getting Started'!C15,0)+IFERROR('Getting Started'!C23,0))),1)),"")</f>
        <v/>
      </c>
      <c r="J171" s="54">
        <f>IFERROR(IF(F171="","",TEXT('Getting Started'!C10+(H171-1)*7,"MMM D")&amp;" – "&amp;TEXT('Getting Started'!C10+I171*7,"MMM D")),"")</f>
        <v/>
      </c>
    </row>
    <row r="172" ht="18" customHeight="1">
      <c r="A172" s="53" t="n">
        <v>6</v>
      </c>
      <c r="B172" s="18" t="n"/>
      <c r="F172" s="55" t="n"/>
      <c r="G172" s="17">
        <f>IFERROR(SUM(F167:F172),"")</f>
        <v/>
      </c>
      <c r="H172" s="17">
        <f>IFERROR(IF(F172="","",FLOOR(G171/((IFERROR(B164,0)+IFERROR(G164,0))/(IFERROR('Getting Started'!C15,0)+IFERROR('Getting Started'!C23,0))),1)+1),"")</f>
        <v/>
      </c>
      <c r="I172" s="17">
        <f>IFERROR(IF(F172="","",CEILING(G172/((IFERROR(B164,0)+IFERROR(G164,0))/(IFERROR('Getting Started'!C15,0)+IFERROR('Getting Started'!C23,0))),1)),"")</f>
        <v/>
      </c>
      <c r="J172" s="54">
        <f>IFERROR(IF(F172="","",TEXT('Getting Started'!C10+(H172-1)*7,"MMM D")&amp;" – "&amp;TEXT('Getting Started'!C10+I172*7,"MMM D")),"")</f>
        <v/>
      </c>
    </row>
    <row r="173" ht="20" customHeight="1">
      <c r="A173" s="56">
        <f>IFERROR(IF('Course Content'!I133="","",'Course Content'!I133),"")</f>
        <v/>
      </c>
    </row>
    <row r="174" ht="8" customHeight="1"/>
  </sheetData>
  <mergeCells count="158">
    <mergeCell ref="B146:E146"/>
    <mergeCell ref="E19:J19"/>
    <mergeCell ref="B74:E74"/>
    <mergeCell ref="G4:J4"/>
    <mergeCell ref="A165:J165"/>
    <mergeCell ref="B123:E123"/>
    <mergeCell ref="B36:E36"/>
    <mergeCell ref="B76:E76"/>
    <mergeCell ref="B110:E110"/>
    <mergeCell ref="A93:J93"/>
    <mergeCell ref="A31:D31"/>
    <mergeCell ref="A173:J173"/>
    <mergeCell ref="B100:E100"/>
    <mergeCell ref="A77:J77"/>
    <mergeCell ref="B109:E109"/>
    <mergeCell ref="B47:E47"/>
    <mergeCell ref="B22:E22"/>
    <mergeCell ref="B155:E155"/>
    <mergeCell ref="B12:E12"/>
    <mergeCell ref="B86:E86"/>
    <mergeCell ref="A69:J69"/>
    <mergeCell ref="A7:D7"/>
    <mergeCell ref="B39:E39"/>
    <mergeCell ref="E139:J139"/>
    <mergeCell ref="B14:E14"/>
    <mergeCell ref="B136:E136"/>
    <mergeCell ref="B23:E23"/>
    <mergeCell ref="B13:E13"/>
    <mergeCell ref="A163:D163"/>
    <mergeCell ref="B38:E38"/>
    <mergeCell ref="B112:E112"/>
    <mergeCell ref="E79:J79"/>
    <mergeCell ref="B87:E87"/>
    <mergeCell ref="B40:E40"/>
    <mergeCell ref="B49:E49"/>
    <mergeCell ref="B64:E64"/>
    <mergeCell ref="A29:J29"/>
    <mergeCell ref="A81:J81"/>
    <mergeCell ref="A19:D19"/>
    <mergeCell ref="B51:E51"/>
    <mergeCell ref="A161:J161"/>
    <mergeCell ref="B63:E63"/>
    <mergeCell ref="B26:E26"/>
    <mergeCell ref="B154:E154"/>
    <mergeCell ref="B35:E35"/>
    <mergeCell ref="B50:E50"/>
    <mergeCell ref="B106:E106"/>
    <mergeCell ref="A127:D127"/>
    <mergeCell ref="E163:J163"/>
    <mergeCell ref="B16:E16"/>
    <mergeCell ref="B25:E25"/>
    <mergeCell ref="B156:E156"/>
    <mergeCell ref="E91:J91"/>
    <mergeCell ref="B131:E131"/>
    <mergeCell ref="B27:E27"/>
    <mergeCell ref="A79:D79"/>
    <mergeCell ref="E115:J115"/>
    <mergeCell ref="B130:E130"/>
    <mergeCell ref="B11:E11"/>
    <mergeCell ref="B61:E61"/>
    <mergeCell ref="A4:E4"/>
    <mergeCell ref="B132:E132"/>
    <mergeCell ref="B166:E166"/>
    <mergeCell ref="A149:J149"/>
    <mergeCell ref="B119:E119"/>
    <mergeCell ref="E127:J127"/>
    <mergeCell ref="A139:D139"/>
    <mergeCell ref="B37:E37"/>
    <mergeCell ref="A2:J2"/>
    <mergeCell ref="B168:E168"/>
    <mergeCell ref="B84:E84"/>
    <mergeCell ref="B118:E118"/>
    <mergeCell ref="A141:J141"/>
    <mergeCell ref="A91:D91"/>
    <mergeCell ref="B158:E158"/>
    <mergeCell ref="B15:E15"/>
    <mergeCell ref="B142:E142"/>
    <mergeCell ref="B24:E24"/>
    <mergeCell ref="A125:J125"/>
    <mergeCell ref="B95:E95"/>
    <mergeCell ref="A115:D115"/>
    <mergeCell ref="B160:E160"/>
    <mergeCell ref="B169:E169"/>
    <mergeCell ref="B144:E144"/>
    <mergeCell ref="B97:E97"/>
    <mergeCell ref="B72:E72"/>
    <mergeCell ref="B134:E134"/>
    <mergeCell ref="B121:E121"/>
    <mergeCell ref="A103:D103"/>
    <mergeCell ref="B122:E122"/>
    <mergeCell ref="B71:E71"/>
    <mergeCell ref="B58:E58"/>
    <mergeCell ref="B52:E52"/>
    <mergeCell ref="A153:J153"/>
    <mergeCell ref="B120:E120"/>
    <mergeCell ref="A137:J137"/>
    <mergeCell ref="B107:E107"/>
    <mergeCell ref="A41:J41"/>
    <mergeCell ref="B60:E60"/>
    <mergeCell ref="E151:J151"/>
    <mergeCell ref="B170:E170"/>
    <mergeCell ref="E55:J55"/>
    <mergeCell ref="B148:E148"/>
    <mergeCell ref="B157:E157"/>
    <mergeCell ref="E67:J67"/>
    <mergeCell ref="B171:E171"/>
    <mergeCell ref="A101:J101"/>
    <mergeCell ref="B34:E34"/>
    <mergeCell ref="B172:E172"/>
    <mergeCell ref="B28:E28"/>
    <mergeCell ref="B99:E99"/>
    <mergeCell ref="A33:J33"/>
    <mergeCell ref="B108:E108"/>
    <mergeCell ref="E103:J103"/>
    <mergeCell ref="B83:E83"/>
    <mergeCell ref="A17:J17"/>
    <mergeCell ref="B143:E143"/>
    <mergeCell ref="A53:J53"/>
    <mergeCell ref="E31:J31"/>
    <mergeCell ref="B124:E124"/>
    <mergeCell ref="A43:D43"/>
    <mergeCell ref="B133:E133"/>
    <mergeCell ref="B85:E85"/>
    <mergeCell ref="B94:E94"/>
    <mergeCell ref="A117:J117"/>
    <mergeCell ref="A67:D67"/>
    <mergeCell ref="B75:E75"/>
    <mergeCell ref="A9:J9"/>
    <mergeCell ref="B135:E135"/>
    <mergeCell ref="B62:E62"/>
    <mergeCell ref="B59:E59"/>
    <mergeCell ref="B46:E46"/>
    <mergeCell ref="B159:E159"/>
    <mergeCell ref="E7:J7"/>
    <mergeCell ref="A1:J1"/>
    <mergeCell ref="A45:J45"/>
    <mergeCell ref="B96:E96"/>
    <mergeCell ref="B167:E167"/>
    <mergeCell ref="B70:E70"/>
    <mergeCell ref="B48:E48"/>
    <mergeCell ref="A65:J65"/>
    <mergeCell ref="E43:J43"/>
    <mergeCell ref="B111:E111"/>
    <mergeCell ref="B145:E145"/>
    <mergeCell ref="B98:E98"/>
    <mergeCell ref="A89:J89"/>
    <mergeCell ref="B73:E73"/>
    <mergeCell ref="B88:E88"/>
    <mergeCell ref="B82:E82"/>
    <mergeCell ref="A21:J21"/>
    <mergeCell ref="A55:D55"/>
    <mergeCell ref="A105:J105"/>
    <mergeCell ref="B147:E147"/>
    <mergeCell ref="A57:J57"/>
    <mergeCell ref="A113:J113"/>
    <mergeCell ref="A151:D151"/>
    <mergeCell ref="B10:E10"/>
    <mergeCell ref="A129:J129"/>
  </mergeCells>
  <pageMargins left="0.75" right="0.75" top="1" bottom="1" header="0.5" footer="0.5"/>
</worksheet>
</file>

<file path=xl/worksheets/sheet12.xml><?xml version="1.0" encoding="utf-8"?>
<worksheet xmlns="http://schemas.openxmlformats.org/spreadsheetml/2006/main">
  <sheetPr>
    <tabColor rgb="007A8A6B"/>
    <outlinePr summaryBelow="1" summaryRight="1"/>
    <pageSetUpPr/>
  </sheetPr>
  <dimension ref="A1:J173"/>
  <sheetViews>
    <sheetView workbookViewId="0">
      <pane ySplit="6" topLeftCell="A7"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8" customWidth="1" min="5" max="5"/>
    <col width="4" customWidth="1" min="6" max="6"/>
    <col width="14" customWidth="1" min="7" max="7"/>
    <col width="14" customWidth="1" min="8" max="8"/>
    <col width="14" customWidth="1" min="9" max="9"/>
    <col width="18" customWidth="1" min="10" max="10"/>
  </cols>
  <sheetData>
    <row r="1" ht="40" customHeight="1">
      <c r="A1" s="1">
        <f>IF('Getting Started'!B38="","Student 10",'Getting Started'!B38)</f>
        <v/>
      </c>
    </row>
    <row r="2" ht="22" customHeight="1">
      <c r="A2" s="37">
        <f>IFERROR("Grade: "&amp;'Getting Started'!F38&amp;"   ·   School Year: "&amp;'Getting Started'!C6,"")</f>
        <v/>
      </c>
    </row>
    <row r="3" ht="8" customHeight="1"/>
    <row r="4" ht="22" customHeight="1">
      <c r="A4" s="38">
        <f>IFERROR("SEMESTER 1   "&amp;TEXT('Getting Started'!C10,"MMM D")&amp;" – "&amp;TEXT('Getting Started'!C11,"MMM D, YYYY")&amp;"   ("&amp;'Getting Started'!C15&amp;" wks)","SEMESTER 1")</f>
        <v/>
      </c>
      <c r="F4" s="39" t="n"/>
      <c r="G4" s="40">
        <f>IFERROR("SEMESTER 2   "&amp;TEXT('Getting Started'!C18,"MMM D")&amp;" – "&amp;TEXT('Getting Started'!C19,"MMM D, YYYY")&amp;"   ("&amp;'Getting Started'!C23&amp;" wks)","SEMESTER 2")</f>
        <v/>
      </c>
    </row>
    <row r="5" ht="24" customHeight="1">
      <c r="A5" s="28" t="inlineStr">
        <is>
          <t>Subject  /  Curriculum</t>
        </is>
      </c>
      <c r="B5" s="41" t="inlineStr">
        <is>
          <t>Sem 1
Units</t>
        </is>
      </c>
      <c r="C5" s="41" t="inlineStr">
        <is>
          <t>/ Week</t>
        </is>
      </c>
      <c r="D5" s="41" t="inlineStr">
        <is>
          <t>/ Day</t>
        </is>
      </c>
      <c r="E5" s="41" t="inlineStr">
        <is>
          <t>Est. End</t>
        </is>
      </c>
      <c r="F5" s="42" t="inlineStr"/>
      <c r="G5" s="43" t="inlineStr">
        <is>
          <t>Sem 2
Units</t>
        </is>
      </c>
      <c r="H5" s="43" t="inlineStr">
        <is>
          <t>/ Week</t>
        </is>
      </c>
      <c r="I5" s="43" t="inlineStr">
        <is>
          <t>/ Day</t>
        </is>
      </c>
      <c r="J5" s="43" t="inlineStr">
        <is>
          <t>Est. End</t>
        </is>
      </c>
    </row>
    <row r="6" ht="8" customHeight="1"/>
    <row r="7" ht="24" customHeight="1">
      <c r="A7" s="44" t="inlineStr">
        <is>
          <t xml:space="preserve">  BIBLE</t>
        </is>
      </c>
      <c r="E7" s="45">
        <f>IFERROR(IF('Course Content'!E134="","← enter on Course Content tab",'Course Content'!E134),"")</f>
        <v/>
      </c>
    </row>
    <row r="8" ht="22" customHeight="1">
      <c r="B8" s="46">
        <f>'Course Content'!G134</f>
        <v/>
      </c>
      <c r="C8" s="47">
        <f>IFERROR(IF(B8="","",ROUND(B8/'Getting Started'!C15,1)),"")</f>
        <v/>
      </c>
      <c r="D8" s="47">
        <f>IFERROR(IF(C8="","",ROUND(C8/'Getting Started'!C7,1)),"")</f>
        <v/>
      </c>
      <c r="E8" s="48">
        <f>IFERROR(IF(B8="","",TEXT('Getting Started'!C10+(B8/D8),"MMM D, YYYY")),"")</f>
        <v/>
      </c>
      <c r="F8" s="39" t="n"/>
      <c r="G8" s="49">
        <f>'Course Content'!H134</f>
        <v/>
      </c>
      <c r="H8" s="50">
        <f>IFERROR(IF(G8="","",ROUND(G8/'Getting Started'!C23,1)),"")</f>
        <v/>
      </c>
      <c r="I8" s="50">
        <f>IFERROR(IF(H8="","",ROUND(H8/'Getting Started'!C7,1)),"")</f>
        <v/>
      </c>
      <c r="J8" s="51">
        <f>IFERROR(IF(G8="","",TEXT('Getting Started'!C18+(G8/I8),"MMM D, YYYY")),"")</f>
        <v/>
      </c>
    </row>
    <row r="9" ht="16" customHeight="1">
      <c r="A9" s="52" t="inlineStr">
        <is>
          <t xml:space="preserve">  Component Breakdown  (optional — use for multi-volume curricula)</t>
        </is>
      </c>
    </row>
    <row r="10" ht="22" customHeight="1">
      <c r="A10" s="28" t="inlineStr">
        <is>
          <t>#</t>
        </is>
      </c>
      <c r="B10" s="28" t="inlineStr">
        <is>
          <t>Book / Component Title</t>
        </is>
      </c>
      <c r="F10" s="28" t="inlineStr">
        <is>
          <t>Units</t>
        </is>
      </c>
      <c r="G10" s="28" t="inlineStr">
        <is>
          <t>Cumul.</t>
        </is>
      </c>
      <c r="H10" s="28" t="inlineStr">
        <is>
          <t>Start
Week</t>
        </is>
      </c>
      <c r="I10" s="28" t="inlineStr">
        <is>
          <t>End
Week</t>
        </is>
      </c>
      <c r="J10" s="28" t="inlineStr">
        <is>
          <t>Est. Dates</t>
        </is>
      </c>
    </row>
    <row r="11" ht="18" customHeight="1">
      <c r="A11" s="53" t="n">
        <v>1</v>
      </c>
      <c r="B11" s="5" t="n"/>
      <c r="F11" s="32" t="n"/>
      <c r="G11" s="17">
        <f>IFERROR(SUM(F11:F11),"")</f>
        <v/>
      </c>
      <c r="H11" s="17">
        <f>IF(F11="","",1)</f>
        <v/>
      </c>
      <c r="I11" s="17">
        <f>IFERROR(IF(F11="","",CEILING(G11/((IFERROR(B8,0)+IFERROR(G8,0))/(IFERROR('Getting Started'!C15,0)+IFERROR('Getting Started'!C23,0))),1)),"")</f>
        <v/>
      </c>
      <c r="J11" s="54">
        <f>IFERROR(IF(F11="","",TEXT('Getting Started'!C10+(H11-1)*7,"MMM D")&amp;" – "&amp;TEXT('Getting Started'!C10+I11*7,"MMM D")),"")</f>
        <v/>
      </c>
    </row>
    <row r="12" ht="18" customHeight="1">
      <c r="A12" s="53" t="n">
        <v>2</v>
      </c>
      <c r="B12" s="18" t="n"/>
      <c r="F12" s="55" t="n"/>
      <c r="G12" s="17">
        <f>IFERROR(SUM(F11:F12),"")</f>
        <v/>
      </c>
      <c r="H12" s="17">
        <f>IFERROR(IF(F12="","",FLOOR(G11/((IFERROR(B8,0)+IFERROR(G8,0))/(IFERROR('Getting Started'!C15,0)+IFERROR('Getting Started'!C23,0))),1)+1),"")</f>
        <v/>
      </c>
      <c r="I12" s="17">
        <f>IFERROR(IF(F12="","",CEILING(G12/((IFERROR(B8,0)+IFERROR(G8,0))/(IFERROR('Getting Started'!C15,0)+IFERROR('Getting Started'!C23,0))),1)),"")</f>
        <v/>
      </c>
      <c r="J12" s="54">
        <f>IFERROR(IF(F12="","",TEXT('Getting Started'!C10+(H12-1)*7,"MMM D")&amp;" – "&amp;TEXT('Getting Started'!C10+I12*7,"MMM D")),"")</f>
        <v/>
      </c>
    </row>
    <row r="13" ht="18" customHeight="1">
      <c r="A13" s="53" t="n">
        <v>3</v>
      </c>
      <c r="B13" s="5" t="n"/>
      <c r="F13" s="32" t="n"/>
      <c r="G13" s="17">
        <f>IFERROR(SUM(F11:F13),"")</f>
        <v/>
      </c>
      <c r="H13" s="17">
        <f>IFERROR(IF(F13="","",FLOOR(G12/((IFERROR(B8,0)+IFERROR(G8,0))/(IFERROR('Getting Started'!C15,0)+IFERROR('Getting Started'!C23,0))),1)+1),"")</f>
        <v/>
      </c>
      <c r="I13" s="17">
        <f>IFERROR(IF(F13="","",CEILING(G13/((IFERROR(B8,0)+IFERROR(G8,0))/(IFERROR('Getting Started'!C15,0)+IFERROR('Getting Started'!C23,0))),1)),"")</f>
        <v/>
      </c>
      <c r="J13" s="54">
        <f>IFERROR(IF(F13="","",TEXT('Getting Started'!C10+(H13-1)*7,"MMM D")&amp;" – "&amp;TEXT('Getting Started'!C10+I13*7,"MMM D")),"")</f>
        <v/>
      </c>
    </row>
    <row r="14" ht="18" customHeight="1">
      <c r="A14" s="53" t="n">
        <v>4</v>
      </c>
      <c r="B14" s="18" t="n"/>
      <c r="F14" s="55" t="n"/>
      <c r="G14" s="17">
        <f>IFERROR(SUM(F11:F14),"")</f>
        <v/>
      </c>
      <c r="H14" s="17">
        <f>IFERROR(IF(F14="","",FLOOR(G13/((IFERROR(B8,0)+IFERROR(G8,0))/(IFERROR('Getting Started'!C15,0)+IFERROR('Getting Started'!C23,0))),1)+1),"")</f>
        <v/>
      </c>
      <c r="I14" s="17">
        <f>IFERROR(IF(F14="","",CEILING(G14/((IFERROR(B8,0)+IFERROR(G8,0))/(IFERROR('Getting Started'!C15,0)+IFERROR('Getting Started'!C23,0))),1)),"")</f>
        <v/>
      </c>
      <c r="J14" s="54">
        <f>IFERROR(IF(F14="","",TEXT('Getting Started'!C10+(H14-1)*7,"MMM D")&amp;" – "&amp;TEXT('Getting Started'!C10+I14*7,"MMM D")),"")</f>
        <v/>
      </c>
    </row>
    <row r="15" ht="18" customHeight="1">
      <c r="A15" s="53" t="n">
        <v>5</v>
      </c>
      <c r="B15" s="5" t="n"/>
      <c r="F15" s="32" t="n"/>
      <c r="G15" s="17">
        <f>IFERROR(SUM(F11:F15),"")</f>
        <v/>
      </c>
      <c r="H15" s="17">
        <f>IFERROR(IF(F15="","",FLOOR(G14/((IFERROR(B8,0)+IFERROR(G8,0))/(IFERROR('Getting Started'!C15,0)+IFERROR('Getting Started'!C23,0))),1)+1),"")</f>
        <v/>
      </c>
      <c r="I15" s="17">
        <f>IFERROR(IF(F15="","",CEILING(G15/((IFERROR(B8,0)+IFERROR(G8,0))/(IFERROR('Getting Started'!C15,0)+IFERROR('Getting Started'!C23,0))),1)),"")</f>
        <v/>
      </c>
      <c r="J15" s="54">
        <f>IFERROR(IF(F15="","",TEXT('Getting Started'!C10+(H15-1)*7,"MMM D")&amp;" – "&amp;TEXT('Getting Started'!C10+I15*7,"MMM D")),"")</f>
        <v/>
      </c>
    </row>
    <row r="16" ht="18" customHeight="1">
      <c r="A16" s="53" t="n">
        <v>6</v>
      </c>
      <c r="B16" s="18" t="n"/>
      <c r="F16" s="55" t="n"/>
      <c r="G16" s="17">
        <f>IFERROR(SUM(F11:F16),"")</f>
        <v/>
      </c>
      <c r="H16" s="17">
        <f>IFERROR(IF(F16="","",FLOOR(G15/((IFERROR(B8,0)+IFERROR(G8,0))/(IFERROR('Getting Started'!C15,0)+IFERROR('Getting Started'!C23,0))),1)+1),"")</f>
        <v/>
      </c>
      <c r="I16" s="17">
        <f>IFERROR(IF(F16="","",CEILING(G16/((IFERROR(B8,0)+IFERROR(G8,0))/(IFERROR('Getting Started'!C15,0)+IFERROR('Getting Started'!C23,0))),1)),"")</f>
        <v/>
      </c>
      <c r="J16" s="54">
        <f>IFERROR(IF(F16="","",TEXT('Getting Started'!C10+(H16-1)*7,"MMM D")&amp;" – "&amp;TEXT('Getting Started'!C10+I16*7,"MMM D")),"")</f>
        <v/>
      </c>
    </row>
    <row r="17" ht="20" customHeight="1">
      <c r="A17" s="56">
        <f>IFERROR(IF('Course Content'!I134="","",'Course Content'!I134),"")</f>
        <v/>
      </c>
    </row>
    <row r="18" ht="8" customHeight="1"/>
    <row r="19" ht="24" customHeight="1">
      <c r="A19" s="44" t="inlineStr">
        <is>
          <t xml:space="preserve">  MATH</t>
        </is>
      </c>
      <c r="E19" s="45">
        <f>IFERROR(IF('Course Content'!E135="","← enter on Course Content tab",'Course Content'!E135),"")</f>
        <v/>
      </c>
    </row>
    <row r="20" ht="22" customHeight="1">
      <c r="B20" s="46">
        <f>'Course Content'!G135</f>
        <v/>
      </c>
      <c r="C20" s="47">
        <f>IFERROR(IF(B20="","",ROUND(B20/'Getting Started'!C15,1)),"")</f>
        <v/>
      </c>
      <c r="D20" s="47">
        <f>IFERROR(IF(C20="","",ROUND(C20/'Getting Started'!C7,1)),"")</f>
        <v/>
      </c>
      <c r="E20" s="48">
        <f>IFERROR(IF(B20="","",TEXT('Getting Started'!C10+(B20/D20),"MMM D, YYYY")),"")</f>
        <v/>
      </c>
      <c r="F20" s="39" t="n"/>
      <c r="G20" s="49">
        <f>'Course Content'!H135</f>
        <v/>
      </c>
      <c r="H20" s="50">
        <f>IFERROR(IF(G20="","",ROUND(G20/'Getting Started'!C23,1)),"")</f>
        <v/>
      </c>
      <c r="I20" s="50">
        <f>IFERROR(IF(H20="","",ROUND(H20/'Getting Started'!C7,1)),"")</f>
        <v/>
      </c>
      <c r="J20" s="51">
        <f>IFERROR(IF(G20="","",TEXT('Getting Started'!C18+(G20/I20),"MMM D, YYYY")),"")</f>
        <v/>
      </c>
    </row>
    <row r="21" ht="16" customHeight="1">
      <c r="A21" s="52" t="inlineStr">
        <is>
          <t xml:space="preserve">  Component Breakdown  (optional — use for multi-volume curricula)</t>
        </is>
      </c>
    </row>
    <row r="22" ht="22" customHeight="1">
      <c r="A22" s="28" t="inlineStr">
        <is>
          <t>#</t>
        </is>
      </c>
      <c r="B22" s="28" t="inlineStr">
        <is>
          <t>Book / Component Title</t>
        </is>
      </c>
      <c r="F22" s="28" t="inlineStr">
        <is>
          <t>Units</t>
        </is>
      </c>
      <c r="G22" s="28" t="inlineStr">
        <is>
          <t>Cumul.</t>
        </is>
      </c>
      <c r="H22" s="28" t="inlineStr">
        <is>
          <t>Start
Week</t>
        </is>
      </c>
      <c r="I22" s="28" t="inlineStr">
        <is>
          <t>End
Week</t>
        </is>
      </c>
      <c r="J22" s="28" t="inlineStr">
        <is>
          <t>Est. Dates</t>
        </is>
      </c>
    </row>
    <row r="23" ht="18" customHeight="1">
      <c r="A23" s="53" t="n">
        <v>1</v>
      </c>
      <c r="B23" s="5" t="n"/>
      <c r="F23" s="32" t="n"/>
      <c r="G23" s="17">
        <f>IFERROR(SUM(F23:F23),"")</f>
        <v/>
      </c>
      <c r="H23" s="17">
        <f>IF(F23="","",1)</f>
        <v/>
      </c>
      <c r="I23" s="17">
        <f>IFERROR(IF(F23="","",CEILING(G23/((IFERROR(B20,0)+IFERROR(G20,0))/(IFERROR('Getting Started'!C15,0)+IFERROR('Getting Started'!C23,0))),1)),"")</f>
        <v/>
      </c>
      <c r="J23" s="54">
        <f>IFERROR(IF(F23="","",TEXT('Getting Started'!C10+(H23-1)*7,"MMM D")&amp;" – "&amp;TEXT('Getting Started'!C10+I23*7,"MMM D")),"")</f>
        <v/>
      </c>
    </row>
    <row r="24" ht="18" customHeight="1">
      <c r="A24" s="53" t="n">
        <v>2</v>
      </c>
      <c r="B24" s="18" t="n"/>
      <c r="F24" s="55" t="n"/>
      <c r="G24" s="17">
        <f>IFERROR(SUM(F23:F24),"")</f>
        <v/>
      </c>
      <c r="H24" s="17">
        <f>IFERROR(IF(F24="","",FLOOR(G23/((IFERROR(B20,0)+IFERROR(G20,0))/(IFERROR('Getting Started'!C15,0)+IFERROR('Getting Started'!C23,0))),1)+1),"")</f>
        <v/>
      </c>
      <c r="I24" s="17">
        <f>IFERROR(IF(F24="","",CEILING(G24/((IFERROR(B20,0)+IFERROR(G20,0))/(IFERROR('Getting Started'!C15,0)+IFERROR('Getting Started'!C23,0))),1)),"")</f>
        <v/>
      </c>
      <c r="J24" s="54">
        <f>IFERROR(IF(F24="","",TEXT('Getting Started'!C10+(H24-1)*7,"MMM D")&amp;" – "&amp;TEXT('Getting Started'!C10+I24*7,"MMM D")),"")</f>
        <v/>
      </c>
    </row>
    <row r="25" ht="18" customHeight="1">
      <c r="A25" s="53" t="n">
        <v>3</v>
      </c>
      <c r="B25" s="5" t="n"/>
      <c r="F25" s="32" t="n"/>
      <c r="G25" s="17">
        <f>IFERROR(SUM(F23:F25),"")</f>
        <v/>
      </c>
      <c r="H25" s="17">
        <f>IFERROR(IF(F25="","",FLOOR(G24/((IFERROR(B20,0)+IFERROR(G20,0))/(IFERROR('Getting Started'!C15,0)+IFERROR('Getting Started'!C23,0))),1)+1),"")</f>
        <v/>
      </c>
      <c r="I25" s="17">
        <f>IFERROR(IF(F25="","",CEILING(G25/((IFERROR(B20,0)+IFERROR(G20,0))/(IFERROR('Getting Started'!C15,0)+IFERROR('Getting Started'!C23,0))),1)),"")</f>
        <v/>
      </c>
      <c r="J25" s="54">
        <f>IFERROR(IF(F25="","",TEXT('Getting Started'!C10+(H25-1)*7,"MMM D")&amp;" – "&amp;TEXT('Getting Started'!C10+I25*7,"MMM D")),"")</f>
        <v/>
      </c>
    </row>
    <row r="26" ht="18" customHeight="1">
      <c r="A26" s="53" t="n">
        <v>4</v>
      </c>
      <c r="B26" s="18" t="n"/>
      <c r="F26" s="55" t="n"/>
      <c r="G26" s="17">
        <f>IFERROR(SUM(F23:F26),"")</f>
        <v/>
      </c>
      <c r="H26" s="17">
        <f>IFERROR(IF(F26="","",FLOOR(G25/((IFERROR(B20,0)+IFERROR(G20,0))/(IFERROR('Getting Started'!C15,0)+IFERROR('Getting Started'!C23,0))),1)+1),"")</f>
        <v/>
      </c>
      <c r="I26" s="17">
        <f>IFERROR(IF(F26="","",CEILING(G26/((IFERROR(B20,0)+IFERROR(G20,0))/(IFERROR('Getting Started'!C15,0)+IFERROR('Getting Started'!C23,0))),1)),"")</f>
        <v/>
      </c>
      <c r="J26" s="54">
        <f>IFERROR(IF(F26="","",TEXT('Getting Started'!C10+(H26-1)*7,"MMM D")&amp;" – "&amp;TEXT('Getting Started'!C10+I26*7,"MMM D")),"")</f>
        <v/>
      </c>
    </row>
    <row r="27" ht="18" customHeight="1">
      <c r="A27" s="53" t="n">
        <v>5</v>
      </c>
      <c r="B27" s="5" t="n"/>
      <c r="F27" s="32" t="n"/>
      <c r="G27" s="17">
        <f>IFERROR(SUM(F23:F27),"")</f>
        <v/>
      </c>
      <c r="H27" s="17">
        <f>IFERROR(IF(F27="","",FLOOR(G26/((IFERROR(B20,0)+IFERROR(G20,0))/(IFERROR('Getting Started'!C15,0)+IFERROR('Getting Started'!C23,0))),1)+1),"")</f>
        <v/>
      </c>
      <c r="I27" s="17">
        <f>IFERROR(IF(F27="","",CEILING(G27/((IFERROR(B20,0)+IFERROR(G20,0))/(IFERROR('Getting Started'!C15,0)+IFERROR('Getting Started'!C23,0))),1)),"")</f>
        <v/>
      </c>
      <c r="J27" s="54">
        <f>IFERROR(IF(F27="","",TEXT('Getting Started'!C10+(H27-1)*7,"MMM D")&amp;" – "&amp;TEXT('Getting Started'!C10+I27*7,"MMM D")),"")</f>
        <v/>
      </c>
    </row>
    <row r="28" ht="18" customHeight="1">
      <c r="A28" s="53" t="n">
        <v>6</v>
      </c>
      <c r="B28" s="18" t="n"/>
      <c r="F28" s="55" t="n"/>
      <c r="G28" s="17">
        <f>IFERROR(SUM(F23:F28),"")</f>
        <v/>
      </c>
      <c r="H28" s="17">
        <f>IFERROR(IF(F28="","",FLOOR(G27/((IFERROR(B20,0)+IFERROR(G20,0))/(IFERROR('Getting Started'!C15,0)+IFERROR('Getting Started'!C23,0))),1)+1),"")</f>
        <v/>
      </c>
      <c r="I28" s="17">
        <f>IFERROR(IF(F28="","",CEILING(G28/((IFERROR(B20,0)+IFERROR(G20,0))/(IFERROR('Getting Started'!C15,0)+IFERROR('Getting Started'!C23,0))),1)),"")</f>
        <v/>
      </c>
      <c r="J28" s="54">
        <f>IFERROR(IF(F28="","",TEXT('Getting Started'!C10+(H28-1)*7,"MMM D")&amp;" – "&amp;TEXT('Getting Started'!C10+I28*7,"MMM D")),"")</f>
        <v/>
      </c>
    </row>
    <row r="29" ht="20" customHeight="1">
      <c r="A29" s="56">
        <f>IFERROR(IF('Course Content'!I135="","",'Course Content'!I135),"")</f>
        <v/>
      </c>
    </row>
    <row r="30" ht="8" customHeight="1"/>
    <row r="31" ht="24" customHeight="1">
      <c r="A31" s="44" t="inlineStr">
        <is>
          <t xml:space="preserve">  ENGLISH / LANGUAGE ARTS</t>
        </is>
      </c>
      <c r="E31" s="45">
        <f>IFERROR(IF('Course Content'!E136="","← enter on Course Content tab",'Course Content'!E136),"")</f>
        <v/>
      </c>
    </row>
    <row r="32" ht="22" customHeight="1">
      <c r="B32" s="46">
        <f>'Course Content'!G136</f>
        <v/>
      </c>
      <c r="C32" s="47">
        <f>IFERROR(IF(B32="","",ROUND(B32/'Getting Started'!C15,1)),"")</f>
        <v/>
      </c>
      <c r="D32" s="47">
        <f>IFERROR(IF(C32="","",ROUND(C32/'Getting Started'!C7,1)),"")</f>
        <v/>
      </c>
      <c r="E32" s="48">
        <f>IFERROR(IF(B32="","",TEXT('Getting Started'!C10+(B32/D32),"MMM D, YYYY")),"")</f>
        <v/>
      </c>
      <c r="F32" s="39" t="n"/>
      <c r="G32" s="49">
        <f>'Course Content'!H136</f>
        <v/>
      </c>
      <c r="H32" s="50">
        <f>IFERROR(IF(G32="","",ROUND(G32/'Getting Started'!C23,1)),"")</f>
        <v/>
      </c>
      <c r="I32" s="50">
        <f>IFERROR(IF(H32="","",ROUND(H32/'Getting Started'!C7,1)),"")</f>
        <v/>
      </c>
      <c r="J32" s="51">
        <f>IFERROR(IF(G32="","",TEXT('Getting Started'!C18+(G32/I32),"MMM D, YYYY")),"")</f>
        <v/>
      </c>
    </row>
    <row r="33" ht="16" customHeight="1">
      <c r="A33" s="52" t="inlineStr">
        <is>
          <t xml:space="preserve">  Component Breakdown  (optional — use for multi-volume curricula)</t>
        </is>
      </c>
    </row>
    <row r="34" ht="22" customHeight="1">
      <c r="A34" s="28" t="inlineStr">
        <is>
          <t>#</t>
        </is>
      </c>
      <c r="B34" s="28" t="inlineStr">
        <is>
          <t>Book / Component Title</t>
        </is>
      </c>
      <c r="F34" s="28" t="inlineStr">
        <is>
          <t>Units</t>
        </is>
      </c>
      <c r="G34" s="28" t="inlineStr">
        <is>
          <t>Cumul.</t>
        </is>
      </c>
      <c r="H34" s="28" t="inlineStr">
        <is>
          <t>Start
Week</t>
        </is>
      </c>
      <c r="I34" s="28" t="inlineStr">
        <is>
          <t>End
Week</t>
        </is>
      </c>
      <c r="J34" s="28" t="inlineStr">
        <is>
          <t>Est. Dates</t>
        </is>
      </c>
    </row>
    <row r="35" ht="18" customHeight="1">
      <c r="A35" s="53" t="n">
        <v>1</v>
      </c>
      <c r="B35" s="5" t="n"/>
      <c r="F35" s="32" t="n"/>
      <c r="G35" s="17">
        <f>IFERROR(SUM(F35:F35),"")</f>
        <v/>
      </c>
      <c r="H35" s="17">
        <f>IF(F35="","",1)</f>
        <v/>
      </c>
      <c r="I35" s="17">
        <f>IFERROR(IF(F35="","",CEILING(G35/((IFERROR(B32,0)+IFERROR(G32,0))/(IFERROR('Getting Started'!C15,0)+IFERROR('Getting Started'!C23,0))),1)),"")</f>
        <v/>
      </c>
      <c r="J35" s="54">
        <f>IFERROR(IF(F35="","",TEXT('Getting Started'!C10+(H35-1)*7,"MMM D")&amp;" – "&amp;TEXT('Getting Started'!C10+I35*7,"MMM D")),"")</f>
        <v/>
      </c>
    </row>
    <row r="36" ht="18" customHeight="1">
      <c r="A36" s="53" t="n">
        <v>2</v>
      </c>
      <c r="B36" s="18" t="n"/>
      <c r="F36" s="55" t="n"/>
      <c r="G36" s="17">
        <f>IFERROR(SUM(F35:F36),"")</f>
        <v/>
      </c>
      <c r="H36" s="17">
        <f>IFERROR(IF(F36="","",FLOOR(G35/((IFERROR(B32,0)+IFERROR(G32,0))/(IFERROR('Getting Started'!C15,0)+IFERROR('Getting Started'!C23,0))),1)+1),"")</f>
        <v/>
      </c>
      <c r="I36" s="17">
        <f>IFERROR(IF(F36="","",CEILING(G36/((IFERROR(B32,0)+IFERROR(G32,0))/(IFERROR('Getting Started'!C15,0)+IFERROR('Getting Started'!C23,0))),1)),"")</f>
        <v/>
      </c>
      <c r="J36" s="54">
        <f>IFERROR(IF(F36="","",TEXT('Getting Started'!C10+(H36-1)*7,"MMM D")&amp;" – "&amp;TEXT('Getting Started'!C10+I36*7,"MMM D")),"")</f>
        <v/>
      </c>
    </row>
    <row r="37" ht="18" customHeight="1">
      <c r="A37" s="53" t="n">
        <v>3</v>
      </c>
      <c r="B37" s="5" t="n"/>
      <c r="F37" s="32" t="n"/>
      <c r="G37" s="17">
        <f>IFERROR(SUM(F35:F37),"")</f>
        <v/>
      </c>
      <c r="H37" s="17">
        <f>IFERROR(IF(F37="","",FLOOR(G36/((IFERROR(B32,0)+IFERROR(G32,0))/(IFERROR('Getting Started'!C15,0)+IFERROR('Getting Started'!C23,0))),1)+1),"")</f>
        <v/>
      </c>
      <c r="I37" s="17">
        <f>IFERROR(IF(F37="","",CEILING(G37/((IFERROR(B32,0)+IFERROR(G32,0))/(IFERROR('Getting Started'!C15,0)+IFERROR('Getting Started'!C23,0))),1)),"")</f>
        <v/>
      </c>
      <c r="J37" s="54">
        <f>IFERROR(IF(F37="","",TEXT('Getting Started'!C10+(H37-1)*7,"MMM D")&amp;" – "&amp;TEXT('Getting Started'!C10+I37*7,"MMM D")),"")</f>
        <v/>
      </c>
    </row>
    <row r="38" ht="18" customHeight="1">
      <c r="A38" s="53" t="n">
        <v>4</v>
      </c>
      <c r="B38" s="18" t="n"/>
      <c r="F38" s="55" t="n"/>
      <c r="G38" s="17">
        <f>IFERROR(SUM(F35:F38),"")</f>
        <v/>
      </c>
      <c r="H38" s="17">
        <f>IFERROR(IF(F38="","",FLOOR(G37/((IFERROR(B32,0)+IFERROR(G32,0))/(IFERROR('Getting Started'!C15,0)+IFERROR('Getting Started'!C23,0))),1)+1),"")</f>
        <v/>
      </c>
      <c r="I38" s="17">
        <f>IFERROR(IF(F38="","",CEILING(G38/((IFERROR(B32,0)+IFERROR(G32,0))/(IFERROR('Getting Started'!C15,0)+IFERROR('Getting Started'!C23,0))),1)),"")</f>
        <v/>
      </c>
      <c r="J38" s="54">
        <f>IFERROR(IF(F38="","",TEXT('Getting Started'!C10+(H38-1)*7,"MMM D")&amp;" – "&amp;TEXT('Getting Started'!C10+I38*7,"MMM D")),"")</f>
        <v/>
      </c>
    </row>
    <row r="39" ht="18" customHeight="1">
      <c r="A39" s="53" t="n">
        <v>5</v>
      </c>
      <c r="B39" s="5" t="n"/>
      <c r="F39" s="32" t="n"/>
      <c r="G39" s="17">
        <f>IFERROR(SUM(F35:F39),"")</f>
        <v/>
      </c>
      <c r="H39" s="17">
        <f>IFERROR(IF(F39="","",FLOOR(G38/((IFERROR(B32,0)+IFERROR(G32,0))/(IFERROR('Getting Started'!C15,0)+IFERROR('Getting Started'!C23,0))),1)+1),"")</f>
        <v/>
      </c>
      <c r="I39" s="17">
        <f>IFERROR(IF(F39="","",CEILING(G39/((IFERROR(B32,0)+IFERROR(G32,0))/(IFERROR('Getting Started'!C15,0)+IFERROR('Getting Started'!C23,0))),1)),"")</f>
        <v/>
      </c>
      <c r="J39" s="54">
        <f>IFERROR(IF(F39="","",TEXT('Getting Started'!C10+(H39-1)*7,"MMM D")&amp;" – "&amp;TEXT('Getting Started'!C10+I39*7,"MMM D")),"")</f>
        <v/>
      </c>
    </row>
    <row r="40" ht="18" customHeight="1">
      <c r="A40" s="53" t="n">
        <v>6</v>
      </c>
      <c r="B40" s="18" t="n"/>
      <c r="F40" s="55" t="n"/>
      <c r="G40" s="17">
        <f>IFERROR(SUM(F35:F40),"")</f>
        <v/>
      </c>
      <c r="H40" s="17">
        <f>IFERROR(IF(F40="","",FLOOR(G39/((IFERROR(B32,0)+IFERROR(G32,0))/(IFERROR('Getting Started'!C15,0)+IFERROR('Getting Started'!C23,0))),1)+1),"")</f>
        <v/>
      </c>
      <c r="I40" s="17">
        <f>IFERROR(IF(F40="","",CEILING(G40/((IFERROR(B32,0)+IFERROR(G32,0))/(IFERROR('Getting Started'!C15,0)+IFERROR('Getting Started'!C23,0))),1)),"")</f>
        <v/>
      </c>
      <c r="J40" s="54">
        <f>IFERROR(IF(F40="","",TEXT('Getting Started'!C10+(H40-1)*7,"MMM D")&amp;" – "&amp;TEXT('Getting Started'!C10+I40*7,"MMM D")),"")</f>
        <v/>
      </c>
    </row>
    <row r="41" ht="20" customHeight="1">
      <c r="A41" s="56">
        <f>IFERROR(IF('Course Content'!I136="","",'Course Content'!I136),"")</f>
        <v/>
      </c>
    </row>
    <row r="42" ht="8" customHeight="1"/>
    <row r="43" ht="24" customHeight="1">
      <c r="A43" s="44" t="inlineStr">
        <is>
          <t xml:space="preserve">  READING</t>
        </is>
      </c>
      <c r="E43" s="45">
        <f>IFERROR(IF('Course Content'!E137="","← enter on Course Content tab",'Course Content'!E137),"")</f>
        <v/>
      </c>
    </row>
    <row r="44" ht="22" customHeight="1">
      <c r="B44" s="46">
        <f>'Course Content'!G137</f>
        <v/>
      </c>
      <c r="C44" s="47">
        <f>IFERROR(IF(B44="","",ROUND(B44/'Getting Started'!C15,1)),"")</f>
        <v/>
      </c>
      <c r="D44" s="47">
        <f>IFERROR(IF(C44="","",ROUND(C44/'Getting Started'!C7,1)),"")</f>
        <v/>
      </c>
      <c r="E44" s="48">
        <f>IFERROR(IF(B44="","",TEXT('Getting Started'!C10+(B44/D44),"MMM D, YYYY")),"")</f>
        <v/>
      </c>
      <c r="F44" s="39" t="n"/>
      <c r="G44" s="49">
        <f>'Course Content'!H137</f>
        <v/>
      </c>
      <c r="H44" s="50">
        <f>IFERROR(IF(G44="","",ROUND(G44/'Getting Started'!C23,1)),"")</f>
        <v/>
      </c>
      <c r="I44" s="50">
        <f>IFERROR(IF(H44="","",ROUND(H44/'Getting Started'!C7,1)),"")</f>
        <v/>
      </c>
      <c r="J44" s="51">
        <f>IFERROR(IF(G44="","",TEXT('Getting Started'!C18+(G44/I44),"MMM D, YYYY")),"")</f>
        <v/>
      </c>
    </row>
    <row r="45" ht="16" customHeight="1">
      <c r="A45" s="52" t="inlineStr">
        <is>
          <t xml:space="preserve">  Component Breakdown  (optional — use for multi-volume curricula)</t>
        </is>
      </c>
    </row>
    <row r="46" ht="22" customHeight="1">
      <c r="A46" s="28" t="inlineStr">
        <is>
          <t>#</t>
        </is>
      </c>
      <c r="B46" s="28" t="inlineStr">
        <is>
          <t>Book / Component Title</t>
        </is>
      </c>
      <c r="F46" s="28" t="inlineStr">
        <is>
          <t>Units</t>
        </is>
      </c>
      <c r="G46" s="28" t="inlineStr">
        <is>
          <t>Cumul.</t>
        </is>
      </c>
      <c r="H46" s="28" t="inlineStr">
        <is>
          <t>Start
Week</t>
        </is>
      </c>
      <c r="I46" s="28" t="inlineStr">
        <is>
          <t>End
Week</t>
        </is>
      </c>
      <c r="J46" s="28" t="inlineStr">
        <is>
          <t>Est. Dates</t>
        </is>
      </c>
    </row>
    <row r="47" ht="18" customHeight="1">
      <c r="A47" s="53" t="n">
        <v>1</v>
      </c>
      <c r="B47" s="5" t="n"/>
      <c r="F47" s="32" t="n"/>
      <c r="G47" s="17">
        <f>IFERROR(SUM(F47:F47),"")</f>
        <v/>
      </c>
      <c r="H47" s="17">
        <f>IF(F47="","",1)</f>
        <v/>
      </c>
      <c r="I47" s="17">
        <f>IFERROR(IF(F47="","",CEILING(G47/((IFERROR(B44,0)+IFERROR(G44,0))/(IFERROR('Getting Started'!C15,0)+IFERROR('Getting Started'!C23,0))),1)),"")</f>
        <v/>
      </c>
      <c r="J47" s="54">
        <f>IFERROR(IF(F47="","",TEXT('Getting Started'!C10+(H47-1)*7,"MMM D")&amp;" – "&amp;TEXT('Getting Started'!C10+I47*7,"MMM D")),"")</f>
        <v/>
      </c>
    </row>
    <row r="48" ht="18" customHeight="1">
      <c r="A48" s="53" t="n">
        <v>2</v>
      </c>
      <c r="B48" s="18" t="n"/>
      <c r="F48" s="55" t="n"/>
      <c r="G48" s="17">
        <f>IFERROR(SUM(F47:F48),"")</f>
        <v/>
      </c>
      <c r="H48" s="17">
        <f>IFERROR(IF(F48="","",FLOOR(G47/((IFERROR(B44,0)+IFERROR(G44,0))/(IFERROR('Getting Started'!C15,0)+IFERROR('Getting Started'!C23,0))),1)+1),"")</f>
        <v/>
      </c>
      <c r="I48" s="17">
        <f>IFERROR(IF(F48="","",CEILING(G48/((IFERROR(B44,0)+IFERROR(G44,0))/(IFERROR('Getting Started'!C15,0)+IFERROR('Getting Started'!C23,0))),1)),"")</f>
        <v/>
      </c>
      <c r="J48" s="54">
        <f>IFERROR(IF(F48="","",TEXT('Getting Started'!C10+(H48-1)*7,"MMM D")&amp;" – "&amp;TEXT('Getting Started'!C10+I48*7,"MMM D")),"")</f>
        <v/>
      </c>
    </row>
    <row r="49" ht="18" customHeight="1">
      <c r="A49" s="53" t="n">
        <v>3</v>
      </c>
      <c r="B49" s="5" t="n"/>
      <c r="F49" s="32" t="n"/>
      <c r="G49" s="17">
        <f>IFERROR(SUM(F47:F49),"")</f>
        <v/>
      </c>
      <c r="H49" s="17">
        <f>IFERROR(IF(F49="","",FLOOR(G48/((IFERROR(B44,0)+IFERROR(G44,0))/(IFERROR('Getting Started'!C15,0)+IFERROR('Getting Started'!C23,0))),1)+1),"")</f>
        <v/>
      </c>
      <c r="I49" s="17">
        <f>IFERROR(IF(F49="","",CEILING(G49/((IFERROR(B44,0)+IFERROR(G44,0))/(IFERROR('Getting Started'!C15,0)+IFERROR('Getting Started'!C23,0))),1)),"")</f>
        <v/>
      </c>
      <c r="J49" s="54">
        <f>IFERROR(IF(F49="","",TEXT('Getting Started'!C10+(H49-1)*7,"MMM D")&amp;" – "&amp;TEXT('Getting Started'!C10+I49*7,"MMM D")),"")</f>
        <v/>
      </c>
    </row>
    <row r="50" ht="18" customHeight="1">
      <c r="A50" s="53" t="n">
        <v>4</v>
      </c>
      <c r="B50" s="18" t="n"/>
      <c r="F50" s="55" t="n"/>
      <c r="G50" s="17">
        <f>IFERROR(SUM(F47:F50),"")</f>
        <v/>
      </c>
      <c r="H50" s="17">
        <f>IFERROR(IF(F50="","",FLOOR(G49/((IFERROR(B44,0)+IFERROR(G44,0))/(IFERROR('Getting Started'!C15,0)+IFERROR('Getting Started'!C23,0))),1)+1),"")</f>
        <v/>
      </c>
      <c r="I50" s="17">
        <f>IFERROR(IF(F50="","",CEILING(G50/((IFERROR(B44,0)+IFERROR(G44,0))/(IFERROR('Getting Started'!C15,0)+IFERROR('Getting Started'!C23,0))),1)),"")</f>
        <v/>
      </c>
      <c r="J50" s="54">
        <f>IFERROR(IF(F50="","",TEXT('Getting Started'!C10+(H50-1)*7,"MMM D")&amp;" – "&amp;TEXT('Getting Started'!C10+I50*7,"MMM D")),"")</f>
        <v/>
      </c>
    </row>
    <row r="51" ht="18" customHeight="1">
      <c r="A51" s="53" t="n">
        <v>5</v>
      </c>
      <c r="B51" s="5" t="n"/>
      <c r="F51" s="32" t="n"/>
      <c r="G51" s="17">
        <f>IFERROR(SUM(F47:F51),"")</f>
        <v/>
      </c>
      <c r="H51" s="17">
        <f>IFERROR(IF(F51="","",FLOOR(G50/((IFERROR(B44,0)+IFERROR(G44,0))/(IFERROR('Getting Started'!C15,0)+IFERROR('Getting Started'!C23,0))),1)+1),"")</f>
        <v/>
      </c>
      <c r="I51" s="17">
        <f>IFERROR(IF(F51="","",CEILING(G51/((IFERROR(B44,0)+IFERROR(G44,0))/(IFERROR('Getting Started'!C15,0)+IFERROR('Getting Started'!C23,0))),1)),"")</f>
        <v/>
      </c>
      <c r="J51" s="54">
        <f>IFERROR(IF(F51="","",TEXT('Getting Started'!C10+(H51-1)*7,"MMM D")&amp;" – "&amp;TEXT('Getting Started'!C10+I51*7,"MMM D")),"")</f>
        <v/>
      </c>
    </row>
    <row r="52" ht="18" customHeight="1">
      <c r="A52" s="53" t="n">
        <v>6</v>
      </c>
      <c r="B52" s="18" t="n"/>
      <c r="F52" s="55" t="n"/>
      <c r="G52" s="17">
        <f>IFERROR(SUM(F47:F52),"")</f>
        <v/>
      </c>
      <c r="H52" s="17">
        <f>IFERROR(IF(F52="","",FLOOR(G51/((IFERROR(B44,0)+IFERROR(G44,0))/(IFERROR('Getting Started'!C15,0)+IFERROR('Getting Started'!C23,0))),1)+1),"")</f>
        <v/>
      </c>
      <c r="I52" s="17">
        <f>IFERROR(IF(F52="","",CEILING(G52/((IFERROR(B44,0)+IFERROR(G44,0))/(IFERROR('Getting Started'!C15,0)+IFERROR('Getting Started'!C23,0))),1)),"")</f>
        <v/>
      </c>
      <c r="J52" s="54">
        <f>IFERROR(IF(F52="","",TEXT('Getting Started'!C10+(H52-1)*7,"MMM D")&amp;" – "&amp;TEXT('Getting Started'!C10+I52*7,"MMM D")),"")</f>
        <v/>
      </c>
    </row>
    <row r="53" ht="20" customHeight="1">
      <c r="A53" s="56">
        <f>IFERROR(IF('Course Content'!I137="","",'Course Content'!I137),"")</f>
        <v/>
      </c>
    </row>
    <row r="54" ht="8" customHeight="1"/>
    <row r="55" ht="24" customHeight="1">
      <c r="A55" s="44" t="inlineStr">
        <is>
          <t xml:space="preserve">  WRITING / COMPOSITION</t>
        </is>
      </c>
      <c r="E55" s="45">
        <f>IFERROR(IF('Course Content'!E138="","← enter on Course Content tab",'Course Content'!E138),"")</f>
        <v/>
      </c>
    </row>
    <row r="56" ht="22" customHeight="1">
      <c r="B56" s="46">
        <f>'Course Content'!G138</f>
        <v/>
      </c>
      <c r="C56" s="47">
        <f>IFERROR(IF(B56="","",ROUND(B56/'Getting Started'!C15,1)),"")</f>
        <v/>
      </c>
      <c r="D56" s="47">
        <f>IFERROR(IF(C56="","",ROUND(C56/'Getting Started'!C7,1)),"")</f>
        <v/>
      </c>
      <c r="E56" s="48">
        <f>IFERROR(IF(B56="","",TEXT('Getting Started'!C10+(B56/D56),"MMM D, YYYY")),"")</f>
        <v/>
      </c>
      <c r="F56" s="39" t="n"/>
      <c r="G56" s="49">
        <f>'Course Content'!H138</f>
        <v/>
      </c>
      <c r="H56" s="50">
        <f>IFERROR(IF(G56="","",ROUND(G56/'Getting Started'!C23,1)),"")</f>
        <v/>
      </c>
      <c r="I56" s="50">
        <f>IFERROR(IF(H56="","",ROUND(H56/'Getting Started'!C7,1)),"")</f>
        <v/>
      </c>
      <c r="J56" s="51">
        <f>IFERROR(IF(G56="","",TEXT('Getting Started'!C18+(G56/I56),"MMM D, YYYY")),"")</f>
        <v/>
      </c>
    </row>
    <row r="57" ht="16" customHeight="1">
      <c r="A57" s="52" t="inlineStr">
        <is>
          <t xml:space="preserve">  Component Breakdown  (optional — use for multi-volume curricula)</t>
        </is>
      </c>
    </row>
    <row r="58" ht="22" customHeight="1">
      <c r="A58" s="28" t="inlineStr">
        <is>
          <t>#</t>
        </is>
      </c>
      <c r="B58" s="28" t="inlineStr">
        <is>
          <t>Book / Component Title</t>
        </is>
      </c>
      <c r="F58" s="28" t="inlineStr">
        <is>
          <t>Units</t>
        </is>
      </c>
      <c r="G58" s="28" t="inlineStr">
        <is>
          <t>Cumul.</t>
        </is>
      </c>
      <c r="H58" s="28" t="inlineStr">
        <is>
          <t>Start
Week</t>
        </is>
      </c>
      <c r="I58" s="28" t="inlineStr">
        <is>
          <t>End
Week</t>
        </is>
      </c>
      <c r="J58" s="28" t="inlineStr">
        <is>
          <t>Est. Dates</t>
        </is>
      </c>
    </row>
    <row r="59" ht="18" customHeight="1">
      <c r="A59" s="53" t="n">
        <v>1</v>
      </c>
      <c r="B59" s="5" t="n"/>
      <c r="F59" s="32" t="n"/>
      <c r="G59" s="17">
        <f>IFERROR(SUM(F59:F59),"")</f>
        <v/>
      </c>
      <c r="H59" s="17">
        <f>IF(F59="","",1)</f>
        <v/>
      </c>
      <c r="I59" s="17">
        <f>IFERROR(IF(F59="","",CEILING(G59/((IFERROR(B56,0)+IFERROR(G56,0))/(IFERROR('Getting Started'!C15,0)+IFERROR('Getting Started'!C23,0))),1)),"")</f>
        <v/>
      </c>
      <c r="J59" s="54">
        <f>IFERROR(IF(F59="","",TEXT('Getting Started'!C10+(H59-1)*7,"MMM D")&amp;" – "&amp;TEXT('Getting Started'!C10+I59*7,"MMM D")),"")</f>
        <v/>
      </c>
    </row>
    <row r="60" ht="18" customHeight="1">
      <c r="A60" s="53" t="n">
        <v>2</v>
      </c>
      <c r="B60" s="18" t="n"/>
      <c r="F60" s="55" t="n"/>
      <c r="G60" s="17">
        <f>IFERROR(SUM(F59:F60),"")</f>
        <v/>
      </c>
      <c r="H60" s="17">
        <f>IFERROR(IF(F60="","",FLOOR(G59/((IFERROR(B56,0)+IFERROR(G56,0))/(IFERROR('Getting Started'!C15,0)+IFERROR('Getting Started'!C23,0))),1)+1),"")</f>
        <v/>
      </c>
      <c r="I60" s="17">
        <f>IFERROR(IF(F60="","",CEILING(G60/((IFERROR(B56,0)+IFERROR(G56,0))/(IFERROR('Getting Started'!C15,0)+IFERROR('Getting Started'!C23,0))),1)),"")</f>
        <v/>
      </c>
      <c r="J60" s="54">
        <f>IFERROR(IF(F60="","",TEXT('Getting Started'!C10+(H60-1)*7,"MMM D")&amp;" – "&amp;TEXT('Getting Started'!C10+I60*7,"MMM D")),"")</f>
        <v/>
      </c>
    </row>
    <row r="61" ht="18" customHeight="1">
      <c r="A61" s="53" t="n">
        <v>3</v>
      </c>
      <c r="B61" s="5" t="n"/>
      <c r="F61" s="32" t="n"/>
      <c r="G61" s="17">
        <f>IFERROR(SUM(F59:F61),"")</f>
        <v/>
      </c>
      <c r="H61" s="17">
        <f>IFERROR(IF(F61="","",FLOOR(G60/((IFERROR(B56,0)+IFERROR(G56,0))/(IFERROR('Getting Started'!C15,0)+IFERROR('Getting Started'!C23,0))),1)+1),"")</f>
        <v/>
      </c>
      <c r="I61" s="17">
        <f>IFERROR(IF(F61="","",CEILING(G61/((IFERROR(B56,0)+IFERROR(G56,0))/(IFERROR('Getting Started'!C15,0)+IFERROR('Getting Started'!C23,0))),1)),"")</f>
        <v/>
      </c>
      <c r="J61" s="54">
        <f>IFERROR(IF(F61="","",TEXT('Getting Started'!C10+(H61-1)*7,"MMM D")&amp;" – "&amp;TEXT('Getting Started'!C10+I61*7,"MMM D")),"")</f>
        <v/>
      </c>
    </row>
    <row r="62" ht="18" customHeight="1">
      <c r="A62" s="53" t="n">
        <v>4</v>
      </c>
      <c r="B62" s="18" t="n"/>
      <c r="F62" s="55" t="n"/>
      <c r="G62" s="17">
        <f>IFERROR(SUM(F59:F62),"")</f>
        <v/>
      </c>
      <c r="H62" s="17">
        <f>IFERROR(IF(F62="","",FLOOR(G61/((IFERROR(B56,0)+IFERROR(G56,0))/(IFERROR('Getting Started'!C15,0)+IFERROR('Getting Started'!C23,0))),1)+1),"")</f>
        <v/>
      </c>
      <c r="I62" s="17">
        <f>IFERROR(IF(F62="","",CEILING(G62/((IFERROR(B56,0)+IFERROR(G56,0))/(IFERROR('Getting Started'!C15,0)+IFERROR('Getting Started'!C23,0))),1)),"")</f>
        <v/>
      </c>
      <c r="J62" s="54">
        <f>IFERROR(IF(F62="","",TEXT('Getting Started'!C10+(H62-1)*7,"MMM D")&amp;" – "&amp;TEXT('Getting Started'!C10+I62*7,"MMM D")),"")</f>
        <v/>
      </c>
    </row>
    <row r="63" ht="18" customHeight="1">
      <c r="A63" s="53" t="n">
        <v>5</v>
      </c>
      <c r="B63" s="5" t="n"/>
      <c r="F63" s="32" t="n"/>
      <c r="G63" s="17">
        <f>IFERROR(SUM(F59:F63),"")</f>
        <v/>
      </c>
      <c r="H63" s="17">
        <f>IFERROR(IF(F63="","",FLOOR(G62/((IFERROR(B56,0)+IFERROR(G56,0))/(IFERROR('Getting Started'!C15,0)+IFERROR('Getting Started'!C23,0))),1)+1),"")</f>
        <v/>
      </c>
      <c r="I63" s="17">
        <f>IFERROR(IF(F63="","",CEILING(G63/((IFERROR(B56,0)+IFERROR(G56,0))/(IFERROR('Getting Started'!C15,0)+IFERROR('Getting Started'!C23,0))),1)),"")</f>
        <v/>
      </c>
      <c r="J63" s="54">
        <f>IFERROR(IF(F63="","",TEXT('Getting Started'!C10+(H63-1)*7,"MMM D")&amp;" – "&amp;TEXT('Getting Started'!C10+I63*7,"MMM D")),"")</f>
        <v/>
      </c>
    </row>
    <row r="64" ht="18" customHeight="1">
      <c r="A64" s="53" t="n">
        <v>6</v>
      </c>
      <c r="B64" s="18" t="n"/>
      <c r="F64" s="55" t="n"/>
      <c r="G64" s="17">
        <f>IFERROR(SUM(F59:F64),"")</f>
        <v/>
      </c>
      <c r="H64" s="17">
        <f>IFERROR(IF(F64="","",FLOOR(G63/((IFERROR(B56,0)+IFERROR(G56,0))/(IFERROR('Getting Started'!C15,0)+IFERROR('Getting Started'!C23,0))),1)+1),"")</f>
        <v/>
      </c>
      <c r="I64" s="17">
        <f>IFERROR(IF(F64="","",CEILING(G64/((IFERROR(B56,0)+IFERROR(G56,0))/(IFERROR('Getting Started'!C15,0)+IFERROR('Getting Started'!C23,0))),1)),"")</f>
        <v/>
      </c>
      <c r="J64" s="54">
        <f>IFERROR(IF(F64="","",TEXT('Getting Started'!C10+(H64-1)*7,"MMM D")&amp;" – "&amp;TEXT('Getting Started'!C10+I64*7,"MMM D")),"")</f>
        <v/>
      </c>
    </row>
    <row r="65" ht="20" customHeight="1">
      <c r="A65" s="56">
        <f>IFERROR(IF('Course Content'!I138="","",'Course Content'!I138),"")</f>
        <v/>
      </c>
    </row>
    <row r="66" ht="8" customHeight="1"/>
    <row r="67" ht="24" customHeight="1">
      <c r="A67" s="44" t="inlineStr">
        <is>
          <t xml:space="preserve">  SCIENCE</t>
        </is>
      </c>
      <c r="E67" s="45">
        <f>IFERROR(IF('Course Content'!E139="","← enter on Course Content tab",'Course Content'!E139),"")</f>
        <v/>
      </c>
    </row>
    <row r="68" ht="22" customHeight="1">
      <c r="B68" s="46">
        <f>'Course Content'!G139</f>
        <v/>
      </c>
      <c r="C68" s="47">
        <f>IFERROR(IF(B68="","",ROUND(B68/'Getting Started'!C15,1)),"")</f>
        <v/>
      </c>
      <c r="D68" s="47">
        <f>IFERROR(IF(C68="","",ROUND(C68/'Getting Started'!C7,1)),"")</f>
        <v/>
      </c>
      <c r="E68" s="48">
        <f>IFERROR(IF(B68="","",TEXT('Getting Started'!C10+(B68/D68),"MMM D, YYYY")),"")</f>
        <v/>
      </c>
      <c r="F68" s="39" t="n"/>
      <c r="G68" s="49">
        <f>'Course Content'!H139</f>
        <v/>
      </c>
      <c r="H68" s="50">
        <f>IFERROR(IF(G68="","",ROUND(G68/'Getting Started'!C23,1)),"")</f>
        <v/>
      </c>
      <c r="I68" s="50">
        <f>IFERROR(IF(H68="","",ROUND(H68/'Getting Started'!C7,1)),"")</f>
        <v/>
      </c>
      <c r="J68" s="51">
        <f>IFERROR(IF(G68="","",TEXT('Getting Started'!C18+(G68/I68),"MMM D, YYYY")),"")</f>
        <v/>
      </c>
    </row>
    <row r="69" ht="16" customHeight="1">
      <c r="A69" s="52" t="inlineStr">
        <is>
          <t xml:space="preserve">  Component Breakdown  (optional — use for multi-volume curricula)</t>
        </is>
      </c>
    </row>
    <row r="70" ht="22" customHeight="1">
      <c r="A70" s="28" t="inlineStr">
        <is>
          <t>#</t>
        </is>
      </c>
      <c r="B70" s="28" t="inlineStr">
        <is>
          <t>Book / Component Title</t>
        </is>
      </c>
      <c r="F70" s="28" t="inlineStr">
        <is>
          <t>Units</t>
        </is>
      </c>
      <c r="G70" s="28" t="inlineStr">
        <is>
          <t>Cumul.</t>
        </is>
      </c>
      <c r="H70" s="28" t="inlineStr">
        <is>
          <t>Start
Week</t>
        </is>
      </c>
      <c r="I70" s="28" t="inlineStr">
        <is>
          <t>End
Week</t>
        </is>
      </c>
      <c r="J70" s="28" t="inlineStr">
        <is>
          <t>Est. Dates</t>
        </is>
      </c>
    </row>
    <row r="71" ht="18" customHeight="1">
      <c r="A71" s="53" t="n">
        <v>1</v>
      </c>
      <c r="B71" s="5" t="n"/>
      <c r="F71" s="32" t="n"/>
      <c r="G71" s="17">
        <f>IFERROR(SUM(F71:F71),"")</f>
        <v/>
      </c>
      <c r="H71" s="17">
        <f>IF(F71="","",1)</f>
        <v/>
      </c>
      <c r="I71" s="17">
        <f>IFERROR(IF(F71="","",CEILING(G71/((IFERROR(B68,0)+IFERROR(G68,0))/(IFERROR('Getting Started'!C15,0)+IFERROR('Getting Started'!C23,0))),1)),"")</f>
        <v/>
      </c>
      <c r="J71" s="54">
        <f>IFERROR(IF(F71="","",TEXT('Getting Started'!C10+(H71-1)*7,"MMM D")&amp;" – "&amp;TEXT('Getting Started'!C10+I71*7,"MMM D")),"")</f>
        <v/>
      </c>
    </row>
    <row r="72" ht="18" customHeight="1">
      <c r="A72" s="53" t="n">
        <v>2</v>
      </c>
      <c r="B72" s="18" t="n"/>
      <c r="F72" s="55" t="n"/>
      <c r="G72" s="17">
        <f>IFERROR(SUM(F71:F72),"")</f>
        <v/>
      </c>
      <c r="H72" s="17">
        <f>IFERROR(IF(F72="","",FLOOR(G71/((IFERROR(B68,0)+IFERROR(G68,0))/(IFERROR('Getting Started'!C15,0)+IFERROR('Getting Started'!C23,0))),1)+1),"")</f>
        <v/>
      </c>
      <c r="I72" s="17">
        <f>IFERROR(IF(F72="","",CEILING(G72/((IFERROR(B68,0)+IFERROR(G68,0))/(IFERROR('Getting Started'!C15,0)+IFERROR('Getting Started'!C23,0))),1)),"")</f>
        <v/>
      </c>
      <c r="J72" s="54">
        <f>IFERROR(IF(F72="","",TEXT('Getting Started'!C10+(H72-1)*7,"MMM D")&amp;" – "&amp;TEXT('Getting Started'!C10+I72*7,"MMM D")),"")</f>
        <v/>
      </c>
    </row>
    <row r="73" ht="18" customHeight="1">
      <c r="A73" s="53" t="n">
        <v>3</v>
      </c>
      <c r="B73" s="5" t="n"/>
      <c r="F73" s="32" t="n"/>
      <c r="G73" s="17">
        <f>IFERROR(SUM(F71:F73),"")</f>
        <v/>
      </c>
      <c r="H73" s="17">
        <f>IFERROR(IF(F73="","",FLOOR(G72/((IFERROR(B68,0)+IFERROR(G68,0))/(IFERROR('Getting Started'!C15,0)+IFERROR('Getting Started'!C23,0))),1)+1),"")</f>
        <v/>
      </c>
      <c r="I73" s="17">
        <f>IFERROR(IF(F73="","",CEILING(G73/((IFERROR(B68,0)+IFERROR(G68,0))/(IFERROR('Getting Started'!C15,0)+IFERROR('Getting Started'!C23,0))),1)),"")</f>
        <v/>
      </c>
      <c r="J73" s="54">
        <f>IFERROR(IF(F73="","",TEXT('Getting Started'!C10+(H73-1)*7,"MMM D")&amp;" – "&amp;TEXT('Getting Started'!C10+I73*7,"MMM D")),"")</f>
        <v/>
      </c>
    </row>
    <row r="74" ht="18" customHeight="1">
      <c r="A74" s="53" t="n">
        <v>4</v>
      </c>
      <c r="B74" s="18" t="n"/>
      <c r="F74" s="55" t="n"/>
      <c r="G74" s="17">
        <f>IFERROR(SUM(F71:F74),"")</f>
        <v/>
      </c>
      <c r="H74" s="17">
        <f>IFERROR(IF(F74="","",FLOOR(G73/((IFERROR(B68,0)+IFERROR(G68,0))/(IFERROR('Getting Started'!C15,0)+IFERROR('Getting Started'!C23,0))),1)+1),"")</f>
        <v/>
      </c>
      <c r="I74" s="17">
        <f>IFERROR(IF(F74="","",CEILING(G74/((IFERROR(B68,0)+IFERROR(G68,0))/(IFERROR('Getting Started'!C15,0)+IFERROR('Getting Started'!C23,0))),1)),"")</f>
        <v/>
      </c>
      <c r="J74" s="54">
        <f>IFERROR(IF(F74="","",TEXT('Getting Started'!C10+(H74-1)*7,"MMM D")&amp;" – "&amp;TEXT('Getting Started'!C10+I74*7,"MMM D")),"")</f>
        <v/>
      </c>
    </row>
    <row r="75" ht="18" customHeight="1">
      <c r="A75" s="53" t="n">
        <v>5</v>
      </c>
      <c r="B75" s="5" t="n"/>
      <c r="F75" s="32" t="n"/>
      <c r="G75" s="17">
        <f>IFERROR(SUM(F71:F75),"")</f>
        <v/>
      </c>
      <c r="H75" s="17">
        <f>IFERROR(IF(F75="","",FLOOR(G74/((IFERROR(B68,0)+IFERROR(G68,0))/(IFERROR('Getting Started'!C15,0)+IFERROR('Getting Started'!C23,0))),1)+1),"")</f>
        <v/>
      </c>
      <c r="I75" s="17">
        <f>IFERROR(IF(F75="","",CEILING(G75/((IFERROR(B68,0)+IFERROR(G68,0))/(IFERROR('Getting Started'!C15,0)+IFERROR('Getting Started'!C23,0))),1)),"")</f>
        <v/>
      </c>
      <c r="J75" s="54">
        <f>IFERROR(IF(F75="","",TEXT('Getting Started'!C10+(H75-1)*7,"MMM D")&amp;" – "&amp;TEXT('Getting Started'!C10+I75*7,"MMM D")),"")</f>
        <v/>
      </c>
    </row>
    <row r="76" ht="18" customHeight="1">
      <c r="A76" s="53" t="n">
        <v>6</v>
      </c>
      <c r="B76" s="18" t="n"/>
      <c r="F76" s="55" t="n"/>
      <c r="G76" s="17">
        <f>IFERROR(SUM(F71:F76),"")</f>
        <v/>
      </c>
      <c r="H76" s="17">
        <f>IFERROR(IF(F76="","",FLOOR(G75/((IFERROR(B68,0)+IFERROR(G68,0))/(IFERROR('Getting Started'!C15,0)+IFERROR('Getting Started'!C23,0))),1)+1),"")</f>
        <v/>
      </c>
      <c r="I76" s="17">
        <f>IFERROR(IF(F76="","",CEILING(G76/((IFERROR(B68,0)+IFERROR(G68,0))/(IFERROR('Getting Started'!C15,0)+IFERROR('Getting Started'!C23,0))),1)),"")</f>
        <v/>
      </c>
      <c r="J76" s="54">
        <f>IFERROR(IF(F76="","",TEXT('Getting Started'!C10+(H76-1)*7,"MMM D")&amp;" – "&amp;TEXT('Getting Started'!C10+I76*7,"MMM D")),"")</f>
        <v/>
      </c>
    </row>
    <row r="77" ht="20" customHeight="1">
      <c r="A77" s="56">
        <f>IFERROR(IF('Course Content'!I139="","",'Course Content'!I139),"")</f>
        <v/>
      </c>
    </row>
    <row r="78" ht="8" customHeight="1"/>
    <row r="79" ht="24" customHeight="1">
      <c r="A79" s="44" t="inlineStr">
        <is>
          <t xml:space="preserve">  SOCIAL STUDIES / HISTORY</t>
        </is>
      </c>
      <c r="E79" s="45">
        <f>IFERROR(IF('Course Content'!E140="","← enter on Course Content tab",'Course Content'!E140),"")</f>
        <v/>
      </c>
    </row>
    <row r="80" ht="22" customHeight="1">
      <c r="B80" s="46">
        <f>'Course Content'!G140</f>
        <v/>
      </c>
      <c r="C80" s="47">
        <f>IFERROR(IF(B80="","",ROUND(B80/'Getting Started'!C15,1)),"")</f>
        <v/>
      </c>
      <c r="D80" s="47">
        <f>IFERROR(IF(C80="","",ROUND(C80/'Getting Started'!C7,1)),"")</f>
        <v/>
      </c>
      <c r="E80" s="48">
        <f>IFERROR(IF(B80="","",TEXT('Getting Started'!C10+(B80/D80),"MMM D, YYYY")),"")</f>
        <v/>
      </c>
      <c r="F80" s="39" t="n"/>
      <c r="G80" s="49">
        <f>'Course Content'!H140</f>
        <v/>
      </c>
      <c r="H80" s="50">
        <f>IFERROR(IF(G80="","",ROUND(G80/'Getting Started'!C23,1)),"")</f>
        <v/>
      </c>
      <c r="I80" s="50">
        <f>IFERROR(IF(H80="","",ROUND(H80/'Getting Started'!C7,1)),"")</f>
        <v/>
      </c>
      <c r="J80" s="51">
        <f>IFERROR(IF(G80="","",TEXT('Getting Started'!C18+(G80/I80),"MMM D, YYYY")),"")</f>
        <v/>
      </c>
    </row>
    <row r="81" ht="16" customHeight="1">
      <c r="A81" s="52" t="inlineStr">
        <is>
          <t xml:space="preserve">  Component Breakdown  (optional — use for multi-volume curricula)</t>
        </is>
      </c>
    </row>
    <row r="82" ht="22" customHeight="1">
      <c r="A82" s="28" t="inlineStr">
        <is>
          <t>#</t>
        </is>
      </c>
      <c r="B82" s="28" t="inlineStr">
        <is>
          <t>Book / Component Title</t>
        </is>
      </c>
      <c r="F82" s="28" t="inlineStr">
        <is>
          <t>Units</t>
        </is>
      </c>
      <c r="G82" s="28" t="inlineStr">
        <is>
          <t>Cumul.</t>
        </is>
      </c>
      <c r="H82" s="28" t="inlineStr">
        <is>
          <t>Start
Week</t>
        </is>
      </c>
      <c r="I82" s="28" t="inlineStr">
        <is>
          <t>End
Week</t>
        </is>
      </c>
      <c r="J82" s="28" t="inlineStr">
        <is>
          <t>Est. Dates</t>
        </is>
      </c>
    </row>
    <row r="83" ht="18" customHeight="1">
      <c r="A83" s="53" t="n">
        <v>1</v>
      </c>
      <c r="B83" s="5" t="n"/>
      <c r="F83" s="32" t="n"/>
      <c r="G83" s="17">
        <f>IFERROR(SUM(F83:F83),"")</f>
        <v/>
      </c>
      <c r="H83" s="17">
        <f>IF(F83="","",1)</f>
        <v/>
      </c>
      <c r="I83" s="17">
        <f>IFERROR(IF(F83="","",CEILING(G83/((IFERROR(B80,0)+IFERROR(G80,0))/(IFERROR('Getting Started'!C15,0)+IFERROR('Getting Started'!C23,0))),1)),"")</f>
        <v/>
      </c>
      <c r="J83" s="54">
        <f>IFERROR(IF(F83="","",TEXT('Getting Started'!C10+(H83-1)*7,"MMM D")&amp;" – "&amp;TEXT('Getting Started'!C10+I83*7,"MMM D")),"")</f>
        <v/>
      </c>
    </row>
    <row r="84" ht="18" customHeight="1">
      <c r="A84" s="53" t="n">
        <v>2</v>
      </c>
      <c r="B84" s="18" t="n"/>
      <c r="F84" s="55" t="n"/>
      <c r="G84" s="17">
        <f>IFERROR(SUM(F83:F84),"")</f>
        <v/>
      </c>
      <c r="H84" s="17">
        <f>IFERROR(IF(F84="","",FLOOR(G83/((IFERROR(B80,0)+IFERROR(G80,0))/(IFERROR('Getting Started'!C15,0)+IFERROR('Getting Started'!C23,0))),1)+1),"")</f>
        <v/>
      </c>
      <c r="I84" s="17">
        <f>IFERROR(IF(F84="","",CEILING(G84/((IFERROR(B80,0)+IFERROR(G80,0))/(IFERROR('Getting Started'!C15,0)+IFERROR('Getting Started'!C23,0))),1)),"")</f>
        <v/>
      </c>
      <c r="J84" s="54">
        <f>IFERROR(IF(F84="","",TEXT('Getting Started'!C10+(H84-1)*7,"MMM D")&amp;" – "&amp;TEXT('Getting Started'!C10+I84*7,"MMM D")),"")</f>
        <v/>
      </c>
    </row>
    <row r="85" ht="18" customHeight="1">
      <c r="A85" s="53" t="n">
        <v>3</v>
      </c>
      <c r="B85" s="5" t="n"/>
      <c r="F85" s="32" t="n"/>
      <c r="G85" s="17">
        <f>IFERROR(SUM(F83:F85),"")</f>
        <v/>
      </c>
      <c r="H85" s="17">
        <f>IFERROR(IF(F85="","",FLOOR(G84/((IFERROR(B80,0)+IFERROR(G80,0))/(IFERROR('Getting Started'!C15,0)+IFERROR('Getting Started'!C23,0))),1)+1),"")</f>
        <v/>
      </c>
      <c r="I85" s="17">
        <f>IFERROR(IF(F85="","",CEILING(G85/((IFERROR(B80,0)+IFERROR(G80,0))/(IFERROR('Getting Started'!C15,0)+IFERROR('Getting Started'!C23,0))),1)),"")</f>
        <v/>
      </c>
      <c r="J85" s="54">
        <f>IFERROR(IF(F85="","",TEXT('Getting Started'!C10+(H85-1)*7,"MMM D")&amp;" – "&amp;TEXT('Getting Started'!C10+I85*7,"MMM D")),"")</f>
        <v/>
      </c>
    </row>
    <row r="86" ht="18" customHeight="1">
      <c r="A86" s="53" t="n">
        <v>4</v>
      </c>
      <c r="B86" s="18" t="n"/>
      <c r="F86" s="55" t="n"/>
      <c r="G86" s="17">
        <f>IFERROR(SUM(F83:F86),"")</f>
        <v/>
      </c>
      <c r="H86" s="17">
        <f>IFERROR(IF(F86="","",FLOOR(G85/((IFERROR(B80,0)+IFERROR(G80,0))/(IFERROR('Getting Started'!C15,0)+IFERROR('Getting Started'!C23,0))),1)+1),"")</f>
        <v/>
      </c>
      <c r="I86" s="17">
        <f>IFERROR(IF(F86="","",CEILING(G86/((IFERROR(B80,0)+IFERROR(G80,0))/(IFERROR('Getting Started'!C15,0)+IFERROR('Getting Started'!C23,0))),1)),"")</f>
        <v/>
      </c>
      <c r="J86" s="54">
        <f>IFERROR(IF(F86="","",TEXT('Getting Started'!C10+(H86-1)*7,"MMM D")&amp;" – "&amp;TEXT('Getting Started'!C10+I86*7,"MMM D")),"")</f>
        <v/>
      </c>
    </row>
    <row r="87" ht="18" customHeight="1">
      <c r="A87" s="53" t="n">
        <v>5</v>
      </c>
      <c r="B87" s="5" t="n"/>
      <c r="F87" s="32" t="n"/>
      <c r="G87" s="17">
        <f>IFERROR(SUM(F83:F87),"")</f>
        <v/>
      </c>
      <c r="H87" s="17">
        <f>IFERROR(IF(F87="","",FLOOR(G86/((IFERROR(B80,0)+IFERROR(G80,0))/(IFERROR('Getting Started'!C15,0)+IFERROR('Getting Started'!C23,0))),1)+1),"")</f>
        <v/>
      </c>
      <c r="I87" s="17">
        <f>IFERROR(IF(F87="","",CEILING(G87/((IFERROR(B80,0)+IFERROR(G80,0))/(IFERROR('Getting Started'!C15,0)+IFERROR('Getting Started'!C23,0))),1)),"")</f>
        <v/>
      </c>
      <c r="J87" s="54">
        <f>IFERROR(IF(F87="","",TEXT('Getting Started'!C10+(H87-1)*7,"MMM D")&amp;" – "&amp;TEXT('Getting Started'!C10+I87*7,"MMM D")),"")</f>
        <v/>
      </c>
    </row>
    <row r="88" ht="18" customHeight="1">
      <c r="A88" s="53" t="n">
        <v>6</v>
      </c>
      <c r="B88" s="18" t="n"/>
      <c r="F88" s="55" t="n"/>
      <c r="G88" s="17">
        <f>IFERROR(SUM(F83:F88),"")</f>
        <v/>
      </c>
      <c r="H88" s="17">
        <f>IFERROR(IF(F88="","",FLOOR(G87/((IFERROR(B80,0)+IFERROR(G80,0))/(IFERROR('Getting Started'!C15,0)+IFERROR('Getting Started'!C23,0))),1)+1),"")</f>
        <v/>
      </c>
      <c r="I88" s="17">
        <f>IFERROR(IF(F88="","",CEILING(G88/((IFERROR(B80,0)+IFERROR(G80,0))/(IFERROR('Getting Started'!C15,0)+IFERROR('Getting Started'!C23,0))),1)),"")</f>
        <v/>
      </c>
      <c r="J88" s="54">
        <f>IFERROR(IF(F88="","",TEXT('Getting Started'!C10+(H88-1)*7,"MMM D")&amp;" – "&amp;TEXT('Getting Started'!C10+I88*7,"MMM D")),"")</f>
        <v/>
      </c>
    </row>
    <row r="89" ht="20" customHeight="1">
      <c r="A89" s="56">
        <f>IFERROR(IF('Course Content'!I140="","",'Course Content'!I140),"")</f>
        <v/>
      </c>
    </row>
    <row r="90" ht="8" customHeight="1"/>
    <row r="91" ht="24" customHeight="1">
      <c r="A91" s="44" t="inlineStr">
        <is>
          <t xml:space="preserve">  HEALTH</t>
        </is>
      </c>
      <c r="E91" s="45">
        <f>IFERROR(IF('Course Content'!E141="","← enter on Course Content tab",'Course Content'!E141),"")</f>
        <v/>
      </c>
    </row>
    <row r="92" ht="22" customHeight="1">
      <c r="B92" s="46">
        <f>'Course Content'!G141</f>
        <v/>
      </c>
      <c r="C92" s="47">
        <f>IFERROR(IF(B92="","",ROUND(B92/'Getting Started'!C15,1)),"")</f>
        <v/>
      </c>
      <c r="D92" s="47">
        <f>IFERROR(IF(C92="","",ROUND(C92/'Getting Started'!C7,1)),"")</f>
        <v/>
      </c>
      <c r="E92" s="48">
        <f>IFERROR(IF(B92="","",TEXT('Getting Started'!C10+(B92/D92),"MMM D, YYYY")),"")</f>
        <v/>
      </c>
      <c r="F92" s="39" t="n"/>
      <c r="G92" s="49">
        <f>'Course Content'!H141</f>
        <v/>
      </c>
      <c r="H92" s="50">
        <f>IFERROR(IF(G92="","",ROUND(G92/'Getting Started'!C23,1)),"")</f>
        <v/>
      </c>
      <c r="I92" s="50">
        <f>IFERROR(IF(H92="","",ROUND(H92/'Getting Started'!C7,1)),"")</f>
        <v/>
      </c>
      <c r="J92" s="51">
        <f>IFERROR(IF(G92="","",TEXT('Getting Started'!C18+(G92/I92),"MMM D, YYYY")),"")</f>
        <v/>
      </c>
    </row>
    <row r="93" ht="16" customHeight="1">
      <c r="A93" s="52" t="inlineStr">
        <is>
          <t xml:space="preserve">  Component Breakdown  (optional — use for multi-volume curricula)</t>
        </is>
      </c>
    </row>
    <row r="94" ht="22" customHeight="1">
      <c r="A94" s="28" t="inlineStr">
        <is>
          <t>#</t>
        </is>
      </c>
      <c r="B94" s="28" t="inlineStr">
        <is>
          <t>Book / Component Title</t>
        </is>
      </c>
      <c r="F94" s="28" t="inlineStr">
        <is>
          <t>Units</t>
        </is>
      </c>
      <c r="G94" s="28" t="inlineStr">
        <is>
          <t>Cumul.</t>
        </is>
      </c>
      <c r="H94" s="28" t="inlineStr">
        <is>
          <t>Start
Week</t>
        </is>
      </c>
      <c r="I94" s="28" t="inlineStr">
        <is>
          <t>End
Week</t>
        </is>
      </c>
      <c r="J94" s="28" t="inlineStr">
        <is>
          <t>Est. Dates</t>
        </is>
      </c>
    </row>
    <row r="95" ht="18" customHeight="1">
      <c r="A95" s="53" t="n">
        <v>1</v>
      </c>
      <c r="B95" s="5" t="n"/>
      <c r="F95" s="32" t="n"/>
      <c r="G95" s="17">
        <f>IFERROR(SUM(F95:F95),"")</f>
        <v/>
      </c>
      <c r="H95" s="17">
        <f>IF(F95="","",1)</f>
        <v/>
      </c>
      <c r="I95" s="17">
        <f>IFERROR(IF(F95="","",CEILING(G95/((IFERROR(B92,0)+IFERROR(G92,0))/(IFERROR('Getting Started'!C15,0)+IFERROR('Getting Started'!C23,0))),1)),"")</f>
        <v/>
      </c>
      <c r="J95" s="54">
        <f>IFERROR(IF(F95="","",TEXT('Getting Started'!C10+(H95-1)*7,"MMM D")&amp;" – "&amp;TEXT('Getting Started'!C10+I95*7,"MMM D")),"")</f>
        <v/>
      </c>
    </row>
    <row r="96" ht="18" customHeight="1">
      <c r="A96" s="53" t="n">
        <v>2</v>
      </c>
      <c r="B96" s="18" t="n"/>
      <c r="F96" s="55" t="n"/>
      <c r="G96" s="17">
        <f>IFERROR(SUM(F95:F96),"")</f>
        <v/>
      </c>
      <c r="H96" s="17">
        <f>IFERROR(IF(F96="","",FLOOR(G95/((IFERROR(B92,0)+IFERROR(G92,0))/(IFERROR('Getting Started'!C15,0)+IFERROR('Getting Started'!C23,0))),1)+1),"")</f>
        <v/>
      </c>
      <c r="I96" s="17">
        <f>IFERROR(IF(F96="","",CEILING(G96/((IFERROR(B92,0)+IFERROR(G92,0))/(IFERROR('Getting Started'!C15,0)+IFERROR('Getting Started'!C23,0))),1)),"")</f>
        <v/>
      </c>
      <c r="J96" s="54">
        <f>IFERROR(IF(F96="","",TEXT('Getting Started'!C10+(H96-1)*7,"MMM D")&amp;" – "&amp;TEXT('Getting Started'!C10+I96*7,"MMM D")),"")</f>
        <v/>
      </c>
    </row>
    <row r="97" ht="18" customHeight="1">
      <c r="A97" s="53" t="n">
        <v>3</v>
      </c>
      <c r="B97" s="5" t="n"/>
      <c r="F97" s="32" t="n"/>
      <c r="G97" s="17">
        <f>IFERROR(SUM(F95:F97),"")</f>
        <v/>
      </c>
      <c r="H97" s="17">
        <f>IFERROR(IF(F97="","",FLOOR(G96/((IFERROR(B92,0)+IFERROR(G92,0))/(IFERROR('Getting Started'!C15,0)+IFERROR('Getting Started'!C23,0))),1)+1),"")</f>
        <v/>
      </c>
      <c r="I97" s="17">
        <f>IFERROR(IF(F97="","",CEILING(G97/((IFERROR(B92,0)+IFERROR(G92,0))/(IFERROR('Getting Started'!C15,0)+IFERROR('Getting Started'!C23,0))),1)),"")</f>
        <v/>
      </c>
      <c r="J97" s="54">
        <f>IFERROR(IF(F97="","",TEXT('Getting Started'!C10+(H97-1)*7,"MMM D")&amp;" – "&amp;TEXT('Getting Started'!C10+I97*7,"MMM D")),"")</f>
        <v/>
      </c>
    </row>
    <row r="98" ht="18" customHeight="1">
      <c r="A98" s="53" t="n">
        <v>4</v>
      </c>
      <c r="B98" s="18" t="n"/>
      <c r="F98" s="55" t="n"/>
      <c r="G98" s="17">
        <f>IFERROR(SUM(F95:F98),"")</f>
        <v/>
      </c>
      <c r="H98" s="17">
        <f>IFERROR(IF(F98="","",FLOOR(G97/((IFERROR(B92,0)+IFERROR(G92,0))/(IFERROR('Getting Started'!C15,0)+IFERROR('Getting Started'!C23,0))),1)+1),"")</f>
        <v/>
      </c>
      <c r="I98" s="17">
        <f>IFERROR(IF(F98="","",CEILING(G98/((IFERROR(B92,0)+IFERROR(G92,0))/(IFERROR('Getting Started'!C15,0)+IFERROR('Getting Started'!C23,0))),1)),"")</f>
        <v/>
      </c>
      <c r="J98" s="54">
        <f>IFERROR(IF(F98="","",TEXT('Getting Started'!C10+(H98-1)*7,"MMM D")&amp;" – "&amp;TEXT('Getting Started'!C10+I98*7,"MMM D")),"")</f>
        <v/>
      </c>
    </row>
    <row r="99" ht="18" customHeight="1">
      <c r="A99" s="53" t="n">
        <v>5</v>
      </c>
      <c r="B99" s="5" t="n"/>
      <c r="F99" s="32" t="n"/>
      <c r="G99" s="17">
        <f>IFERROR(SUM(F95:F99),"")</f>
        <v/>
      </c>
      <c r="H99" s="17">
        <f>IFERROR(IF(F99="","",FLOOR(G98/((IFERROR(B92,0)+IFERROR(G92,0))/(IFERROR('Getting Started'!C15,0)+IFERROR('Getting Started'!C23,0))),1)+1),"")</f>
        <v/>
      </c>
      <c r="I99" s="17">
        <f>IFERROR(IF(F99="","",CEILING(G99/((IFERROR(B92,0)+IFERROR(G92,0))/(IFERROR('Getting Started'!C15,0)+IFERROR('Getting Started'!C23,0))),1)),"")</f>
        <v/>
      </c>
      <c r="J99" s="54">
        <f>IFERROR(IF(F99="","",TEXT('Getting Started'!C10+(H99-1)*7,"MMM D")&amp;" – "&amp;TEXT('Getting Started'!C10+I99*7,"MMM D")),"")</f>
        <v/>
      </c>
    </row>
    <row r="100" ht="18" customHeight="1">
      <c r="A100" s="53" t="n">
        <v>6</v>
      </c>
      <c r="B100" s="18" t="n"/>
      <c r="F100" s="55" t="n"/>
      <c r="G100" s="17">
        <f>IFERROR(SUM(F95:F100),"")</f>
        <v/>
      </c>
      <c r="H100" s="17">
        <f>IFERROR(IF(F100="","",FLOOR(G99/((IFERROR(B92,0)+IFERROR(G92,0))/(IFERROR('Getting Started'!C15,0)+IFERROR('Getting Started'!C23,0))),1)+1),"")</f>
        <v/>
      </c>
      <c r="I100" s="17">
        <f>IFERROR(IF(F100="","",CEILING(G100/((IFERROR(B92,0)+IFERROR(G92,0))/(IFERROR('Getting Started'!C15,0)+IFERROR('Getting Started'!C23,0))),1)),"")</f>
        <v/>
      </c>
      <c r="J100" s="54">
        <f>IFERROR(IF(F100="","",TEXT('Getting Started'!C10+(H100-1)*7,"MMM D")&amp;" – "&amp;TEXT('Getting Started'!C10+I100*7,"MMM D")),"")</f>
        <v/>
      </c>
    </row>
    <row r="101" ht="20" customHeight="1">
      <c r="A101" s="56">
        <f>IFERROR(IF('Course Content'!I141="","",'Course Content'!I141),"")</f>
        <v/>
      </c>
    </row>
    <row r="102" ht="8" customHeight="1"/>
    <row r="103" ht="24" customHeight="1">
      <c r="A103" s="44" t="inlineStr">
        <is>
          <t xml:space="preserve">  PHYSICAL EDUCATION</t>
        </is>
      </c>
      <c r="E103" s="45">
        <f>IFERROR(IF('Course Content'!E142="","← enter on Course Content tab",'Course Content'!E142),"")</f>
        <v/>
      </c>
    </row>
    <row r="104" ht="22" customHeight="1">
      <c r="B104" s="46">
        <f>'Course Content'!G142</f>
        <v/>
      </c>
      <c r="C104" s="47">
        <f>IFERROR(IF(B104="","",ROUND(B104/'Getting Started'!C15,1)),"")</f>
        <v/>
      </c>
      <c r="D104" s="47">
        <f>IFERROR(IF(C104="","",ROUND(C104/'Getting Started'!C7,1)),"")</f>
        <v/>
      </c>
      <c r="E104" s="48">
        <f>IFERROR(IF(B104="","",TEXT('Getting Started'!C10+(B104/D104),"MMM D, YYYY")),"")</f>
        <v/>
      </c>
      <c r="F104" s="39" t="n"/>
      <c r="G104" s="49">
        <f>'Course Content'!H142</f>
        <v/>
      </c>
      <c r="H104" s="50">
        <f>IFERROR(IF(G104="","",ROUND(G104/'Getting Started'!C23,1)),"")</f>
        <v/>
      </c>
      <c r="I104" s="50">
        <f>IFERROR(IF(H104="","",ROUND(H104/'Getting Started'!C7,1)),"")</f>
        <v/>
      </c>
      <c r="J104" s="51">
        <f>IFERROR(IF(G104="","",TEXT('Getting Started'!C18+(G104/I104),"MMM D, YYYY")),"")</f>
        <v/>
      </c>
    </row>
    <row r="105" ht="16" customHeight="1">
      <c r="A105" s="52" t="inlineStr">
        <is>
          <t xml:space="preserve">  Component Breakdown  (optional — use for multi-volume curricula)</t>
        </is>
      </c>
    </row>
    <row r="106" ht="22" customHeight="1">
      <c r="A106" s="28" t="inlineStr">
        <is>
          <t>#</t>
        </is>
      </c>
      <c r="B106" s="28" t="inlineStr">
        <is>
          <t>Book / Component Title</t>
        </is>
      </c>
      <c r="F106" s="28" t="inlineStr">
        <is>
          <t>Units</t>
        </is>
      </c>
      <c r="G106" s="28" t="inlineStr">
        <is>
          <t>Cumul.</t>
        </is>
      </c>
      <c r="H106" s="28" t="inlineStr">
        <is>
          <t>Start
Week</t>
        </is>
      </c>
      <c r="I106" s="28" t="inlineStr">
        <is>
          <t>End
Week</t>
        </is>
      </c>
      <c r="J106" s="28" t="inlineStr">
        <is>
          <t>Est. Dates</t>
        </is>
      </c>
    </row>
    <row r="107" ht="18" customHeight="1">
      <c r="A107" s="53" t="n">
        <v>1</v>
      </c>
      <c r="B107" s="5" t="n"/>
      <c r="F107" s="32" t="n"/>
      <c r="G107" s="17">
        <f>IFERROR(SUM(F107:F107),"")</f>
        <v/>
      </c>
      <c r="H107" s="17">
        <f>IF(F107="","",1)</f>
        <v/>
      </c>
      <c r="I107" s="17">
        <f>IFERROR(IF(F107="","",CEILING(G107/((IFERROR(B104,0)+IFERROR(G104,0))/(IFERROR('Getting Started'!C15,0)+IFERROR('Getting Started'!C23,0))),1)),"")</f>
        <v/>
      </c>
      <c r="J107" s="54">
        <f>IFERROR(IF(F107="","",TEXT('Getting Started'!C10+(H107-1)*7,"MMM D")&amp;" – "&amp;TEXT('Getting Started'!C10+I107*7,"MMM D")),"")</f>
        <v/>
      </c>
    </row>
    <row r="108" ht="18" customHeight="1">
      <c r="A108" s="53" t="n">
        <v>2</v>
      </c>
      <c r="B108" s="18" t="n"/>
      <c r="F108" s="55" t="n"/>
      <c r="G108" s="17">
        <f>IFERROR(SUM(F107:F108),"")</f>
        <v/>
      </c>
      <c r="H108" s="17">
        <f>IFERROR(IF(F108="","",FLOOR(G107/((IFERROR(B104,0)+IFERROR(G104,0))/(IFERROR('Getting Started'!C15,0)+IFERROR('Getting Started'!C23,0))),1)+1),"")</f>
        <v/>
      </c>
      <c r="I108" s="17">
        <f>IFERROR(IF(F108="","",CEILING(G108/((IFERROR(B104,0)+IFERROR(G104,0))/(IFERROR('Getting Started'!C15,0)+IFERROR('Getting Started'!C23,0))),1)),"")</f>
        <v/>
      </c>
      <c r="J108" s="54">
        <f>IFERROR(IF(F108="","",TEXT('Getting Started'!C10+(H108-1)*7,"MMM D")&amp;" – "&amp;TEXT('Getting Started'!C10+I108*7,"MMM D")),"")</f>
        <v/>
      </c>
    </row>
    <row r="109" ht="18" customHeight="1">
      <c r="A109" s="53" t="n">
        <v>3</v>
      </c>
      <c r="B109" s="5" t="n"/>
      <c r="F109" s="32" t="n"/>
      <c r="G109" s="17">
        <f>IFERROR(SUM(F107:F109),"")</f>
        <v/>
      </c>
      <c r="H109" s="17">
        <f>IFERROR(IF(F109="","",FLOOR(G108/((IFERROR(B104,0)+IFERROR(G104,0))/(IFERROR('Getting Started'!C15,0)+IFERROR('Getting Started'!C23,0))),1)+1),"")</f>
        <v/>
      </c>
      <c r="I109" s="17">
        <f>IFERROR(IF(F109="","",CEILING(G109/((IFERROR(B104,0)+IFERROR(G104,0))/(IFERROR('Getting Started'!C15,0)+IFERROR('Getting Started'!C23,0))),1)),"")</f>
        <v/>
      </c>
      <c r="J109" s="54">
        <f>IFERROR(IF(F109="","",TEXT('Getting Started'!C10+(H109-1)*7,"MMM D")&amp;" – "&amp;TEXT('Getting Started'!C10+I109*7,"MMM D")),"")</f>
        <v/>
      </c>
    </row>
    <row r="110" ht="18" customHeight="1">
      <c r="A110" s="53" t="n">
        <v>4</v>
      </c>
      <c r="B110" s="18" t="n"/>
      <c r="F110" s="55" t="n"/>
      <c r="G110" s="17">
        <f>IFERROR(SUM(F107:F110),"")</f>
        <v/>
      </c>
      <c r="H110" s="17">
        <f>IFERROR(IF(F110="","",FLOOR(G109/((IFERROR(B104,0)+IFERROR(G104,0))/(IFERROR('Getting Started'!C15,0)+IFERROR('Getting Started'!C23,0))),1)+1),"")</f>
        <v/>
      </c>
      <c r="I110" s="17">
        <f>IFERROR(IF(F110="","",CEILING(G110/((IFERROR(B104,0)+IFERROR(G104,0))/(IFERROR('Getting Started'!C15,0)+IFERROR('Getting Started'!C23,0))),1)),"")</f>
        <v/>
      </c>
      <c r="J110" s="54">
        <f>IFERROR(IF(F110="","",TEXT('Getting Started'!C10+(H110-1)*7,"MMM D")&amp;" – "&amp;TEXT('Getting Started'!C10+I110*7,"MMM D")),"")</f>
        <v/>
      </c>
    </row>
    <row r="111" ht="18" customHeight="1">
      <c r="A111" s="53" t="n">
        <v>5</v>
      </c>
      <c r="B111" s="5" t="n"/>
      <c r="F111" s="32" t="n"/>
      <c r="G111" s="17">
        <f>IFERROR(SUM(F107:F111),"")</f>
        <v/>
      </c>
      <c r="H111" s="17">
        <f>IFERROR(IF(F111="","",FLOOR(G110/((IFERROR(B104,0)+IFERROR(G104,0))/(IFERROR('Getting Started'!C15,0)+IFERROR('Getting Started'!C23,0))),1)+1),"")</f>
        <v/>
      </c>
      <c r="I111" s="17">
        <f>IFERROR(IF(F111="","",CEILING(G111/((IFERROR(B104,0)+IFERROR(G104,0))/(IFERROR('Getting Started'!C15,0)+IFERROR('Getting Started'!C23,0))),1)),"")</f>
        <v/>
      </c>
      <c r="J111" s="54">
        <f>IFERROR(IF(F111="","",TEXT('Getting Started'!C10+(H111-1)*7,"MMM D")&amp;" – "&amp;TEXT('Getting Started'!C10+I111*7,"MMM D")),"")</f>
        <v/>
      </c>
    </row>
    <row r="112" ht="18" customHeight="1">
      <c r="A112" s="53" t="n">
        <v>6</v>
      </c>
      <c r="B112" s="18" t="n"/>
      <c r="F112" s="55" t="n"/>
      <c r="G112" s="17">
        <f>IFERROR(SUM(F107:F112),"")</f>
        <v/>
      </c>
      <c r="H112" s="17">
        <f>IFERROR(IF(F112="","",FLOOR(G111/((IFERROR(B104,0)+IFERROR(G104,0))/(IFERROR('Getting Started'!C15,0)+IFERROR('Getting Started'!C23,0))),1)+1),"")</f>
        <v/>
      </c>
      <c r="I112" s="17">
        <f>IFERROR(IF(F112="","",CEILING(G112/((IFERROR(B104,0)+IFERROR(G104,0))/(IFERROR('Getting Started'!C15,0)+IFERROR('Getting Started'!C23,0))),1)),"")</f>
        <v/>
      </c>
      <c r="J112" s="54">
        <f>IFERROR(IF(F112="","",TEXT('Getting Started'!C10+(H112-1)*7,"MMM D")&amp;" – "&amp;TEXT('Getting Started'!C10+I112*7,"MMM D")),"")</f>
        <v/>
      </c>
    </row>
    <row r="113" ht="20" customHeight="1">
      <c r="A113" s="56">
        <f>IFERROR(IF('Course Content'!I142="","",'Course Content'!I142),"")</f>
        <v/>
      </c>
    </row>
    <row r="114" ht="8" customHeight="1"/>
    <row r="115" ht="24" customHeight="1">
      <c r="A115" s="44" t="inlineStr">
        <is>
          <t xml:space="preserve">  ART / MUSIC</t>
        </is>
      </c>
      <c r="E115" s="45">
        <f>IFERROR(IF('Course Content'!E143="","← enter on Course Content tab",'Course Content'!E143),"")</f>
        <v/>
      </c>
    </row>
    <row r="116" ht="22" customHeight="1">
      <c r="B116" s="46">
        <f>'Course Content'!G143</f>
        <v/>
      </c>
      <c r="C116" s="47">
        <f>IFERROR(IF(B116="","",ROUND(B116/'Getting Started'!C15,1)),"")</f>
        <v/>
      </c>
      <c r="D116" s="47">
        <f>IFERROR(IF(C116="","",ROUND(C116/'Getting Started'!C7,1)),"")</f>
        <v/>
      </c>
      <c r="E116" s="48">
        <f>IFERROR(IF(B116="","",TEXT('Getting Started'!C10+(B116/D116),"MMM D, YYYY")),"")</f>
        <v/>
      </c>
      <c r="F116" s="39" t="n"/>
      <c r="G116" s="49">
        <f>'Course Content'!H143</f>
        <v/>
      </c>
      <c r="H116" s="50">
        <f>IFERROR(IF(G116="","",ROUND(G116/'Getting Started'!C23,1)),"")</f>
        <v/>
      </c>
      <c r="I116" s="50">
        <f>IFERROR(IF(H116="","",ROUND(H116/'Getting Started'!C7,1)),"")</f>
        <v/>
      </c>
      <c r="J116" s="51">
        <f>IFERROR(IF(G116="","",TEXT('Getting Started'!C18+(G116/I116),"MMM D, YYYY")),"")</f>
        <v/>
      </c>
    </row>
    <row r="117" ht="16" customHeight="1">
      <c r="A117" s="52" t="inlineStr">
        <is>
          <t xml:space="preserve">  Component Breakdown  (optional — use for multi-volume curricula)</t>
        </is>
      </c>
    </row>
    <row r="118" ht="22" customHeight="1">
      <c r="A118" s="28" t="inlineStr">
        <is>
          <t>#</t>
        </is>
      </c>
      <c r="B118" s="28" t="inlineStr">
        <is>
          <t>Book / Component Title</t>
        </is>
      </c>
      <c r="F118" s="28" t="inlineStr">
        <is>
          <t>Units</t>
        </is>
      </c>
      <c r="G118" s="28" t="inlineStr">
        <is>
          <t>Cumul.</t>
        </is>
      </c>
      <c r="H118" s="28" t="inlineStr">
        <is>
          <t>Start
Week</t>
        </is>
      </c>
      <c r="I118" s="28" t="inlineStr">
        <is>
          <t>End
Week</t>
        </is>
      </c>
      <c r="J118" s="28" t="inlineStr">
        <is>
          <t>Est. Dates</t>
        </is>
      </c>
    </row>
    <row r="119" ht="18" customHeight="1">
      <c r="A119" s="53" t="n">
        <v>1</v>
      </c>
      <c r="B119" s="5" t="n"/>
      <c r="F119" s="32" t="n"/>
      <c r="G119" s="17">
        <f>IFERROR(SUM(F119:F119),"")</f>
        <v/>
      </c>
      <c r="H119" s="17">
        <f>IF(F119="","",1)</f>
        <v/>
      </c>
      <c r="I119" s="17">
        <f>IFERROR(IF(F119="","",CEILING(G119/((IFERROR(B116,0)+IFERROR(G116,0))/(IFERROR('Getting Started'!C15,0)+IFERROR('Getting Started'!C23,0))),1)),"")</f>
        <v/>
      </c>
      <c r="J119" s="54">
        <f>IFERROR(IF(F119="","",TEXT('Getting Started'!C10+(H119-1)*7,"MMM D")&amp;" – "&amp;TEXT('Getting Started'!C10+I119*7,"MMM D")),"")</f>
        <v/>
      </c>
    </row>
    <row r="120" ht="18" customHeight="1">
      <c r="A120" s="53" t="n">
        <v>2</v>
      </c>
      <c r="B120" s="18" t="n"/>
      <c r="F120" s="55" t="n"/>
      <c r="G120" s="17">
        <f>IFERROR(SUM(F119:F120),"")</f>
        <v/>
      </c>
      <c r="H120" s="17">
        <f>IFERROR(IF(F120="","",FLOOR(G119/((IFERROR(B116,0)+IFERROR(G116,0))/(IFERROR('Getting Started'!C15,0)+IFERROR('Getting Started'!C23,0))),1)+1),"")</f>
        <v/>
      </c>
      <c r="I120" s="17">
        <f>IFERROR(IF(F120="","",CEILING(G120/((IFERROR(B116,0)+IFERROR(G116,0))/(IFERROR('Getting Started'!C15,0)+IFERROR('Getting Started'!C23,0))),1)),"")</f>
        <v/>
      </c>
      <c r="J120" s="54">
        <f>IFERROR(IF(F120="","",TEXT('Getting Started'!C10+(H120-1)*7,"MMM D")&amp;" – "&amp;TEXT('Getting Started'!C10+I120*7,"MMM D")),"")</f>
        <v/>
      </c>
    </row>
    <row r="121" ht="18" customHeight="1">
      <c r="A121" s="53" t="n">
        <v>3</v>
      </c>
      <c r="B121" s="5" t="n"/>
      <c r="F121" s="32" t="n"/>
      <c r="G121" s="17">
        <f>IFERROR(SUM(F119:F121),"")</f>
        <v/>
      </c>
      <c r="H121" s="17">
        <f>IFERROR(IF(F121="","",FLOOR(G120/((IFERROR(B116,0)+IFERROR(G116,0))/(IFERROR('Getting Started'!C15,0)+IFERROR('Getting Started'!C23,0))),1)+1),"")</f>
        <v/>
      </c>
      <c r="I121" s="17">
        <f>IFERROR(IF(F121="","",CEILING(G121/((IFERROR(B116,0)+IFERROR(G116,0))/(IFERROR('Getting Started'!C15,0)+IFERROR('Getting Started'!C23,0))),1)),"")</f>
        <v/>
      </c>
      <c r="J121" s="54">
        <f>IFERROR(IF(F121="","",TEXT('Getting Started'!C10+(H121-1)*7,"MMM D")&amp;" – "&amp;TEXT('Getting Started'!C10+I121*7,"MMM D")),"")</f>
        <v/>
      </c>
    </row>
    <row r="122" ht="18" customHeight="1">
      <c r="A122" s="53" t="n">
        <v>4</v>
      </c>
      <c r="B122" s="18" t="n"/>
      <c r="F122" s="55" t="n"/>
      <c r="G122" s="17">
        <f>IFERROR(SUM(F119:F122),"")</f>
        <v/>
      </c>
      <c r="H122" s="17">
        <f>IFERROR(IF(F122="","",FLOOR(G121/((IFERROR(B116,0)+IFERROR(G116,0))/(IFERROR('Getting Started'!C15,0)+IFERROR('Getting Started'!C23,0))),1)+1),"")</f>
        <v/>
      </c>
      <c r="I122" s="17">
        <f>IFERROR(IF(F122="","",CEILING(G122/((IFERROR(B116,0)+IFERROR(G116,0))/(IFERROR('Getting Started'!C15,0)+IFERROR('Getting Started'!C23,0))),1)),"")</f>
        <v/>
      </c>
      <c r="J122" s="54">
        <f>IFERROR(IF(F122="","",TEXT('Getting Started'!C10+(H122-1)*7,"MMM D")&amp;" – "&amp;TEXT('Getting Started'!C10+I122*7,"MMM D")),"")</f>
        <v/>
      </c>
    </row>
    <row r="123" ht="18" customHeight="1">
      <c r="A123" s="53" t="n">
        <v>5</v>
      </c>
      <c r="B123" s="5" t="n"/>
      <c r="F123" s="32" t="n"/>
      <c r="G123" s="17">
        <f>IFERROR(SUM(F119:F123),"")</f>
        <v/>
      </c>
      <c r="H123" s="17">
        <f>IFERROR(IF(F123="","",FLOOR(G122/((IFERROR(B116,0)+IFERROR(G116,0))/(IFERROR('Getting Started'!C15,0)+IFERROR('Getting Started'!C23,0))),1)+1),"")</f>
        <v/>
      </c>
      <c r="I123" s="17">
        <f>IFERROR(IF(F123="","",CEILING(G123/((IFERROR(B116,0)+IFERROR(G116,0))/(IFERROR('Getting Started'!C15,0)+IFERROR('Getting Started'!C23,0))),1)),"")</f>
        <v/>
      </c>
      <c r="J123" s="54">
        <f>IFERROR(IF(F123="","",TEXT('Getting Started'!C10+(H123-1)*7,"MMM D")&amp;" – "&amp;TEXT('Getting Started'!C10+I123*7,"MMM D")),"")</f>
        <v/>
      </c>
    </row>
    <row r="124" ht="18" customHeight="1">
      <c r="A124" s="53" t="n">
        <v>6</v>
      </c>
      <c r="B124" s="18" t="n"/>
      <c r="F124" s="55" t="n"/>
      <c r="G124" s="17">
        <f>IFERROR(SUM(F119:F124),"")</f>
        <v/>
      </c>
      <c r="H124" s="17">
        <f>IFERROR(IF(F124="","",FLOOR(G123/((IFERROR(B116,0)+IFERROR(G116,0))/(IFERROR('Getting Started'!C15,0)+IFERROR('Getting Started'!C23,0))),1)+1),"")</f>
        <v/>
      </c>
      <c r="I124" s="17">
        <f>IFERROR(IF(F124="","",CEILING(G124/((IFERROR(B116,0)+IFERROR(G116,0))/(IFERROR('Getting Started'!C15,0)+IFERROR('Getting Started'!C23,0))),1)),"")</f>
        <v/>
      </c>
      <c r="J124" s="54">
        <f>IFERROR(IF(F124="","",TEXT('Getting Started'!C10+(H124-1)*7,"MMM D")&amp;" – "&amp;TEXT('Getting Started'!C10+I124*7,"MMM D")),"")</f>
        <v/>
      </c>
    </row>
    <row r="125" ht="20" customHeight="1">
      <c r="A125" s="56">
        <f>IFERROR(IF('Course Content'!I143="","",'Course Content'!I143),"")</f>
        <v/>
      </c>
    </row>
    <row r="126" ht="8" customHeight="1"/>
    <row r="127" ht="24" customHeight="1">
      <c r="A127" s="44">
        <f>IF('Course Content'!D144="","  ELECTIVE / OTHER 1","  "&amp;UPPER('Course Content'!D144))</f>
        <v/>
      </c>
      <c r="E127" s="45">
        <f>IFERROR(IF('Course Content'!E144="","← enter on Course Content tab",'Course Content'!E144),"")</f>
        <v/>
      </c>
    </row>
    <row r="128" ht="22" customHeight="1">
      <c r="B128" s="46">
        <f>'Course Content'!G144</f>
        <v/>
      </c>
      <c r="C128" s="47">
        <f>IFERROR(IF(B128="","",ROUND(B128/'Getting Started'!C15,1)),"")</f>
        <v/>
      </c>
      <c r="D128" s="47">
        <f>IFERROR(IF(C128="","",ROUND(C128/'Getting Started'!C7,1)),"")</f>
        <v/>
      </c>
      <c r="E128" s="48">
        <f>IFERROR(IF(B128="","",TEXT('Getting Started'!C10+(B128/D128),"MMM D, YYYY")),"")</f>
        <v/>
      </c>
      <c r="F128" s="39" t="n"/>
      <c r="G128" s="49">
        <f>'Course Content'!H144</f>
        <v/>
      </c>
      <c r="H128" s="50">
        <f>IFERROR(IF(G128="","",ROUND(G128/'Getting Started'!C23,1)),"")</f>
        <v/>
      </c>
      <c r="I128" s="50">
        <f>IFERROR(IF(H128="","",ROUND(H128/'Getting Started'!C7,1)),"")</f>
        <v/>
      </c>
      <c r="J128" s="51">
        <f>IFERROR(IF(G128="","",TEXT('Getting Started'!C18+(G128/I128),"MMM D, YYYY")),"")</f>
        <v/>
      </c>
    </row>
    <row r="129" ht="16" customHeight="1">
      <c r="A129" s="52" t="inlineStr">
        <is>
          <t xml:space="preserve">  Component Breakdown  (optional — use for multi-volume curricula)</t>
        </is>
      </c>
    </row>
    <row r="130" ht="22" customHeight="1">
      <c r="A130" s="28" t="inlineStr">
        <is>
          <t>#</t>
        </is>
      </c>
      <c r="B130" s="28" t="inlineStr">
        <is>
          <t>Book / Component Title</t>
        </is>
      </c>
      <c r="F130" s="28" t="inlineStr">
        <is>
          <t>Units</t>
        </is>
      </c>
      <c r="G130" s="28" t="inlineStr">
        <is>
          <t>Cumul.</t>
        </is>
      </c>
      <c r="H130" s="28" t="inlineStr">
        <is>
          <t>Start
Week</t>
        </is>
      </c>
      <c r="I130" s="28" t="inlineStr">
        <is>
          <t>End
Week</t>
        </is>
      </c>
      <c r="J130" s="28" t="inlineStr">
        <is>
          <t>Est. Dates</t>
        </is>
      </c>
    </row>
    <row r="131" ht="18" customHeight="1">
      <c r="A131" s="53" t="n">
        <v>1</v>
      </c>
      <c r="B131" s="5" t="n"/>
      <c r="F131" s="32" t="n"/>
      <c r="G131" s="17">
        <f>IFERROR(SUM(F131:F131),"")</f>
        <v/>
      </c>
      <c r="H131" s="17">
        <f>IF(F131="","",1)</f>
        <v/>
      </c>
      <c r="I131" s="17">
        <f>IFERROR(IF(F131="","",CEILING(G131/((IFERROR(B128,0)+IFERROR(G128,0))/(IFERROR('Getting Started'!C15,0)+IFERROR('Getting Started'!C23,0))),1)),"")</f>
        <v/>
      </c>
      <c r="J131" s="54">
        <f>IFERROR(IF(F131="","",TEXT('Getting Started'!C10+(H131-1)*7,"MMM D")&amp;" – "&amp;TEXT('Getting Started'!C10+I131*7,"MMM D")),"")</f>
        <v/>
      </c>
    </row>
    <row r="132" ht="18" customHeight="1">
      <c r="A132" s="53" t="n">
        <v>2</v>
      </c>
      <c r="B132" s="18" t="n"/>
      <c r="F132" s="55" t="n"/>
      <c r="G132" s="17">
        <f>IFERROR(SUM(F131:F132),"")</f>
        <v/>
      </c>
      <c r="H132" s="17">
        <f>IFERROR(IF(F132="","",FLOOR(G131/((IFERROR(B128,0)+IFERROR(G128,0))/(IFERROR('Getting Started'!C15,0)+IFERROR('Getting Started'!C23,0))),1)+1),"")</f>
        <v/>
      </c>
      <c r="I132" s="17">
        <f>IFERROR(IF(F132="","",CEILING(G132/((IFERROR(B128,0)+IFERROR(G128,0))/(IFERROR('Getting Started'!C15,0)+IFERROR('Getting Started'!C23,0))),1)),"")</f>
        <v/>
      </c>
      <c r="J132" s="54">
        <f>IFERROR(IF(F132="","",TEXT('Getting Started'!C10+(H132-1)*7,"MMM D")&amp;" – "&amp;TEXT('Getting Started'!C10+I132*7,"MMM D")),"")</f>
        <v/>
      </c>
    </row>
    <row r="133" ht="18" customHeight="1">
      <c r="A133" s="53" t="n">
        <v>3</v>
      </c>
      <c r="B133" s="5" t="n"/>
      <c r="F133" s="32" t="n"/>
      <c r="G133" s="17">
        <f>IFERROR(SUM(F131:F133),"")</f>
        <v/>
      </c>
      <c r="H133" s="17">
        <f>IFERROR(IF(F133="","",FLOOR(G132/((IFERROR(B128,0)+IFERROR(G128,0))/(IFERROR('Getting Started'!C15,0)+IFERROR('Getting Started'!C23,0))),1)+1),"")</f>
        <v/>
      </c>
      <c r="I133" s="17">
        <f>IFERROR(IF(F133="","",CEILING(G133/((IFERROR(B128,0)+IFERROR(G128,0))/(IFERROR('Getting Started'!C15,0)+IFERROR('Getting Started'!C23,0))),1)),"")</f>
        <v/>
      </c>
      <c r="J133" s="54">
        <f>IFERROR(IF(F133="","",TEXT('Getting Started'!C10+(H133-1)*7,"MMM D")&amp;" – "&amp;TEXT('Getting Started'!C10+I133*7,"MMM D")),"")</f>
        <v/>
      </c>
    </row>
    <row r="134" ht="18" customHeight="1">
      <c r="A134" s="53" t="n">
        <v>4</v>
      </c>
      <c r="B134" s="18" t="n"/>
      <c r="F134" s="55" t="n"/>
      <c r="G134" s="17">
        <f>IFERROR(SUM(F131:F134),"")</f>
        <v/>
      </c>
      <c r="H134" s="17">
        <f>IFERROR(IF(F134="","",FLOOR(G133/((IFERROR(B128,0)+IFERROR(G128,0))/(IFERROR('Getting Started'!C15,0)+IFERROR('Getting Started'!C23,0))),1)+1),"")</f>
        <v/>
      </c>
      <c r="I134" s="17">
        <f>IFERROR(IF(F134="","",CEILING(G134/((IFERROR(B128,0)+IFERROR(G128,0))/(IFERROR('Getting Started'!C15,0)+IFERROR('Getting Started'!C23,0))),1)),"")</f>
        <v/>
      </c>
      <c r="J134" s="54">
        <f>IFERROR(IF(F134="","",TEXT('Getting Started'!C10+(H134-1)*7,"MMM D")&amp;" – "&amp;TEXT('Getting Started'!C10+I134*7,"MMM D")),"")</f>
        <v/>
      </c>
    </row>
    <row r="135" ht="18" customHeight="1">
      <c r="A135" s="53" t="n">
        <v>5</v>
      </c>
      <c r="B135" s="5" t="n"/>
      <c r="F135" s="32" t="n"/>
      <c r="G135" s="17">
        <f>IFERROR(SUM(F131:F135),"")</f>
        <v/>
      </c>
      <c r="H135" s="17">
        <f>IFERROR(IF(F135="","",FLOOR(G134/((IFERROR(B128,0)+IFERROR(G128,0))/(IFERROR('Getting Started'!C15,0)+IFERROR('Getting Started'!C23,0))),1)+1),"")</f>
        <v/>
      </c>
      <c r="I135" s="17">
        <f>IFERROR(IF(F135="","",CEILING(G135/((IFERROR(B128,0)+IFERROR(G128,0))/(IFERROR('Getting Started'!C15,0)+IFERROR('Getting Started'!C23,0))),1)),"")</f>
        <v/>
      </c>
      <c r="J135" s="54">
        <f>IFERROR(IF(F135="","",TEXT('Getting Started'!C10+(H135-1)*7,"MMM D")&amp;" – "&amp;TEXT('Getting Started'!C10+I135*7,"MMM D")),"")</f>
        <v/>
      </c>
    </row>
    <row r="136" ht="18" customHeight="1">
      <c r="A136" s="53" t="n">
        <v>6</v>
      </c>
      <c r="B136" s="18" t="n"/>
      <c r="F136" s="55" t="n"/>
      <c r="G136" s="17">
        <f>IFERROR(SUM(F131:F136),"")</f>
        <v/>
      </c>
      <c r="H136" s="17">
        <f>IFERROR(IF(F136="","",FLOOR(G135/((IFERROR(B128,0)+IFERROR(G128,0))/(IFERROR('Getting Started'!C15,0)+IFERROR('Getting Started'!C23,0))),1)+1),"")</f>
        <v/>
      </c>
      <c r="I136" s="17">
        <f>IFERROR(IF(F136="","",CEILING(G136/((IFERROR(B128,0)+IFERROR(G128,0))/(IFERROR('Getting Started'!C15,0)+IFERROR('Getting Started'!C23,0))),1)),"")</f>
        <v/>
      </c>
      <c r="J136" s="54">
        <f>IFERROR(IF(F136="","",TEXT('Getting Started'!C10+(H136-1)*7,"MMM D")&amp;" – "&amp;TEXT('Getting Started'!C10+I136*7,"MMM D")),"")</f>
        <v/>
      </c>
    </row>
    <row r="137" ht="20" customHeight="1">
      <c r="A137" s="56">
        <f>IFERROR(IF('Course Content'!I144="","",'Course Content'!I144),"")</f>
        <v/>
      </c>
    </row>
    <row r="138" ht="8" customHeight="1"/>
    <row r="139" ht="24" customHeight="1">
      <c r="A139" s="44">
        <f>IF('Course Content'!D145="","  ELECTIVE / OTHER 2","  "&amp;UPPER('Course Content'!D145))</f>
        <v/>
      </c>
      <c r="E139" s="45">
        <f>IFERROR(IF('Course Content'!E145="","← enter on Course Content tab",'Course Content'!E145),"")</f>
        <v/>
      </c>
    </row>
    <row r="140" ht="22" customHeight="1">
      <c r="B140" s="46">
        <f>'Course Content'!G145</f>
        <v/>
      </c>
      <c r="C140" s="47">
        <f>IFERROR(IF(B140="","",ROUND(B140/'Getting Started'!C15,1)),"")</f>
        <v/>
      </c>
      <c r="D140" s="47">
        <f>IFERROR(IF(C140="","",ROUND(C140/'Getting Started'!C7,1)),"")</f>
        <v/>
      </c>
      <c r="E140" s="48">
        <f>IFERROR(IF(B140="","",TEXT('Getting Started'!C10+(B140/D140),"MMM D, YYYY")),"")</f>
        <v/>
      </c>
      <c r="F140" s="39" t="n"/>
      <c r="G140" s="49">
        <f>'Course Content'!H145</f>
        <v/>
      </c>
      <c r="H140" s="50">
        <f>IFERROR(IF(G140="","",ROUND(G140/'Getting Started'!C23,1)),"")</f>
        <v/>
      </c>
      <c r="I140" s="50">
        <f>IFERROR(IF(H140="","",ROUND(H140/'Getting Started'!C7,1)),"")</f>
        <v/>
      </c>
      <c r="J140" s="51">
        <f>IFERROR(IF(G140="","",TEXT('Getting Started'!C18+(G140/I140),"MMM D, YYYY")),"")</f>
        <v/>
      </c>
    </row>
    <row r="141" ht="16" customHeight="1">
      <c r="A141" s="52" t="inlineStr">
        <is>
          <t xml:space="preserve">  Component Breakdown  (optional — use for multi-volume curricula)</t>
        </is>
      </c>
    </row>
    <row r="142" ht="22" customHeight="1">
      <c r="A142" s="28" t="inlineStr">
        <is>
          <t>#</t>
        </is>
      </c>
      <c r="B142" s="28" t="inlineStr">
        <is>
          <t>Book / Component Title</t>
        </is>
      </c>
      <c r="F142" s="28" t="inlineStr">
        <is>
          <t>Units</t>
        </is>
      </c>
      <c r="G142" s="28" t="inlineStr">
        <is>
          <t>Cumul.</t>
        </is>
      </c>
      <c r="H142" s="28" t="inlineStr">
        <is>
          <t>Start
Week</t>
        </is>
      </c>
      <c r="I142" s="28" t="inlineStr">
        <is>
          <t>End
Week</t>
        </is>
      </c>
      <c r="J142" s="28" t="inlineStr">
        <is>
          <t>Est. Dates</t>
        </is>
      </c>
    </row>
    <row r="143" ht="18" customHeight="1">
      <c r="A143" s="53" t="n">
        <v>1</v>
      </c>
      <c r="B143" s="5" t="n"/>
      <c r="F143" s="32" t="n"/>
      <c r="G143" s="17">
        <f>IFERROR(SUM(F143:F143),"")</f>
        <v/>
      </c>
      <c r="H143" s="17">
        <f>IF(F143="","",1)</f>
        <v/>
      </c>
      <c r="I143" s="17">
        <f>IFERROR(IF(F143="","",CEILING(G143/((IFERROR(B140,0)+IFERROR(G140,0))/(IFERROR('Getting Started'!C15,0)+IFERROR('Getting Started'!C23,0))),1)),"")</f>
        <v/>
      </c>
      <c r="J143" s="54">
        <f>IFERROR(IF(F143="","",TEXT('Getting Started'!C10+(H143-1)*7,"MMM D")&amp;" – "&amp;TEXT('Getting Started'!C10+I143*7,"MMM D")),"")</f>
        <v/>
      </c>
    </row>
    <row r="144" ht="18" customHeight="1">
      <c r="A144" s="53" t="n">
        <v>2</v>
      </c>
      <c r="B144" s="18" t="n"/>
      <c r="F144" s="55" t="n"/>
      <c r="G144" s="17">
        <f>IFERROR(SUM(F143:F144),"")</f>
        <v/>
      </c>
      <c r="H144" s="17">
        <f>IFERROR(IF(F144="","",FLOOR(G143/((IFERROR(B140,0)+IFERROR(G140,0))/(IFERROR('Getting Started'!C15,0)+IFERROR('Getting Started'!C23,0))),1)+1),"")</f>
        <v/>
      </c>
      <c r="I144" s="17">
        <f>IFERROR(IF(F144="","",CEILING(G144/((IFERROR(B140,0)+IFERROR(G140,0))/(IFERROR('Getting Started'!C15,0)+IFERROR('Getting Started'!C23,0))),1)),"")</f>
        <v/>
      </c>
      <c r="J144" s="54">
        <f>IFERROR(IF(F144="","",TEXT('Getting Started'!C10+(H144-1)*7,"MMM D")&amp;" – "&amp;TEXT('Getting Started'!C10+I144*7,"MMM D")),"")</f>
        <v/>
      </c>
    </row>
    <row r="145" ht="18" customHeight="1">
      <c r="A145" s="53" t="n">
        <v>3</v>
      </c>
      <c r="B145" s="5" t="n"/>
      <c r="F145" s="32" t="n"/>
      <c r="G145" s="17">
        <f>IFERROR(SUM(F143:F145),"")</f>
        <v/>
      </c>
      <c r="H145" s="17">
        <f>IFERROR(IF(F145="","",FLOOR(G144/((IFERROR(B140,0)+IFERROR(G140,0))/(IFERROR('Getting Started'!C15,0)+IFERROR('Getting Started'!C23,0))),1)+1),"")</f>
        <v/>
      </c>
      <c r="I145" s="17">
        <f>IFERROR(IF(F145="","",CEILING(G145/((IFERROR(B140,0)+IFERROR(G140,0))/(IFERROR('Getting Started'!C15,0)+IFERROR('Getting Started'!C23,0))),1)),"")</f>
        <v/>
      </c>
      <c r="J145" s="54">
        <f>IFERROR(IF(F145="","",TEXT('Getting Started'!C10+(H145-1)*7,"MMM D")&amp;" – "&amp;TEXT('Getting Started'!C10+I145*7,"MMM D")),"")</f>
        <v/>
      </c>
    </row>
    <row r="146" ht="18" customHeight="1">
      <c r="A146" s="53" t="n">
        <v>4</v>
      </c>
      <c r="B146" s="18" t="n"/>
      <c r="F146" s="55" t="n"/>
      <c r="G146" s="17">
        <f>IFERROR(SUM(F143:F146),"")</f>
        <v/>
      </c>
      <c r="H146" s="17">
        <f>IFERROR(IF(F146="","",FLOOR(G145/((IFERROR(B140,0)+IFERROR(G140,0))/(IFERROR('Getting Started'!C15,0)+IFERROR('Getting Started'!C23,0))),1)+1),"")</f>
        <v/>
      </c>
      <c r="I146" s="17">
        <f>IFERROR(IF(F146="","",CEILING(G146/((IFERROR(B140,0)+IFERROR(G140,0))/(IFERROR('Getting Started'!C15,0)+IFERROR('Getting Started'!C23,0))),1)),"")</f>
        <v/>
      </c>
      <c r="J146" s="54">
        <f>IFERROR(IF(F146="","",TEXT('Getting Started'!C10+(H146-1)*7,"MMM D")&amp;" – "&amp;TEXT('Getting Started'!C10+I146*7,"MMM D")),"")</f>
        <v/>
      </c>
    </row>
    <row r="147" ht="18" customHeight="1">
      <c r="A147" s="53" t="n">
        <v>5</v>
      </c>
      <c r="B147" s="5" t="n"/>
      <c r="F147" s="32" t="n"/>
      <c r="G147" s="17">
        <f>IFERROR(SUM(F143:F147),"")</f>
        <v/>
      </c>
      <c r="H147" s="17">
        <f>IFERROR(IF(F147="","",FLOOR(G146/((IFERROR(B140,0)+IFERROR(G140,0))/(IFERROR('Getting Started'!C15,0)+IFERROR('Getting Started'!C23,0))),1)+1),"")</f>
        <v/>
      </c>
      <c r="I147" s="17">
        <f>IFERROR(IF(F147="","",CEILING(G147/((IFERROR(B140,0)+IFERROR(G140,0))/(IFERROR('Getting Started'!C15,0)+IFERROR('Getting Started'!C23,0))),1)),"")</f>
        <v/>
      </c>
      <c r="J147" s="54">
        <f>IFERROR(IF(F147="","",TEXT('Getting Started'!C10+(H147-1)*7,"MMM D")&amp;" – "&amp;TEXT('Getting Started'!C10+I147*7,"MMM D")),"")</f>
        <v/>
      </c>
    </row>
    <row r="148" ht="18" customHeight="1">
      <c r="A148" s="53" t="n">
        <v>6</v>
      </c>
      <c r="B148" s="18" t="n"/>
      <c r="F148" s="55" t="n"/>
      <c r="G148" s="17">
        <f>IFERROR(SUM(F143:F148),"")</f>
        <v/>
      </c>
      <c r="H148" s="17">
        <f>IFERROR(IF(F148="","",FLOOR(G147/((IFERROR(B140,0)+IFERROR(G140,0))/(IFERROR('Getting Started'!C15,0)+IFERROR('Getting Started'!C23,0))),1)+1),"")</f>
        <v/>
      </c>
      <c r="I148" s="17">
        <f>IFERROR(IF(F148="","",CEILING(G148/((IFERROR(B140,0)+IFERROR(G140,0))/(IFERROR('Getting Started'!C15,0)+IFERROR('Getting Started'!C23,0))),1)),"")</f>
        <v/>
      </c>
      <c r="J148" s="54">
        <f>IFERROR(IF(F148="","",TEXT('Getting Started'!C10+(H148-1)*7,"MMM D")&amp;" – "&amp;TEXT('Getting Started'!C10+I148*7,"MMM D")),"")</f>
        <v/>
      </c>
    </row>
    <row r="149" ht="20" customHeight="1">
      <c r="A149" s="56">
        <f>IFERROR(IF('Course Content'!I145="","",'Course Content'!I145),"")</f>
        <v/>
      </c>
    </row>
    <row r="150" ht="8" customHeight="1"/>
    <row r="151" ht="24" customHeight="1">
      <c r="A151" s="44">
        <f>IF('Course Content'!D146="","  ELECTIVE / OTHER 3","  "&amp;UPPER('Course Content'!D146))</f>
        <v/>
      </c>
      <c r="E151" s="45">
        <f>IFERROR(IF('Course Content'!E146="","← enter on Course Content tab",'Course Content'!E146),"")</f>
        <v/>
      </c>
    </row>
    <row r="152" ht="22" customHeight="1">
      <c r="B152" s="46">
        <f>'Course Content'!G146</f>
        <v/>
      </c>
      <c r="C152" s="47">
        <f>IFERROR(IF(B152="","",ROUND(B152/'Getting Started'!C15,1)),"")</f>
        <v/>
      </c>
      <c r="D152" s="47">
        <f>IFERROR(IF(C152="","",ROUND(C152/'Getting Started'!C7,1)),"")</f>
        <v/>
      </c>
      <c r="E152" s="48">
        <f>IFERROR(IF(B152="","",TEXT('Getting Started'!C10+(B152/D152),"MMM D, YYYY")),"")</f>
        <v/>
      </c>
      <c r="F152" s="39" t="n"/>
      <c r="G152" s="49">
        <f>'Course Content'!H146</f>
        <v/>
      </c>
      <c r="H152" s="50">
        <f>IFERROR(IF(G152="","",ROUND(G152/'Getting Started'!C23,1)),"")</f>
        <v/>
      </c>
      <c r="I152" s="50">
        <f>IFERROR(IF(H152="","",ROUND(H152/'Getting Started'!C7,1)),"")</f>
        <v/>
      </c>
      <c r="J152" s="51">
        <f>IFERROR(IF(G152="","",TEXT('Getting Started'!C18+(G152/I152),"MMM D, YYYY")),"")</f>
        <v/>
      </c>
    </row>
    <row r="153" ht="16" customHeight="1">
      <c r="A153" s="52" t="inlineStr">
        <is>
          <t xml:space="preserve">  Component Breakdown  (optional — use for multi-volume curricula)</t>
        </is>
      </c>
    </row>
    <row r="154" ht="22" customHeight="1">
      <c r="A154" s="28" t="inlineStr">
        <is>
          <t>#</t>
        </is>
      </c>
      <c r="B154" s="28" t="inlineStr">
        <is>
          <t>Book / Component Title</t>
        </is>
      </c>
      <c r="F154" s="28" t="inlineStr">
        <is>
          <t>Units</t>
        </is>
      </c>
      <c r="G154" s="28" t="inlineStr">
        <is>
          <t>Cumul.</t>
        </is>
      </c>
      <c r="H154" s="28" t="inlineStr">
        <is>
          <t>Start
Week</t>
        </is>
      </c>
      <c r="I154" s="28" t="inlineStr">
        <is>
          <t>End
Week</t>
        </is>
      </c>
      <c r="J154" s="28" t="inlineStr">
        <is>
          <t>Est. Dates</t>
        </is>
      </c>
    </row>
    <row r="155" ht="18" customHeight="1">
      <c r="A155" s="53" t="n">
        <v>1</v>
      </c>
      <c r="B155" s="5" t="n"/>
      <c r="F155" s="32" t="n"/>
      <c r="G155" s="17">
        <f>IFERROR(SUM(F155:F155),"")</f>
        <v/>
      </c>
      <c r="H155" s="17">
        <f>IF(F155="","",1)</f>
        <v/>
      </c>
      <c r="I155" s="17">
        <f>IFERROR(IF(F155="","",CEILING(G155/((IFERROR(B152,0)+IFERROR(G152,0))/(IFERROR('Getting Started'!C15,0)+IFERROR('Getting Started'!C23,0))),1)),"")</f>
        <v/>
      </c>
      <c r="J155" s="54">
        <f>IFERROR(IF(F155="","",TEXT('Getting Started'!C10+(H155-1)*7,"MMM D")&amp;" – "&amp;TEXT('Getting Started'!C10+I155*7,"MMM D")),"")</f>
        <v/>
      </c>
    </row>
    <row r="156" ht="18" customHeight="1">
      <c r="A156" s="53" t="n">
        <v>2</v>
      </c>
      <c r="B156" s="18" t="n"/>
      <c r="F156" s="55" t="n"/>
      <c r="G156" s="17">
        <f>IFERROR(SUM(F155:F156),"")</f>
        <v/>
      </c>
      <c r="H156" s="17">
        <f>IFERROR(IF(F156="","",FLOOR(G155/((IFERROR(B152,0)+IFERROR(G152,0))/(IFERROR('Getting Started'!C15,0)+IFERROR('Getting Started'!C23,0))),1)+1),"")</f>
        <v/>
      </c>
      <c r="I156" s="17">
        <f>IFERROR(IF(F156="","",CEILING(G156/((IFERROR(B152,0)+IFERROR(G152,0))/(IFERROR('Getting Started'!C15,0)+IFERROR('Getting Started'!C23,0))),1)),"")</f>
        <v/>
      </c>
      <c r="J156" s="54">
        <f>IFERROR(IF(F156="","",TEXT('Getting Started'!C10+(H156-1)*7,"MMM D")&amp;" – "&amp;TEXT('Getting Started'!C10+I156*7,"MMM D")),"")</f>
        <v/>
      </c>
    </row>
    <row r="157" ht="18" customHeight="1">
      <c r="A157" s="53" t="n">
        <v>3</v>
      </c>
      <c r="B157" s="5" t="n"/>
      <c r="F157" s="32" t="n"/>
      <c r="G157" s="17">
        <f>IFERROR(SUM(F155:F157),"")</f>
        <v/>
      </c>
      <c r="H157" s="17">
        <f>IFERROR(IF(F157="","",FLOOR(G156/((IFERROR(B152,0)+IFERROR(G152,0))/(IFERROR('Getting Started'!C15,0)+IFERROR('Getting Started'!C23,0))),1)+1),"")</f>
        <v/>
      </c>
      <c r="I157" s="17">
        <f>IFERROR(IF(F157="","",CEILING(G157/((IFERROR(B152,0)+IFERROR(G152,0))/(IFERROR('Getting Started'!C15,0)+IFERROR('Getting Started'!C23,0))),1)),"")</f>
        <v/>
      </c>
      <c r="J157" s="54">
        <f>IFERROR(IF(F157="","",TEXT('Getting Started'!C10+(H157-1)*7,"MMM D")&amp;" – "&amp;TEXT('Getting Started'!C10+I157*7,"MMM D")),"")</f>
        <v/>
      </c>
    </row>
    <row r="158" ht="18" customHeight="1">
      <c r="A158" s="53" t="n">
        <v>4</v>
      </c>
      <c r="B158" s="18" t="n"/>
      <c r="F158" s="55" t="n"/>
      <c r="G158" s="17">
        <f>IFERROR(SUM(F155:F158),"")</f>
        <v/>
      </c>
      <c r="H158" s="17">
        <f>IFERROR(IF(F158="","",FLOOR(G157/((IFERROR(B152,0)+IFERROR(G152,0))/(IFERROR('Getting Started'!C15,0)+IFERROR('Getting Started'!C23,0))),1)+1),"")</f>
        <v/>
      </c>
      <c r="I158" s="17">
        <f>IFERROR(IF(F158="","",CEILING(G158/((IFERROR(B152,0)+IFERROR(G152,0))/(IFERROR('Getting Started'!C15,0)+IFERROR('Getting Started'!C23,0))),1)),"")</f>
        <v/>
      </c>
      <c r="J158" s="54">
        <f>IFERROR(IF(F158="","",TEXT('Getting Started'!C10+(H158-1)*7,"MMM D")&amp;" – "&amp;TEXT('Getting Started'!C10+I158*7,"MMM D")),"")</f>
        <v/>
      </c>
    </row>
    <row r="159" ht="18" customHeight="1">
      <c r="A159" s="53" t="n">
        <v>5</v>
      </c>
      <c r="B159" s="5" t="n"/>
      <c r="F159" s="32" t="n"/>
      <c r="G159" s="17">
        <f>IFERROR(SUM(F155:F159),"")</f>
        <v/>
      </c>
      <c r="H159" s="17">
        <f>IFERROR(IF(F159="","",FLOOR(G158/((IFERROR(B152,0)+IFERROR(G152,0))/(IFERROR('Getting Started'!C15,0)+IFERROR('Getting Started'!C23,0))),1)+1),"")</f>
        <v/>
      </c>
      <c r="I159" s="17">
        <f>IFERROR(IF(F159="","",CEILING(G159/((IFERROR(B152,0)+IFERROR(G152,0))/(IFERROR('Getting Started'!C15,0)+IFERROR('Getting Started'!C23,0))),1)),"")</f>
        <v/>
      </c>
      <c r="J159" s="54">
        <f>IFERROR(IF(F159="","",TEXT('Getting Started'!C10+(H159-1)*7,"MMM D")&amp;" – "&amp;TEXT('Getting Started'!C10+I159*7,"MMM D")),"")</f>
        <v/>
      </c>
    </row>
    <row r="160" ht="18" customHeight="1">
      <c r="A160" s="53" t="n">
        <v>6</v>
      </c>
      <c r="B160" s="18" t="n"/>
      <c r="F160" s="55" t="n"/>
      <c r="G160" s="17">
        <f>IFERROR(SUM(F155:F160),"")</f>
        <v/>
      </c>
      <c r="H160" s="17">
        <f>IFERROR(IF(F160="","",FLOOR(G159/((IFERROR(B152,0)+IFERROR(G152,0))/(IFERROR('Getting Started'!C15,0)+IFERROR('Getting Started'!C23,0))),1)+1),"")</f>
        <v/>
      </c>
      <c r="I160" s="17">
        <f>IFERROR(IF(F160="","",CEILING(G160/((IFERROR(B152,0)+IFERROR(G152,0))/(IFERROR('Getting Started'!C15,0)+IFERROR('Getting Started'!C23,0))),1)),"")</f>
        <v/>
      </c>
      <c r="J160" s="54">
        <f>IFERROR(IF(F160="","",TEXT('Getting Started'!C10+(H160-1)*7,"MMM D")&amp;" – "&amp;TEXT('Getting Started'!C10+I160*7,"MMM D")),"")</f>
        <v/>
      </c>
    </row>
    <row r="161" ht="20" customHeight="1">
      <c r="A161" s="56">
        <f>IFERROR(IF('Course Content'!I146="","",'Course Content'!I146),"")</f>
        <v/>
      </c>
    </row>
    <row r="162" ht="8" customHeight="1"/>
    <row r="163" ht="24" customHeight="1">
      <c r="A163" s="44">
        <f>IF('Course Content'!D147="","  ELECTIVE / OTHER 4","  "&amp;UPPER('Course Content'!D147))</f>
        <v/>
      </c>
      <c r="E163" s="45">
        <f>IFERROR(IF('Course Content'!E147="","← enter on Course Content tab",'Course Content'!E147),"")</f>
        <v/>
      </c>
    </row>
    <row r="164" ht="22" customHeight="1">
      <c r="B164" s="46">
        <f>'Course Content'!G147</f>
        <v/>
      </c>
      <c r="C164" s="47">
        <f>IFERROR(IF(B164="","",ROUND(B164/'Getting Started'!C15,1)),"")</f>
        <v/>
      </c>
      <c r="D164" s="47">
        <f>IFERROR(IF(C164="","",ROUND(C164/'Getting Started'!C7,1)),"")</f>
        <v/>
      </c>
      <c r="E164" s="48">
        <f>IFERROR(IF(B164="","",TEXT('Getting Started'!C10+(B164/D164),"MMM D, YYYY")),"")</f>
        <v/>
      </c>
      <c r="F164" s="39" t="n"/>
      <c r="G164" s="49">
        <f>'Course Content'!H147</f>
        <v/>
      </c>
      <c r="H164" s="50">
        <f>IFERROR(IF(G164="","",ROUND(G164/'Getting Started'!C23,1)),"")</f>
        <v/>
      </c>
      <c r="I164" s="50">
        <f>IFERROR(IF(H164="","",ROUND(H164/'Getting Started'!C7,1)),"")</f>
        <v/>
      </c>
      <c r="J164" s="51">
        <f>IFERROR(IF(G164="","",TEXT('Getting Started'!C18+(G164/I164),"MMM D, YYYY")),"")</f>
        <v/>
      </c>
    </row>
    <row r="165" ht="16" customHeight="1">
      <c r="A165" s="52" t="inlineStr">
        <is>
          <t xml:space="preserve">  Component Breakdown  (optional — use for multi-volume curricula)</t>
        </is>
      </c>
    </row>
    <row r="166" ht="22" customHeight="1">
      <c r="A166" s="28" t="inlineStr">
        <is>
          <t>#</t>
        </is>
      </c>
      <c r="B166" s="28" t="inlineStr">
        <is>
          <t>Book / Component Title</t>
        </is>
      </c>
      <c r="F166" s="28" t="inlineStr">
        <is>
          <t>Units</t>
        </is>
      </c>
      <c r="G166" s="28" t="inlineStr">
        <is>
          <t>Cumul.</t>
        </is>
      </c>
      <c r="H166" s="28" t="inlineStr">
        <is>
          <t>Start
Week</t>
        </is>
      </c>
      <c r="I166" s="28" t="inlineStr">
        <is>
          <t>End
Week</t>
        </is>
      </c>
      <c r="J166" s="28" t="inlineStr">
        <is>
          <t>Est. Dates</t>
        </is>
      </c>
    </row>
    <row r="167" ht="18" customHeight="1">
      <c r="A167" s="53" t="n">
        <v>1</v>
      </c>
      <c r="B167" s="5" t="n"/>
      <c r="F167" s="32" t="n"/>
      <c r="G167" s="17">
        <f>IFERROR(SUM(F167:F167),"")</f>
        <v/>
      </c>
      <c r="H167" s="17">
        <f>IF(F167="","",1)</f>
        <v/>
      </c>
      <c r="I167" s="17">
        <f>IFERROR(IF(F167="","",CEILING(G167/((IFERROR(B164,0)+IFERROR(G164,0))/(IFERROR('Getting Started'!C15,0)+IFERROR('Getting Started'!C23,0))),1)),"")</f>
        <v/>
      </c>
      <c r="J167" s="54">
        <f>IFERROR(IF(F167="","",TEXT('Getting Started'!C10+(H167-1)*7,"MMM D")&amp;" – "&amp;TEXT('Getting Started'!C10+I167*7,"MMM D")),"")</f>
        <v/>
      </c>
    </row>
    <row r="168" ht="18" customHeight="1">
      <c r="A168" s="53" t="n">
        <v>2</v>
      </c>
      <c r="B168" s="18" t="n"/>
      <c r="F168" s="55" t="n"/>
      <c r="G168" s="17">
        <f>IFERROR(SUM(F167:F168),"")</f>
        <v/>
      </c>
      <c r="H168" s="17">
        <f>IFERROR(IF(F168="","",FLOOR(G167/((IFERROR(B164,0)+IFERROR(G164,0))/(IFERROR('Getting Started'!C15,0)+IFERROR('Getting Started'!C23,0))),1)+1),"")</f>
        <v/>
      </c>
      <c r="I168" s="17">
        <f>IFERROR(IF(F168="","",CEILING(G168/((IFERROR(B164,0)+IFERROR(G164,0))/(IFERROR('Getting Started'!C15,0)+IFERROR('Getting Started'!C23,0))),1)),"")</f>
        <v/>
      </c>
      <c r="J168" s="54">
        <f>IFERROR(IF(F168="","",TEXT('Getting Started'!C10+(H168-1)*7,"MMM D")&amp;" – "&amp;TEXT('Getting Started'!C10+I168*7,"MMM D")),"")</f>
        <v/>
      </c>
    </row>
    <row r="169" ht="18" customHeight="1">
      <c r="A169" s="53" t="n">
        <v>3</v>
      </c>
      <c r="B169" s="5" t="n"/>
      <c r="F169" s="32" t="n"/>
      <c r="G169" s="17">
        <f>IFERROR(SUM(F167:F169),"")</f>
        <v/>
      </c>
      <c r="H169" s="17">
        <f>IFERROR(IF(F169="","",FLOOR(G168/((IFERROR(B164,0)+IFERROR(G164,0))/(IFERROR('Getting Started'!C15,0)+IFERROR('Getting Started'!C23,0))),1)+1),"")</f>
        <v/>
      </c>
      <c r="I169" s="17">
        <f>IFERROR(IF(F169="","",CEILING(G169/((IFERROR(B164,0)+IFERROR(G164,0))/(IFERROR('Getting Started'!C15,0)+IFERROR('Getting Started'!C23,0))),1)),"")</f>
        <v/>
      </c>
      <c r="J169" s="54">
        <f>IFERROR(IF(F169="","",TEXT('Getting Started'!C10+(H169-1)*7,"MMM D")&amp;" – "&amp;TEXT('Getting Started'!C10+I169*7,"MMM D")),"")</f>
        <v/>
      </c>
    </row>
    <row r="170" ht="18" customHeight="1">
      <c r="A170" s="53" t="n">
        <v>4</v>
      </c>
      <c r="B170" s="18" t="n"/>
      <c r="F170" s="55" t="n"/>
      <c r="G170" s="17">
        <f>IFERROR(SUM(F167:F170),"")</f>
        <v/>
      </c>
      <c r="H170" s="17">
        <f>IFERROR(IF(F170="","",FLOOR(G169/((IFERROR(B164,0)+IFERROR(G164,0))/(IFERROR('Getting Started'!C15,0)+IFERROR('Getting Started'!C23,0))),1)+1),"")</f>
        <v/>
      </c>
      <c r="I170" s="17">
        <f>IFERROR(IF(F170="","",CEILING(G170/((IFERROR(B164,0)+IFERROR(G164,0))/(IFERROR('Getting Started'!C15,0)+IFERROR('Getting Started'!C23,0))),1)),"")</f>
        <v/>
      </c>
      <c r="J170" s="54">
        <f>IFERROR(IF(F170="","",TEXT('Getting Started'!C10+(H170-1)*7,"MMM D")&amp;" – "&amp;TEXT('Getting Started'!C10+I170*7,"MMM D")),"")</f>
        <v/>
      </c>
    </row>
    <row r="171" ht="18" customHeight="1">
      <c r="A171" s="53" t="n">
        <v>5</v>
      </c>
      <c r="B171" s="5" t="n"/>
      <c r="F171" s="32" t="n"/>
      <c r="G171" s="17">
        <f>IFERROR(SUM(F167:F171),"")</f>
        <v/>
      </c>
      <c r="H171" s="17">
        <f>IFERROR(IF(F171="","",FLOOR(G170/((IFERROR(B164,0)+IFERROR(G164,0))/(IFERROR('Getting Started'!C15,0)+IFERROR('Getting Started'!C23,0))),1)+1),"")</f>
        <v/>
      </c>
      <c r="I171" s="17">
        <f>IFERROR(IF(F171="","",CEILING(G171/((IFERROR(B164,0)+IFERROR(G164,0))/(IFERROR('Getting Started'!C15,0)+IFERROR('Getting Started'!C23,0))),1)),"")</f>
        <v/>
      </c>
      <c r="J171" s="54">
        <f>IFERROR(IF(F171="","",TEXT('Getting Started'!C10+(H171-1)*7,"MMM D")&amp;" – "&amp;TEXT('Getting Started'!C10+I171*7,"MMM D")),"")</f>
        <v/>
      </c>
    </row>
    <row r="172" ht="18" customHeight="1">
      <c r="A172" s="53" t="n">
        <v>6</v>
      </c>
      <c r="B172" s="18" t="n"/>
      <c r="F172" s="55" t="n"/>
      <c r="G172" s="17">
        <f>IFERROR(SUM(F167:F172),"")</f>
        <v/>
      </c>
      <c r="H172" s="17">
        <f>IFERROR(IF(F172="","",FLOOR(G171/((IFERROR(B164,0)+IFERROR(G164,0))/(IFERROR('Getting Started'!C15,0)+IFERROR('Getting Started'!C23,0))),1)+1),"")</f>
        <v/>
      </c>
      <c r="I172" s="17">
        <f>IFERROR(IF(F172="","",CEILING(G172/((IFERROR(B164,0)+IFERROR(G164,0))/(IFERROR('Getting Started'!C15,0)+IFERROR('Getting Started'!C23,0))),1)),"")</f>
        <v/>
      </c>
      <c r="J172" s="54">
        <f>IFERROR(IF(F172="","",TEXT('Getting Started'!C10+(H172-1)*7,"MMM D")&amp;" – "&amp;TEXT('Getting Started'!C10+I172*7,"MMM D")),"")</f>
        <v/>
      </c>
    </row>
    <row r="173" ht="20" customHeight="1">
      <c r="A173" s="56">
        <f>IFERROR(IF('Course Content'!I147="","",'Course Content'!I147),"")</f>
        <v/>
      </c>
    </row>
    <row r="174" ht="8" customHeight="1"/>
  </sheetData>
  <mergeCells count="158">
    <mergeCell ref="B146:E146"/>
    <mergeCell ref="E19:J19"/>
    <mergeCell ref="B74:E74"/>
    <mergeCell ref="G4:J4"/>
    <mergeCell ref="A165:J165"/>
    <mergeCell ref="B123:E123"/>
    <mergeCell ref="B36:E36"/>
    <mergeCell ref="B76:E76"/>
    <mergeCell ref="B110:E110"/>
    <mergeCell ref="A93:J93"/>
    <mergeCell ref="A31:D31"/>
    <mergeCell ref="A173:J173"/>
    <mergeCell ref="B100:E100"/>
    <mergeCell ref="A77:J77"/>
    <mergeCell ref="B109:E109"/>
    <mergeCell ref="B47:E47"/>
    <mergeCell ref="B22:E22"/>
    <mergeCell ref="B155:E155"/>
    <mergeCell ref="B12:E12"/>
    <mergeCell ref="B86:E86"/>
    <mergeCell ref="A69:J69"/>
    <mergeCell ref="A7:D7"/>
    <mergeCell ref="B39:E39"/>
    <mergeCell ref="E139:J139"/>
    <mergeCell ref="B14:E14"/>
    <mergeCell ref="B136:E136"/>
    <mergeCell ref="B23:E23"/>
    <mergeCell ref="B13:E13"/>
    <mergeCell ref="A163:D163"/>
    <mergeCell ref="B38:E38"/>
    <mergeCell ref="B112:E112"/>
    <mergeCell ref="E79:J79"/>
    <mergeCell ref="B87:E87"/>
    <mergeCell ref="B40:E40"/>
    <mergeCell ref="B49:E49"/>
    <mergeCell ref="B64:E64"/>
    <mergeCell ref="A29:J29"/>
    <mergeCell ref="A81:J81"/>
    <mergeCell ref="A19:D19"/>
    <mergeCell ref="B51:E51"/>
    <mergeCell ref="A161:J161"/>
    <mergeCell ref="B63:E63"/>
    <mergeCell ref="B26:E26"/>
    <mergeCell ref="B154:E154"/>
    <mergeCell ref="B35:E35"/>
    <mergeCell ref="B50:E50"/>
    <mergeCell ref="B106:E106"/>
    <mergeCell ref="A127:D127"/>
    <mergeCell ref="E163:J163"/>
    <mergeCell ref="B16:E16"/>
    <mergeCell ref="B25:E25"/>
    <mergeCell ref="B156:E156"/>
    <mergeCell ref="E91:J91"/>
    <mergeCell ref="B131:E131"/>
    <mergeCell ref="B27:E27"/>
    <mergeCell ref="A79:D79"/>
    <mergeCell ref="E115:J115"/>
    <mergeCell ref="B130:E130"/>
    <mergeCell ref="B11:E11"/>
    <mergeCell ref="B61:E61"/>
    <mergeCell ref="A4:E4"/>
    <mergeCell ref="B132:E132"/>
    <mergeCell ref="B166:E166"/>
    <mergeCell ref="A149:J149"/>
    <mergeCell ref="B119:E119"/>
    <mergeCell ref="E127:J127"/>
    <mergeCell ref="A139:D139"/>
    <mergeCell ref="B37:E37"/>
    <mergeCell ref="A2:J2"/>
    <mergeCell ref="B168:E168"/>
    <mergeCell ref="B84:E84"/>
    <mergeCell ref="B118:E118"/>
    <mergeCell ref="A141:J141"/>
    <mergeCell ref="A91:D91"/>
    <mergeCell ref="B158:E158"/>
    <mergeCell ref="B15:E15"/>
    <mergeCell ref="B142:E142"/>
    <mergeCell ref="B24:E24"/>
    <mergeCell ref="A125:J125"/>
    <mergeCell ref="B95:E95"/>
    <mergeCell ref="A115:D115"/>
    <mergeCell ref="B160:E160"/>
    <mergeCell ref="B169:E169"/>
    <mergeCell ref="B144:E144"/>
    <mergeCell ref="B97:E97"/>
    <mergeCell ref="B72:E72"/>
    <mergeCell ref="B134:E134"/>
    <mergeCell ref="B121:E121"/>
    <mergeCell ref="A103:D103"/>
    <mergeCell ref="B122:E122"/>
    <mergeCell ref="B71:E71"/>
    <mergeCell ref="B58:E58"/>
    <mergeCell ref="B52:E52"/>
    <mergeCell ref="A153:J153"/>
    <mergeCell ref="B120:E120"/>
    <mergeCell ref="A137:J137"/>
    <mergeCell ref="B107:E107"/>
    <mergeCell ref="A41:J41"/>
    <mergeCell ref="B60:E60"/>
    <mergeCell ref="E151:J151"/>
    <mergeCell ref="B170:E170"/>
    <mergeCell ref="E55:J55"/>
    <mergeCell ref="B148:E148"/>
    <mergeCell ref="B157:E157"/>
    <mergeCell ref="E67:J67"/>
    <mergeCell ref="B171:E171"/>
    <mergeCell ref="A101:J101"/>
    <mergeCell ref="B34:E34"/>
    <mergeCell ref="B172:E172"/>
    <mergeCell ref="B28:E28"/>
    <mergeCell ref="B99:E99"/>
    <mergeCell ref="A33:J33"/>
    <mergeCell ref="B108:E108"/>
    <mergeCell ref="E103:J103"/>
    <mergeCell ref="B83:E83"/>
    <mergeCell ref="A17:J17"/>
    <mergeCell ref="B143:E143"/>
    <mergeCell ref="A53:J53"/>
    <mergeCell ref="E31:J31"/>
    <mergeCell ref="B124:E124"/>
    <mergeCell ref="A43:D43"/>
    <mergeCell ref="B133:E133"/>
    <mergeCell ref="B85:E85"/>
    <mergeCell ref="B94:E94"/>
    <mergeCell ref="A117:J117"/>
    <mergeCell ref="A67:D67"/>
    <mergeCell ref="B75:E75"/>
    <mergeCell ref="A9:J9"/>
    <mergeCell ref="B135:E135"/>
    <mergeCell ref="B62:E62"/>
    <mergeCell ref="B59:E59"/>
    <mergeCell ref="B46:E46"/>
    <mergeCell ref="B159:E159"/>
    <mergeCell ref="E7:J7"/>
    <mergeCell ref="A1:J1"/>
    <mergeCell ref="A45:J45"/>
    <mergeCell ref="B96:E96"/>
    <mergeCell ref="B167:E167"/>
    <mergeCell ref="B70:E70"/>
    <mergeCell ref="B48:E48"/>
    <mergeCell ref="A65:J65"/>
    <mergeCell ref="E43:J43"/>
    <mergeCell ref="B111:E111"/>
    <mergeCell ref="B145:E145"/>
    <mergeCell ref="B98:E98"/>
    <mergeCell ref="A89:J89"/>
    <mergeCell ref="B73:E73"/>
    <mergeCell ref="B88:E88"/>
    <mergeCell ref="B82:E82"/>
    <mergeCell ref="A21:J21"/>
    <mergeCell ref="A55:D55"/>
    <mergeCell ref="A105:J105"/>
    <mergeCell ref="B147:E147"/>
    <mergeCell ref="A57:J57"/>
    <mergeCell ref="A113:J113"/>
    <mergeCell ref="A151:D151"/>
    <mergeCell ref="B10:E10"/>
    <mergeCell ref="A129:J12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2026-06-02T20:52:36Z</dcterms:created>
  <dcterms:modified xsi:type="dcterms:W3CDTF">2026-06-02T20:52:39Z</dcterms:modified>
</cp:coreProperties>
</file>