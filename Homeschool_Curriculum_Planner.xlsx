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4">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4">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6" fillId="0" borderId="0" applyAlignment="1" pivotButton="0" quotePrefix="0" xfId="0">
      <alignment horizontal="right" vertical="center"/>
    </xf>
    <xf numFmtId="0" fontId="18" fillId="4" borderId="3" applyAlignment="1" pivotButton="0" quotePrefix="0" xfId="0">
      <alignment horizontal="center" vertical="center"/>
    </xf>
    <xf numFmtId="0" fontId="19" fillId="6" borderId="1" applyAlignment="1" pivotButton="0" quotePrefix="0" xfId="0">
      <alignment horizontal="center" vertical="center"/>
    </xf>
    <xf numFmtId="0" fontId="12" fillId="3" borderId="1" applyAlignment="1" pivotButton="0" quotePrefix="0" xfId="0">
      <alignment horizontal="center" vertical="center" wrapText="1"/>
    </xf>
    <xf numFmtId="0" fontId="20" fillId="5" borderId="1" applyAlignment="1" pivotButton="0" quotePrefix="0" xfId="0">
      <alignment horizontal="center" vertical="center" wrapText="1"/>
    </xf>
    <xf numFmtId="0" fontId="21" fillId="7" borderId="1" applyAlignment="1" pivotButton="0" quotePrefix="0" xfId="0">
      <alignment horizontal="center" vertical="center" wrapText="1"/>
    </xf>
    <xf numFmtId="0" fontId="5" fillId="5" borderId="1" applyAlignment="1" pivotButton="0" quotePrefix="0" xfId="0">
      <alignment horizontal="center" vertical="center"/>
    </xf>
    <xf numFmtId="0" fontId="22" fillId="5" borderId="1" applyAlignment="1" pivotButton="0" quotePrefix="0" xfId="0">
      <alignment horizontal="center" vertical="center"/>
    </xf>
    <xf numFmtId="0" fontId="8" fillId="7" borderId="1" applyAlignment="1" pivotButton="0" quotePrefix="0" xfId="0">
      <alignment horizontal="center" vertical="center"/>
    </xf>
    <xf numFmtId="0" fontId="23" fillId="7" borderId="1" applyAlignment="1" pivotButton="0" quotePrefix="0" xfId="0">
      <alignment horizontal="center" vertical="center"/>
    </xf>
    <xf numFmtId="0" fontId="6" fillId="4" borderId="1" applyAlignment="1" pivotButton="0" quotePrefix="0" xfId="0">
      <alignment horizontal="center" vertical="center"/>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18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Elective / Other 1</t>
        </is>
      </c>
      <c r="B18" s="5" t="n"/>
      <c r="C18" s="32" t="inlineStr">
        <is>
          <t>pages</t>
        </is>
      </c>
      <c r="D18" s="32" t="n"/>
      <c r="E18" s="32" t="n"/>
      <c r="F18" s="26" t="n"/>
      <c r="G18" s="5" t="n"/>
      <c r="H18" s="32" t="inlineStr">
        <is>
          <t>pages</t>
        </is>
      </c>
      <c r="I18" s="32" t="n"/>
      <c r="J18" s="32" t="n"/>
    </row>
    <row r="19" ht="20" customHeight="1">
      <c r="A19" s="34" t="inlineStr">
        <is>
          <t>Elective / Other 2</t>
        </is>
      </c>
      <c r="B19" s="5" t="n"/>
      <c r="C19" s="33" t="inlineStr">
        <is>
          <t>pages</t>
        </is>
      </c>
      <c r="D19" s="33" t="n"/>
      <c r="E19" s="33" t="n"/>
      <c r="F19" s="26" t="n"/>
      <c r="G19" s="5" t="n"/>
      <c r="H19" s="33" t="inlineStr">
        <is>
          <t>pages</t>
        </is>
      </c>
      <c r="I19" s="33" t="n"/>
      <c r="J19" s="33" t="n"/>
    </row>
    <row r="20" ht="20" customHeight="1">
      <c r="A20" s="34" t="inlineStr">
        <is>
          <t>Elective / Other 3</t>
        </is>
      </c>
      <c r="B20" s="5" t="n"/>
      <c r="C20" s="32" t="inlineStr">
        <is>
          <t>pages</t>
        </is>
      </c>
      <c r="D20" s="32" t="n"/>
      <c r="E20" s="32" t="n"/>
      <c r="F20" s="26" t="n"/>
      <c r="G20" s="5" t="n"/>
      <c r="H20" s="32" t="inlineStr">
        <is>
          <t>pages</t>
        </is>
      </c>
      <c r="I20" s="32" t="n"/>
      <c r="J20" s="32" t="n"/>
    </row>
    <row r="21" ht="20" customHeight="1">
      <c r="A21" s="34" t="inlineStr">
        <is>
          <t>Elective / Other 4</t>
        </is>
      </c>
      <c r="B21" s="5" t="n"/>
      <c r="C21" s="33" t="inlineStr">
        <is>
          <t>pages</t>
        </is>
      </c>
      <c r="D21" s="33" t="n"/>
      <c r="E21" s="33" t="n"/>
      <c r="F21" s="26" t="n"/>
      <c r="G21" s="5" t="n"/>
      <c r="H21" s="33" t="inlineStr">
        <is>
          <t>pages</t>
        </is>
      </c>
      <c r="I21" s="33" t="n"/>
      <c r="J21" s="33" t="n"/>
    </row>
    <row r="22" ht="8" customHeight="1"/>
    <row r="23" ht="26" customHeight="1">
      <c r="A23" s="35">
        <f>IF('Getting Started'!B29&lt;&gt;"","  "&amp;UPPER('Getting Started'!B29)&amp;"   ·   "&amp;'Getting Started'!F29,"  STUDENT 1")</f>
        <v/>
      </c>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Elective / Other 1</t>
        </is>
      </c>
      <c r="B34" s="5" t="n"/>
      <c r="C34" s="32" t="inlineStr">
        <is>
          <t>pages</t>
        </is>
      </c>
      <c r="D34" s="32" t="n"/>
      <c r="E34" s="32" t="n"/>
      <c r="F34" s="26" t="n"/>
      <c r="G34" s="5" t="n"/>
      <c r="H34" s="32" t="inlineStr">
        <is>
          <t>pages</t>
        </is>
      </c>
      <c r="I34" s="32" t="n"/>
      <c r="J34" s="32" t="n"/>
    </row>
    <row r="35" outlineLevel="1" ht="20" customHeight="1">
      <c r="A35" s="34" t="inlineStr">
        <is>
          <t>Elective / Other 2</t>
        </is>
      </c>
      <c r="B35" s="5" t="n"/>
      <c r="C35" s="33" t="inlineStr">
        <is>
          <t>pages</t>
        </is>
      </c>
      <c r="D35" s="33" t="n"/>
      <c r="E35" s="33" t="n"/>
      <c r="F35" s="26" t="n"/>
      <c r="G35" s="5" t="n"/>
      <c r="H35" s="33" t="inlineStr">
        <is>
          <t>pages</t>
        </is>
      </c>
      <c r="I35" s="33" t="n"/>
      <c r="J35" s="33" t="n"/>
    </row>
    <row r="36" outlineLevel="1" ht="20" customHeight="1">
      <c r="A36" s="34" t="inlineStr">
        <is>
          <t>Elective / Other 3</t>
        </is>
      </c>
      <c r="B36" s="5" t="n"/>
      <c r="C36" s="32" t="inlineStr">
        <is>
          <t>pages</t>
        </is>
      </c>
      <c r="D36" s="32" t="n"/>
      <c r="E36" s="32" t="n"/>
      <c r="F36" s="26" t="n"/>
      <c r="G36" s="5" t="n"/>
      <c r="H36" s="32" t="inlineStr">
        <is>
          <t>pages</t>
        </is>
      </c>
      <c r="I36" s="32" t="n"/>
      <c r="J36" s="32" t="n"/>
    </row>
    <row r="37" outlineLevel="1" ht="20" customHeight="1">
      <c r="A37" s="34" t="inlineStr">
        <is>
          <t>Elective / Other 4</t>
        </is>
      </c>
      <c r="B37" s="5" t="n"/>
      <c r="C37" s="33" t="inlineStr">
        <is>
          <t>pages</t>
        </is>
      </c>
      <c r="D37" s="33" t="n"/>
      <c r="E37" s="33" t="n"/>
      <c r="F37" s="26" t="n"/>
      <c r="G37" s="5" t="n"/>
      <c r="H37" s="33" t="inlineStr">
        <is>
          <t>pages</t>
        </is>
      </c>
      <c r="I37" s="33" t="n"/>
      <c r="J37" s="33" t="n"/>
    </row>
    <row r="38" outlineLevel="1" ht="6" customHeight="1"/>
    <row r="39" ht="26" customHeight="1">
      <c r="A39" s="36">
        <f>IF('Getting Started'!B30&lt;&gt;"","  "&amp;UPPER('Getting Started'!B30)&amp;"   ·   "&amp;'Getting Started'!F30,"  STUDENT 2")</f>
        <v/>
      </c>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Elective / Other 1</t>
        </is>
      </c>
      <c r="B50" s="5" t="n"/>
      <c r="C50" s="32" t="inlineStr">
        <is>
          <t>pages</t>
        </is>
      </c>
      <c r="D50" s="32" t="n"/>
      <c r="E50" s="32" t="n"/>
      <c r="F50" s="26" t="n"/>
      <c r="G50" s="5" t="n"/>
      <c r="H50" s="32" t="inlineStr">
        <is>
          <t>pages</t>
        </is>
      </c>
      <c r="I50" s="32" t="n"/>
      <c r="J50" s="32" t="n"/>
    </row>
    <row r="51" hidden="1" outlineLevel="1" ht="20" customHeight="1">
      <c r="A51" s="34" t="inlineStr">
        <is>
          <t>Elective / Other 2</t>
        </is>
      </c>
      <c r="B51" s="5" t="n"/>
      <c r="C51" s="33" t="inlineStr">
        <is>
          <t>pages</t>
        </is>
      </c>
      <c r="D51" s="33" t="n"/>
      <c r="E51" s="33" t="n"/>
      <c r="F51" s="26" t="n"/>
      <c r="G51" s="5" t="n"/>
      <c r="H51" s="33" t="inlineStr">
        <is>
          <t>pages</t>
        </is>
      </c>
      <c r="I51" s="33" t="n"/>
      <c r="J51" s="33" t="n"/>
    </row>
    <row r="52" hidden="1" outlineLevel="1" ht="20" customHeight="1">
      <c r="A52" s="34" t="inlineStr">
        <is>
          <t>Elective / Other 3</t>
        </is>
      </c>
      <c r="B52" s="5" t="n"/>
      <c r="C52" s="32" t="inlineStr">
        <is>
          <t>pages</t>
        </is>
      </c>
      <c r="D52" s="32" t="n"/>
      <c r="E52" s="32" t="n"/>
      <c r="F52" s="26" t="n"/>
      <c r="G52" s="5" t="n"/>
      <c r="H52" s="32" t="inlineStr">
        <is>
          <t>pages</t>
        </is>
      </c>
      <c r="I52" s="32" t="n"/>
      <c r="J52" s="32" t="n"/>
    </row>
    <row r="53" hidden="1" outlineLevel="1" ht="20" customHeight="1">
      <c r="A53" s="34" t="inlineStr">
        <is>
          <t>Elective / Other 4</t>
        </is>
      </c>
      <c r="B53" s="5" t="n"/>
      <c r="C53" s="33" t="inlineStr">
        <is>
          <t>pages</t>
        </is>
      </c>
      <c r="D53" s="33" t="n"/>
      <c r="E53" s="33" t="n"/>
      <c r="F53" s="26" t="n"/>
      <c r="G53" s="5" t="n"/>
      <c r="H53" s="33" t="inlineStr">
        <is>
          <t>pages</t>
        </is>
      </c>
      <c r="I53" s="33" t="n"/>
      <c r="J53" s="33" t="n"/>
    </row>
    <row r="54" hidden="1" outlineLevel="1" ht="6" customHeight="1"/>
    <row r="55" ht="26" customHeight="1">
      <c r="A55" s="37">
        <f>IF('Getting Started'!B31&lt;&gt;"","  "&amp;UPPER('Getting Started'!B31)&amp;"   ·   "&amp;'Getting Started'!F31,"  STUDENT 3")</f>
        <v/>
      </c>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Elective / Other 1</t>
        </is>
      </c>
      <c r="B66" s="5" t="n"/>
      <c r="C66" s="32" t="inlineStr">
        <is>
          <t>pages</t>
        </is>
      </c>
      <c r="D66" s="32" t="n"/>
      <c r="E66" s="32" t="n"/>
      <c r="F66" s="26" t="n"/>
      <c r="G66" s="5" t="n"/>
      <c r="H66" s="32" t="inlineStr">
        <is>
          <t>pages</t>
        </is>
      </c>
      <c r="I66" s="32" t="n"/>
      <c r="J66" s="32" t="n"/>
    </row>
    <row r="67" hidden="1" outlineLevel="1" ht="20" customHeight="1">
      <c r="A67" s="34" t="inlineStr">
        <is>
          <t>Elective / Other 2</t>
        </is>
      </c>
      <c r="B67" s="5" t="n"/>
      <c r="C67" s="33" t="inlineStr">
        <is>
          <t>pages</t>
        </is>
      </c>
      <c r="D67" s="33" t="n"/>
      <c r="E67" s="33" t="n"/>
      <c r="F67" s="26" t="n"/>
      <c r="G67" s="5" t="n"/>
      <c r="H67" s="33" t="inlineStr">
        <is>
          <t>pages</t>
        </is>
      </c>
      <c r="I67" s="33" t="n"/>
      <c r="J67" s="33" t="n"/>
    </row>
    <row r="68" hidden="1" outlineLevel="1" ht="20" customHeight="1">
      <c r="A68" s="34" t="inlineStr">
        <is>
          <t>Elective / Other 3</t>
        </is>
      </c>
      <c r="B68" s="5" t="n"/>
      <c r="C68" s="32" t="inlineStr">
        <is>
          <t>pages</t>
        </is>
      </c>
      <c r="D68" s="32" t="n"/>
      <c r="E68" s="32" t="n"/>
      <c r="F68" s="26" t="n"/>
      <c r="G68" s="5" t="n"/>
      <c r="H68" s="32" t="inlineStr">
        <is>
          <t>pages</t>
        </is>
      </c>
      <c r="I68" s="32" t="n"/>
      <c r="J68" s="32" t="n"/>
    </row>
    <row r="69" hidden="1" outlineLevel="1" ht="20" customHeight="1">
      <c r="A69" s="34" t="inlineStr">
        <is>
          <t>Elective / Other 4</t>
        </is>
      </c>
      <c r="B69" s="5" t="n"/>
      <c r="C69" s="33" t="inlineStr">
        <is>
          <t>pages</t>
        </is>
      </c>
      <c r="D69" s="33" t="n"/>
      <c r="E69" s="33" t="n"/>
      <c r="F69" s="26" t="n"/>
      <c r="G69" s="5" t="n"/>
      <c r="H69" s="33" t="inlineStr">
        <is>
          <t>pages</t>
        </is>
      </c>
      <c r="I69" s="33" t="n"/>
      <c r="J69" s="33" t="n"/>
    </row>
    <row r="70" hidden="1" outlineLevel="1" ht="6" customHeight="1"/>
    <row r="71" ht="26" customHeight="1">
      <c r="A71" s="38">
        <f>IF('Getting Started'!B32&lt;&gt;"","  "&amp;UPPER('Getting Started'!B32)&amp;"   ·   "&amp;'Getting Started'!F32,"  STUDENT 4")</f>
        <v/>
      </c>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Elective / Other 1</t>
        </is>
      </c>
      <c r="B82" s="5" t="n"/>
      <c r="C82" s="32" t="inlineStr">
        <is>
          <t>pages</t>
        </is>
      </c>
      <c r="D82" s="32" t="n"/>
      <c r="E82" s="32" t="n"/>
      <c r="F82" s="26" t="n"/>
      <c r="G82" s="5" t="n"/>
      <c r="H82" s="32" t="inlineStr">
        <is>
          <t>pages</t>
        </is>
      </c>
      <c r="I82" s="32" t="n"/>
      <c r="J82" s="32" t="n"/>
    </row>
    <row r="83" hidden="1" outlineLevel="1" ht="20" customHeight="1">
      <c r="A83" s="34" t="inlineStr">
        <is>
          <t>Elective / Other 2</t>
        </is>
      </c>
      <c r="B83" s="5" t="n"/>
      <c r="C83" s="33" t="inlineStr">
        <is>
          <t>pages</t>
        </is>
      </c>
      <c r="D83" s="33" t="n"/>
      <c r="E83" s="33" t="n"/>
      <c r="F83" s="26" t="n"/>
      <c r="G83" s="5" t="n"/>
      <c r="H83" s="33" t="inlineStr">
        <is>
          <t>pages</t>
        </is>
      </c>
      <c r="I83" s="33" t="n"/>
      <c r="J83" s="33" t="n"/>
    </row>
    <row r="84" hidden="1" outlineLevel="1" ht="20" customHeight="1">
      <c r="A84" s="34" t="inlineStr">
        <is>
          <t>Elective / Other 3</t>
        </is>
      </c>
      <c r="B84" s="5" t="n"/>
      <c r="C84" s="32" t="inlineStr">
        <is>
          <t>pages</t>
        </is>
      </c>
      <c r="D84" s="32" t="n"/>
      <c r="E84" s="32" t="n"/>
      <c r="F84" s="26" t="n"/>
      <c r="G84" s="5" t="n"/>
      <c r="H84" s="32" t="inlineStr">
        <is>
          <t>pages</t>
        </is>
      </c>
      <c r="I84" s="32" t="n"/>
      <c r="J84" s="32" t="n"/>
    </row>
    <row r="85" hidden="1" outlineLevel="1" ht="20" customHeight="1">
      <c r="A85" s="34" t="inlineStr">
        <is>
          <t>Elective / Other 4</t>
        </is>
      </c>
      <c r="B85" s="5" t="n"/>
      <c r="C85" s="33" t="inlineStr">
        <is>
          <t>pages</t>
        </is>
      </c>
      <c r="D85" s="33" t="n"/>
      <c r="E85" s="33" t="n"/>
      <c r="F85" s="26" t="n"/>
      <c r="G85" s="5" t="n"/>
      <c r="H85" s="33" t="inlineStr">
        <is>
          <t>pages</t>
        </is>
      </c>
      <c r="I85" s="33" t="n"/>
      <c r="J85" s="33" t="n"/>
    </row>
    <row r="86" hidden="1" outlineLevel="1" ht="6" customHeight="1"/>
    <row r="87" ht="26" customHeight="1">
      <c r="A87" s="39">
        <f>IF('Getting Started'!B33&lt;&gt;"","  "&amp;UPPER('Getting Started'!B33)&amp;"   ·   "&amp;'Getting Started'!F33,"  STUDENT 5")</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Elective / Other 1</t>
        </is>
      </c>
      <c r="B98" s="5" t="n"/>
      <c r="C98" s="32" t="inlineStr">
        <is>
          <t>pages</t>
        </is>
      </c>
      <c r="D98" s="32" t="n"/>
      <c r="E98" s="32" t="n"/>
      <c r="F98" s="26" t="n"/>
      <c r="G98" s="5" t="n"/>
      <c r="H98" s="32" t="inlineStr">
        <is>
          <t>pages</t>
        </is>
      </c>
      <c r="I98" s="32" t="n"/>
      <c r="J98" s="32" t="n"/>
    </row>
    <row r="99" hidden="1" outlineLevel="1" ht="20" customHeight="1">
      <c r="A99" s="34" t="inlineStr">
        <is>
          <t>Elective / Other 2</t>
        </is>
      </c>
      <c r="B99" s="5" t="n"/>
      <c r="C99" s="33" t="inlineStr">
        <is>
          <t>pages</t>
        </is>
      </c>
      <c r="D99" s="33" t="n"/>
      <c r="E99" s="33" t="n"/>
      <c r="F99" s="26" t="n"/>
      <c r="G99" s="5" t="n"/>
      <c r="H99" s="33" t="inlineStr">
        <is>
          <t>pages</t>
        </is>
      </c>
      <c r="I99" s="33" t="n"/>
      <c r="J99" s="33" t="n"/>
    </row>
    <row r="100" hidden="1" outlineLevel="1" ht="20" customHeight="1">
      <c r="A100" s="34" t="inlineStr">
        <is>
          <t>Elective / Other 3</t>
        </is>
      </c>
      <c r="B100" s="5" t="n"/>
      <c r="C100" s="32" t="inlineStr">
        <is>
          <t>pages</t>
        </is>
      </c>
      <c r="D100" s="32" t="n"/>
      <c r="E100" s="32" t="n"/>
      <c r="F100" s="26" t="n"/>
      <c r="G100" s="5" t="n"/>
      <c r="H100" s="32" t="inlineStr">
        <is>
          <t>pages</t>
        </is>
      </c>
      <c r="I100" s="32" t="n"/>
      <c r="J100" s="32" t="n"/>
    </row>
    <row r="101" hidden="1" outlineLevel="1" ht="20" customHeight="1">
      <c r="A101" s="34" t="inlineStr">
        <is>
          <t>Elective / Other 4</t>
        </is>
      </c>
      <c r="B101" s="5" t="n"/>
      <c r="C101" s="33" t="inlineStr">
        <is>
          <t>pages</t>
        </is>
      </c>
      <c r="D101" s="33" t="n"/>
      <c r="E101" s="33" t="n"/>
      <c r="F101" s="26" t="n"/>
      <c r="G101" s="5" t="n"/>
      <c r="H101" s="33" t="inlineStr">
        <is>
          <t>pages</t>
        </is>
      </c>
      <c r="I101" s="33" t="n"/>
      <c r="J101" s="33" t="n"/>
    </row>
    <row r="102" hidden="1" outlineLevel="1" ht="6" customHeight="1"/>
    <row r="103" ht="26" customHeight="1">
      <c r="A103" s="40">
        <f>IF('Getting Started'!B34&lt;&gt;"","  "&amp;UPPER('Getting Started'!B34)&amp;"   ·   "&amp;'Getting Started'!F34,"  STUDENT 6")</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Elective / Other 1</t>
        </is>
      </c>
      <c r="B114" s="5" t="n"/>
      <c r="C114" s="32" t="inlineStr">
        <is>
          <t>pages</t>
        </is>
      </c>
      <c r="D114" s="32" t="n"/>
      <c r="E114" s="32" t="n"/>
      <c r="F114" s="26" t="n"/>
      <c r="G114" s="5" t="n"/>
      <c r="H114" s="32" t="inlineStr">
        <is>
          <t>pages</t>
        </is>
      </c>
      <c r="I114" s="32" t="n"/>
      <c r="J114" s="32" t="n"/>
    </row>
    <row r="115" hidden="1" outlineLevel="1" ht="20" customHeight="1">
      <c r="A115" s="34" t="inlineStr">
        <is>
          <t>Elective / Other 2</t>
        </is>
      </c>
      <c r="B115" s="5" t="n"/>
      <c r="C115" s="33" t="inlineStr">
        <is>
          <t>pages</t>
        </is>
      </c>
      <c r="D115" s="33" t="n"/>
      <c r="E115" s="33" t="n"/>
      <c r="F115" s="26" t="n"/>
      <c r="G115" s="5" t="n"/>
      <c r="H115" s="33" t="inlineStr">
        <is>
          <t>pages</t>
        </is>
      </c>
      <c r="I115" s="33" t="n"/>
      <c r="J115" s="33" t="n"/>
    </row>
    <row r="116" hidden="1" outlineLevel="1" ht="20" customHeight="1">
      <c r="A116" s="34" t="inlineStr">
        <is>
          <t>Elective / Other 3</t>
        </is>
      </c>
      <c r="B116" s="5" t="n"/>
      <c r="C116" s="32" t="inlineStr">
        <is>
          <t>pages</t>
        </is>
      </c>
      <c r="D116" s="32" t="n"/>
      <c r="E116" s="32" t="n"/>
      <c r="F116" s="26" t="n"/>
      <c r="G116" s="5" t="n"/>
      <c r="H116" s="32" t="inlineStr">
        <is>
          <t>pages</t>
        </is>
      </c>
      <c r="I116" s="32" t="n"/>
      <c r="J116" s="32" t="n"/>
    </row>
    <row r="117" hidden="1" outlineLevel="1" ht="20" customHeight="1">
      <c r="A117" s="34" t="inlineStr">
        <is>
          <t>Elective / Other 4</t>
        </is>
      </c>
      <c r="B117" s="5" t="n"/>
      <c r="C117" s="33" t="inlineStr">
        <is>
          <t>pages</t>
        </is>
      </c>
      <c r="D117" s="33" t="n"/>
      <c r="E117" s="33" t="n"/>
      <c r="F117" s="26" t="n"/>
      <c r="G117" s="5" t="n"/>
      <c r="H117" s="33" t="inlineStr">
        <is>
          <t>pages</t>
        </is>
      </c>
      <c r="I117" s="33" t="n"/>
      <c r="J117" s="33" t="n"/>
    </row>
    <row r="118" hidden="1" outlineLevel="1" ht="6" customHeight="1"/>
    <row r="119" ht="26" customHeight="1">
      <c r="A119" s="41">
        <f>IF('Getting Started'!B35&lt;&gt;"","  "&amp;UPPER('Getting Started'!B35)&amp;"   ·   "&amp;'Getting Started'!F35,"  STUDENT 7")</f>
        <v/>
      </c>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Elective / Other 1</t>
        </is>
      </c>
      <c r="B130" s="5" t="n"/>
      <c r="C130" s="32" t="inlineStr">
        <is>
          <t>pages</t>
        </is>
      </c>
      <c r="D130" s="32" t="n"/>
      <c r="E130" s="32" t="n"/>
      <c r="F130" s="26" t="n"/>
      <c r="G130" s="5" t="n"/>
      <c r="H130" s="32" t="inlineStr">
        <is>
          <t>pages</t>
        </is>
      </c>
      <c r="I130" s="32" t="n"/>
      <c r="J130" s="32" t="n"/>
    </row>
    <row r="131" hidden="1" outlineLevel="1" ht="20" customHeight="1">
      <c r="A131" s="34" t="inlineStr">
        <is>
          <t>Elective / Other 2</t>
        </is>
      </c>
      <c r="B131" s="5" t="n"/>
      <c r="C131" s="33" t="inlineStr">
        <is>
          <t>pages</t>
        </is>
      </c>
      <c r="D131" s="33" t="n"/>
      <c r="E131" s="33" t="n"/>
      <c r="F131" s="26" t="n"/>
      <c r="G131" s="5" t="n"/>
      <c r="H131" s="33" t="inlineStr">
        <is>
          <t>pages</t>
        </is>
      </c>
      <c r="I131" s="33" t="n"/>
      <c r="J131" s="33" t="n"/>
    </row>
    <row r="132" hidden="1" outlineLevel="1" ht="20" customHeight="1">
      <c r="A132" s="34" t="inlineStr">
        <is>
          <t>Elective / Other 3</t>
        </is>
      </c>
      <c r="B132" s="5" t="n"/>
      <c r="C132" s="32" t="inlineStr">
        <is>
          <t>pages</t>
        </is>
      </c>
      <c r="D132" s="32" t="n"/>
      <c r="E132" s="32" t="n"/>
      <c r="F132" s="26" t="n"/>
      <c r="G132" s="5" t="n"/>
      <c r="H132" s="32" t="inlineStr">
        <is>
          <t>pages</t>
        </is>
      </c>
      <c r="I132" s="32" t="n"/>
      <c r="J132" s="32" t="n"/>
    </row>
    <row r="133" hidden="1" outlineLevel="1" ht="20" customHeight="1">
      <c r="A133" s="34" t="inlineStr">
        <is>
          <t>Elective / Other 4</t>
        </is>
      </c>
      <c r="B133" s="5" t="n"/>
      <c r="C133" s="33" t="inlineStr">
        <is>
          <t>pages</t>
        </is>
      </c>
      <c r="D133" s="33" t="n"/>
      <c r="E133" s="33" t="n"/>
      <c r="F133" s="26" t="n"/>
      <c r="G133" s="5" t="n"/>
      <c r="H133" s="33" t="inlineStr">
        <is>
          <t>pages</t>
        </is>
      </c>
      <c r="I133" s="33" t="n"/>
      <c r="J133" s="33" t="n"/>
    </row>
    <row r="134" hidden="1" outlineLevel="1" ht="6" customHeight="1"/>
    <row r="135" ht="26" customHeight="1">
      <c r="A135" s="42">
        <f>IF('Getting Started'!B36&lt;&gt;"","  "&amp;UPPER('Getting Started'!B36)&amp;"   ·   "&amp;'Getting Started'!F36,"  STUDENT 8")</f>
        <v/>
      </c>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Elective / Other 1</t>
        </is>
      </c>
      <c r="B146" s="5" t="n"/>
      <c r="C146" s="32" t="inlineStr">
        <is>
          <t>pages</t>
        </is>
      </c>
      <c r="D146" s="32" t="n"/>
      <c r="E146" s="32" t="n"/>
      <c r="F146" s="26" t="n"/>
      <c r="G146" s="5" t="n"/>
      <c r="H146" s="32" t="inlineStr">
        <is>
          <t>pages</t>
        </is>
      </c>
      <c r="I146" s="32" t="n"/>
      <c r="J146" s="32" t="n"/>
    </row>
    <row r="147" hidden="1" outlineLevel="1" ht="20" customHeight="1">
      <c r="A147" s="34" t="inlineStr">
        <is>
          <t>Elective / Other 2</t>
        </is>
      </c>
      <c r="B147" s="5" t="n"/>
      <c r="C147" s="33" t="inlineStr">
        <is>
          <t>pages</t>
        </is>
      </c>
      <c r="D147" s="33" t="n"/>
      <c r="E147" s="33" t="n"/>
      <c r="F147" s="26" t="n"/>
      <c r="G147" s="5" t="n"/>
      <c r="H147" s="33" t="inlineStr">
        <is>
          <t>pages</t>
        </is>
      </c>
      <c r="I147" s="33" t="n"/>
      <c r="J147" s="33" t="n"/>
    </row>
    <row r="148" hidden="1" outlineLevel="1" ht="20" customHeight="1">
      <c r="A148" s="34" t="inlineStr">
        <is>
          <t>Elective / Other 3</t>
        </is>
      </c>
      <c r="B148" s="5" t="n"/>
      <c r="C148" s="32" t="inlineStr">
        <is>
          <t>pages</t>
        </is>
      </c>
      <c r="D148" s="32" t="n"/>
      <c r="E148" s="32" t="n"/>
      <c r="F148" s="26" t="n"/>
      <c r="G148" s="5" t="n"/>
      <c r="H148" s="32" t="inlineStr">
        <is>
          <t>pages</t>
        </is>
      </c>
      <c r="I148" s="32" t="n"/>
      <c r="J148" s="32" t="n"/>
    </row>
    <row r="149" hidden="1" outlineLevel="1" ht="20" customHeight="1">
      <c r="A149" s="34" t="inlineStr">
        <is>
          <t>Elective / Other 4</t>
        </is>
      </c>
      <c r="B149" s="5" t="n"/>
      <c r="C149" s="33" t="inlineStr">
        <is>
          <t>pages</t>
        </is>
      </c>
      <c r="D149" s="33" t="n"/>
      <c r="E149" s="33" t="n"/>
      <c r="F149" s="26" t="n"/>
      <c r="G149" s="5" t="n"/>
      <c r="H149" s="33" t="inlineStr">
        <is>
          <t>pages</t>
        </is>
      </c>
      <c r="I149" s="33" t="n"/>
      <c r="J149" s="33" t="n"/>
    </row>
    <row r="150" hidden="1" outlineLevel="1" ht="6" customHeight="1"/>
    <row r="151" ht="26" customHeight="1">
      <c r="A151" s="43">
        <f>IF('Getting Started'!B37&lt;&gt;"","  "&amp;UPPER('Getting Started'!B37)&amp;"   ·   "&amp;'Getting Started'!F37,"  STUDENT 9")</f>
        <v/>
      </c>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Elective / Other 1</t>
        </is>
      </c>
      <c r="B162" s="5" t="n"/>
      <c r="C162" s="32" t="inlineStr">
        <is>
          <t>pages</t>
        </is>
      </c>
      <c r="D162" s="32" t="n"/>
      <c r="E162" s="32" t="n"/>
      <c r="F162" s="26" t="n"/>
      <c r="G162" s="5" t="n"/>
      <c r="H162" s="32" t="inlineStr">
        <is>
          <t>pages</t>
        </is>
      </c>
      <c r="I162" s="32" t="n"/>
      <c r="J162" s="32" t="n"/>
    </row>
    <row r="163" hidden="1" outlineLevel="1" ht="20" customHeight="1">
      <c r="A163" s="34" t="inlineStr">
        <is>
          <t>Elective / Other 2</t>
        </is>
      </c>
      <c r="B163" s="5" t="n"/>
      <c r="C163" s="33" t="inlineStr">
        <is>
          <t>pages</t>
        </is>
      </c>
      <c r="D163" s="33" t="n"/>
      <c r="E163" s="33" t="n"/>
      <c r="F163" s="26" t="n"/>
      <c r="G163" s="5" t="n"/>
      <c r="H163" s="33" t="inlineStr">
        <is>
          <t>pages</t>
        </is>
      </c>
      <c r="I163" s="33" t="n"/>
      <c r="J163" s="33" t="n"/>
    </row>
    <row r="164" hidden="1" outlineLevel="1" ht="20" customHeight="1">
      <c r="A164" s="34" t="inlineStr">
        <is>
          <t>Elective / Other 3</t>
        </is>
      </c>
      <c r="B164" s="5" t="n"/>
      <c r="C164" s="32" t="inlineStr">
        <is>
          <t>pages</t>
        </is>
      </c>
      <c r="D164" s="32" t="n"/>
      <c r="E164" s="32" t="n"/>
      <c r="F164" s="26" t="n"/>
      <c r="G164" s="5" t="n"/>
      <c r="H164" s="32" t="inlineStr">
        <is>
          <t>pages</t>
        </is>
      </c>
      <c r="I164" s="32" t="n"/>
      <c r="J164" s="32" t="n"/>
    </row>
    <row r="165" hidden="1" outlineLevel="1" ht="20" customHeight="1">
      <c r="A165" s="34" t="inlineStr">
        <is>
          <t>Elective / Other 4</t>
        </is>
      </c>
      <c r="B165" s="5" t="n"/>
      <c r="C165" s="33" t="inlineStr">
        <is>
          <t>pages</t>
        </is>
      </c>
      <c r="D165" s="33" t="n"/>
      <c r="E165" s="33" t="n"/>
      <c r="F165" s="26" t="n"/>
      <c r="G165" s="5" t="n"/>
      <c r="H165" s="33" t="inlineStr">
        <is>
          <t>pages</t>
        </is>
      </c>
      <c r="I165" s="33" t="n"/>
      <c r="J165" s="33" t="n"/>
    </row>
    <row r="166" hidden="1" outlineLevel="1" ht="6" customHeight="1"/>
    <row r="167" ht="26" customHeight="1">
      <c r="A167" s="44">
        <f>IF('Getting Started'!B38&lt;&gt;"","  "&amp;UPPER('Getting Started'!B38)&amp;"   ·   "&amp;'Getting Started'!F38,"  STUDENT 10")</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Elective / Other 1</t>
        </is>
      </c>
      <c r="B178" s="5" t="n"/>
      <c r="C178" s="32" t="inlineStr">
        <is>
          <t>pages</t>
        </is>
      </c>
      <c r="D178" s="32" t="n"/>
      <c r="E178" s="32" t="n"/>
      <c r="F178" s="26" t="n"/>
      <c r="G178" s="5" t="n"/>
      <c r="H178" s="32" t="inlineStr">
        <is>
          <t>pages</t>
        </is>
      </c>
      <c r="I178" s="32" t="n"/>
      <c r="J178" s="32" t="n"/>
    </row>
    <row r="179" hidden="1" outlineLevel="1" ht="20" customHeight="1">
      <c r="A179" s="34" t="inlineStr">
        <is>
          <t>Elective / Other 2</t>
        </is>
      </c>
      <c r="B179" s="5" t="n"/>
      <c r="C179" s="33" t="inlineStr">
        <is>
          <t>pages</t>
        </is>
      </c>
      <c r="D179" s="33" t="n"/>
      <c r="E179" s="33" t="n"/>
      <c r="F179" s="26" t="n"/>
      <c r="G179" s="5" t="n"/>
      <c r="H179" s="33" t="inlineStr">
        <is>
          <t>pages</t>
        </is>
      </c>
      <c r="I179" s="33" t="n"/>
      <c r="J179" s="33" t="n"/>
    </row>
    <row r="180" hidden="1" outlineLevel="1" ht="20" customHeight="1">
      <c r="A180" s="34" t="inlineStr">
        <is>
          <t>Elective / Other 3</t>
        </is>
      </c>
      <c r="B180" s="5" t="n"/>
      <c r="C180" s="32" t="inlineStr">
        <is>
          <t>pages</t>
        </is>
      </c>
      <c r="D180" s="32" t="n"/>
      <c r="E180" s="32" t="n"/>
      <c r="F180" s="26" t="n"/>
      <c r="G180" s="5" t="n"/>
      <c r="H180" s="32" t="inlineStr">
        <is>
          <t>pages</t>
        </is>
      </c>
      <c r="I180" s="32" t="n"/>
      <c r="J180" s="32" t="n"/>
    </row>
    <row r="181" hidden="1" outlineLevel="1" ht="20" customHeight="1">
      <c r="A181" s="34" t="inlineStr">
        <is>
          <t>Elective / Other 4</t>
        </is>
      </c>
      <c r="B181" s="5" t="n"/>
      <c r="C181" s="33" t="inlineStr">
        <is>
          <t>pages</t>
        </is>
      </c>
      <c r="D181" s="33" t="n"/>
      <c r="E181" s="33" t="n"/>
      <c r="F181" s="26" t="n"/>
      <c r="G181" s="5" t="n"/>
      <c r="H181" s="33" t="inlineStr">
        <is>
          <t>pages</t>
        </is>
      </c>
      <c r="I181" s="33" t="n"/>
      <c r="J181" s="33" t="n"/>
    </row>
    <row r="182"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4 C25 C26 C27 C28 C29 C30 C31 C32 C33 C34 C35 C36 C37 C40 C41 C42 C43 C44 C45 C46 C47 C48 C49 C50 C51 C52 C53 C56 C57 C58 C59 C60 C61 C62 C63 C64 C65 C66 C67 C68 C69 C72 C73 C74 C75 C76 C77 C78 C79 C80 C81 C82 C83 C84 C85 C88 C89 C90 C91 C92 C93 C94 C95 C96 C97 C98 C99 C100 C101 C104 C105 C106 C107 C108 C109 C110 C111 C112 C113 C114 C115 C116 C117 C120 C121 C122 C123 C124 C125 C126 C127 C128 C129 C130 C131 C132 C133 C136 C137 C138 C139 C140 C141 C142 C143 C144 C145 C146 C147 C148 C149 C152 C153 C154 C155 C156 C157 C158 C159 C160 C161 C162 C163 C164 C165 C168 C169 C170 C171 C172 C173 C174 C175 C176 C177 C178 C179 C180 C181 H8 H9 H10 H11 H12 H13 H14 H15 H16 H17 H18 H19 H20 H21 H24 H25 H26 H27 H28 H29 H30 H31 H32 H33 H34 H35 H36 H37 H40 H41 H42 H43 H44 H45 H46 H47 H48 H49 H50 H51 H52 H53 H56 H57 H58 H59 H60 H61 H62 H63 H64 H65 H66 H67 H68 H69 H72 H73 H74 H75 H76 H77 H78 H79 H80 H81 H82 H83 H84 H85 H88 H89 H90 H91 H92 H93 H94 H95 H96 H97 H98 H99 H100 H101 H104 H105 H106 H107 H108 H109 H110 H111 H112 H113 H114 H115 H116 H117 H120 H121 H122 H123 H124 H125 H126 H127 H128 H129 H130 H131 H132 H133 H136 H137 H138 H139 H140 H141 H142 H143 H144 H145 H146 H147 H148 H149 H152 H153 H154 H155 H156 H157 H158 H159 H160 H161 H162 H163 H164 H165 H168 H169 H170 H171 H172 H173 H174 H175 H176 H177 H178 H179 H180 H181"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J24"/>
  <sheetViews>
    <sheetView workbookViewId="0">
      <pane ySplit="10" topLeftCell="A11" activePane="bottomLeft" state="frozen"/>
      <selection pane="bottomLeft" activeCell="A1" sqref="A1"/>
    </sheetView>
  </sheetViews>
  <sheetFormatPr baseColWidth="8" defaultRowHeight="15"/>
  <cols>
    <col width="24" customWidth="1" min="1" max="1"/>
    <col width="28" customWidth="1" min="2" max="2"/>
    <col width="10" customWidth="1" min="3" max="3"/>
    <col width="10" customWidth="1" min="4" max="4"/>
    <col width="10" customWidth="1" min="5" max="5"/>
    <col width="4" customWidth="1" min="6" max="6"/>
    <col width="10" customWidth="1" min="7" max="7"/>
    <col width="10" customWidth="1" min="8" max="8"/>
    <col width="10" customWidth="1" min="9" max="9"/>
    <col width="12" customWidth="1" min="10" max="10"/>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F4" s="26" t="n"/>
      <c r="G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is>
          <t>Mark with  X  →</t>
        </is>
      </c>
      <c r="B7" s="24" t="inlineStr">
        <is>
          <t>Mon</t>
        </is>
      </c>
      <c r="C7" s="24" t="inlineStr">
        <is>
          <t>Tue</t>
        </is>
      </c>
      <c r="D7" s="24" t="inlineStr">
        <is>
          <t>Wed</t>
        </is>
      </c>
      <c r="E7" s="24" t="inlineStr">
        <is>
          <t>Thu</t>
        </is>
      </c>
      <c r="F7" s="24" t="inlineStr">
        <is>
          <t>Fri</t>
        </is>
      </c>
      <c r="G7" s="24" t="inlineStr">
        <is>
          <t>Sat</t>
        </is>
      </c>
      <c r="H7" s="24" t="inlineStr">
        <is>
          <t>Days / Week:</t>
        </is>
      </c>
    </row>
    <row r="8" ht="22" customHeight="1">
      <c r="A8" s="26" t="n"/>
      <c r="B8" s="51" t="n"/>
      <c r="C8" s="51" t="n"/>
      <c r="D8" s="51" t="n"/>
      <c r="E8" s="51" t="n"/>
      <c r="F8" s="51" t="n"/>
      <c r="G8" s="51" t="n"/>
      <c r="H8" s="52">
        <f>MAX(1,COUNTA(B8:G8))</f>
        <v/>
      </c>
    </row>
    <row r="9" ht="8" customHeight="1"/>
    <row r="10" ht="28" customHeight="1">
      <c r="A10" s="53" t="inlineStr">
        <is>
          <t>Subject</t>
        </is>
      </c>
      <c r="B10" s="53" t="inlineStr">
        <is>
          <t>Curriculum  /  Book</t>
        </is>
      </c>
      <c r="C10" s="54" t="inlineStr">
        <is>
          <t>Sem 1
Total</t>
        </is>
      </c>
      <c r="D10" s="54" t="inlineStr">
        <is>
          <t>Sem 1
/ Week</t>
        </is>
      </c>
      <c r="E10" s="54" t="inlineStr">
        <is>
          <t>Sem 1
/ Day</t>
        </is>
      </c>
      <c r="F10" s="26" t="n"/>
      <c r="G10" s="55" t="inlineStr">
        <is>
          <t>Sem 2
Total</t>
        </is>
      </c>
      <c r="H10" s="55" t="inlineStr">
        <is>
          <t>Sem 2
/ Week</t>
        </is>
      </c>
      <c r="I10" s="55" t="inlineStr">
        <is>
          <t>Sem 2
/ Day</t>
        </is>
      </c>
      <c r="J10" s="53" t="inlineStr">
        <is>
          <t>Unit
Type</t>
        </is>
      </c>
    </row>
    <row r="11" ht="22" customHeight="1">
      <c r="A11" s="31" t="inlineStr">
        <is>
          <t>Bible</t>
        </is>
      </c>
      <c r="B11" s="5">
        <f>IFERROR(IF('Course Content'!B24="","—",'Course Content'!B24),"")</f>
        <v/>
      </c>
      <c r="C11" s="56">
        <f>IFERROR(IF('Course Content'!D24="","—",'Course Content'!D24),"")</f>
        <v/>
      </c>
      <c r="D11" s="56">
        <f>IFERROR(IF('Course Content'!D24="","",ROUND('Course Content'!D24/'Getting Started'!C15,1)),"")</f>
        <v/>
      </c>
      <c r="E11" s="57">
        <f>IFERROR(IF(D11="","",ROUND(D11/I9,1)),"")</f>
        <v/>
      </c>
      <c r="F11" s="26" t="n"/>
      <c r="G11" s="58">
        <f>IFERROR(IF('Course Content'!E24="","—",'Course Content'!E24),"")</f>
        <v/>
      </c>
      <c r="H11" s="58">
        <f>IFERROR(IF('Course Content'!E24="","",ROUND('Course Content'!E24/'Getting Started'!C23,1)),"")</f>
        <v/>
      </c>
      <c r="I11" s="59">
        <f>IFERROR(IF(H11="","",ROUND(H11/I9,1)),"")</f>
        <v/>
      </c>
      <c r="J11" s="60">
        <f>IFERROR(IF('Course Content'!C24="","",'Course Content'!C24),"")</f>
        <v/>
      </c>
    </row>
    <row r="12" ht="22" customHeight="1">
      <c r="A12" s="31" t="inlineStr">
        <is>
          <t>Math</t>
        </is>
      </c>
      <c r="B12" s="18">
        <f>IFERROR(IF('Course Content'!B25="","—",'Course Content'!B25),"")</f>
        <v/>
      </c>
      <c r="C12" s="56">
        <f>IFERROR(IF('Course Content'!D25="","—",'Course Content'!D25),"")</f>
        <v/>
      </c>
      <c r="D12" s="56">
        <f>IFERROR(IF('Course Content'!D25="","",ROUND('Course Content'!D25/'Getting Started'!C15,1)),"")</f>
        <v/>
      </c>
      <c r="E12" s="57">
        <f>IFERROR(IF(D12="","",ROUND(D12/I9,1)),"")</f>
        <v/>
      </c>
      <c r="F12" s="26" t="n"/>
      <c r="G12" s="58">
        <f>IFERROR(IF('Course Content'!E25="","—",'Course Content'!E25),"")</f>
        <v/>
      </c>
      <c r="H12" s="58">
        <f>IFERROR(IF('Course Content'!E25="","",ROUND('Course Content'!E25/'Getting Started'!C23,1)),"")</f>
        <v/>
      </c>
      <c r="I12" s="59">
        <f>IFERROR(IF(H12="","",ROUND(H12/I9,1)),"")</f>
        <v/>
      </c>
      <c r="J12" s="61">
        <f>IFERROR(IF('Course Content'!C25="","",'Course Content'!C25),"")</f>
        <v/>
      </c>
    </row>
    <row r="13" ht="22" customHeight="1">
      <c r="A13" s="31" t="inlineStr">
        <is>
          <t>English / Language Arts</t>
        </is>
      </c>
      <c r="B13" s="5">
        <f>IFERROR(IF('Course Content'!B26="","—",'Course Content'!B26),"")</f>
        <v/>
      </c>
      <c r="C13" s="56">
        <f>IFERROR(IF('Course Content'!D26="","—",'Course Content'!D26),"")</f>
        <v/>
      </c>
      <c r="D13" s="56">
        <f>IFERROR(IF('Course Content'!D26="","",ROUND('Course Content'!D26/'Getting Started'!C15,1)),"")</f>
        <v/>
      </c>
      <c r="E13" s="57">
        <f>IFERROR(IF(D13="","",ROUND(D13/I9,1)),"")</f>
        <v/>
      </c>
      <c r="F13" s="26" t="n"/>
      <c r="G13" s="58">
        <f>IFERROR(IF('Course Content'!E26="","—",'Course Content'!E26),"")</f>
        <v/>
      </c>
      <c r="H13" s="58">
        <f>IFERROR(IF('Course Content'!E26="","",ROUND('Course Content'!E26/'Getting Started'!C23,1)),"")</f>
        <v/>
      </c>
      <c r="I13" s="59">
        <f>IFERROR(IF(H13="","",ROUND(H13/I9,1)),"")</f>
        <v/>
      </c>
      <c r="J13" s="60">
        <f>IFERROR(IF('Course Content'!C26="","",'Course Content'!C26),"")</f>
        <v/>
      </c>
    </row>
    <row r="14" ht="22" customHeight="1">
      <c r="A14" s="31" t="inlineStr">
        <is>
          <t>Reading</t>
        </is>
      </c>
      <c r="B14" s="18">
        <f>IFERROR(IF('Course Content'!B27="","—",'Course Content'!B27),"")</f>
        <v/>
      </c>
      <c r="C14" s="56">
        <f>IFERROR(IF('Course Content'!D27="","—",'Course Content'!D27),"")</f>
        <v/>
      </c>
      <c r="D14" s="56">
        <f>IFERROR(IF('Course Content'!D27="","",ROUND('Course Content'!D27/'Getting Started'!C15,1)),"")</f>
        <v/>
      </c>
      <c r="E14" s="57">
        <f>IFERROR(IF(D14="","",ROUND(D14/I9,1)),"")</f>
        <v/>
      </c>
      <c r="F14" s="26" t="n"/>
      <c r="G14" s="58">
        <f>IFERROR(IF('Course Content'!E27="","—",'Course Content'!E27),"")</f>
        <v/>
      </c>
      <c r="H14" s="58">
        <f>IFERROR(IF('Course Content'!E27="","",ROUND('Course Content'!E27/'Getting Started'!C23,1)),"")</f>
        <v/>
      </c>
      <c r="I14" s="59">
        <f>IFERROR(IF(H14="","",ROUND(H14/I9,1)),"")</f>
        <v/>
      </c>
      <c r="J14" s="61">
        <f>IFERROR(IF('Course Content'!C27="","",'Course Content'!C27),"")</f>
        <v/>
      </c>
    </row>
    <row r="15" ht="22" customHeight="1">
      <c r="A15" s="31" t="inlineStr">
        <is>
          <t>Writing / Composition</t>
        </is>
      </c>
      <c r="B15" s="5">
        <f>IFERROR(IF('Course Content'!B28="","—",'Course Content'!B28),"")</f>
        <v/>
      </c>
      <c r="C15" s="56">
        <f>IFERROR(IF('Course Content'!D28="","—",'Course Content'!D28),"")</f>
        <v/>
      </c>
      <c r="D15" s="56">
        <f>IFERROR(IF('Course Content'!D28="","",ROUND('Course Content'!D28/'Getting Started'!C15,1)),"")</f>
        <v/>
      </c>
      <c r="E15" s="57">
        <f>IFERROR(IF(D15="","",ROUND(D15/I9,1)),"")</f>
        <v/>
      </c>
      <c r="F15" s="26" t="n"/>
      <c r="G15" s="58">
        <f>IFERROR(IF('Course Content'!E28="","—",'Course Content'!E28),"")</f>
        <v/>
      </c>
      <c r="H15" s="58">
        <f>IFERROR(IF('Course Content'!E28="","",ROUND('Course Content'!E28/'Getting Started'!C23,1)),"")</f>
        <v/>
      </c>
      <c r="I15" s="59">
        <f>IFERROR(IF(H15="","",ROUND(H15/I9,1)),"")</f>
        <v/>
      </c>
      <c r="J15" s="60">
        <f>IFERROR(IF('Course Content'!C28="","",'Course Content'!C28),"")</f>
        <v/>
      </c>
    </row>
    <row r="16" ht="22" customHeight="1">
      <c r="A16" s="31" t="inlineStr">
        <is>
          <t>Science</t>
        </is>
      </c>
      <c r="B16" s="18">
        <f>IFERROR(IF('Course Content'!B29="","—",'Course Content'!B29),"")</f>
        <v/>
      </c>
      <c r="C16" s="56">
        <f>IFERROR(IF('Course Content'!D29="","—",'Course Content'!D29),"")</f>
        <v/>
      </c>
      <c r="D16" s="56">
        <f>IFERROR(IF('Course Content'!D29="","",ROUND('Course Content'!D29/'Getting Started'!C15,1)),"")</f>
        <v/>
      </c>
      <c r="E16" s="57">
        <f>IFERROR(IF(D16="","",ROUND(D16/I9,1)),"")</f>
        <v/>
      </c>
      <c r="F16" s="26" t="n"/>
      <c r="G16" s="58">
        <f>IFERROR(IF('Course Content'!E29="","—",'Course Content'!E29),"")</f>
        <v/>
      </c>
      <c r="H16" s="58">
        <f>IFERROR(IF('Course Content'!E29="","",ROUND('Course Content'!E29/'Getting Started'!C23,1)),"")</f>
        <v/>
      </c>
      <c r="I16" s="59">
        <f>IFERROR(IF(H16="","",ROUND(H16/I9,1)),"")</f>
        <v/>
      </c>
      <c r="J16" s="61">
        <f>IFERROR(IF('Course Content'!C29="","",'Course Content'!C29),"")</f>
        <v/>
      </c>
    </row>
    <row r="17" ht="22" customHeight="1">
      <c r="A17" s="31" t="inlineStr">
        <is>
          <t>Social Studies / History</t>
        </is>
      </c>
      <c r="B17" s="5">
        <f>IFERROR(IF('Course Content'!B30="","—",'Course Content'!B30),"")</f>
        <v/>
      </c>
      <c r="C17" s="56">
        <f>IFERROR(IF('Course Content'!D30="","—",'Course Content'!D30),"")</f>
        <v/>
      </c>
      <c r="D17" s="56">
        <f>IFERROR(IF('Course Content'!D30="","",ROUND('Course Content'!D30/'Getting Started'!C15,1)),"")</f>
        <v/>
      </c>
      <c r="E17" s="57">
        <f>IFERROR(IF(D17="","",ROUND(D17/I9,1)),"")</f>
        <v/>
      </c>
      <c r="F17" s="26" t="n"/>
      <c r="G17" s="58">
        <f>IFERROR(IF('Course Content'!E30="","—",'Course Content'!E30),"")</f>
        <v/>
      </c>
      <c r="H17" s="58">
        <f>IFERROR(IF('Course Content'!E30="","",ROUND('Course Content'!E30/'Getting Started'!C23,1)),"")</f>
        <v/>
      </c>
      <c r="I17" s="59">
        <f>IFERROR(IF(H17="","",ROUND(H17/I9,1)),"")</f>
        <v/>
      </c>
      <c r="J17" s="60">
        <f>IFERROR(IF('Course Content'!C30="","",'Course Content'!C30),"")</f>
        <v/>
      </c>
    </row>
    <row r="18" ht="22" customHeight="1">
      <c r="A18" s="31" t="inlineStr">
        <is>
          <t>Health</t>
        </is>
      </c>
      <c r="B18" s="18">
        <f>IFERROR(IF('Course Content'!B31="","—",'Course Content'!B31),"")</f>
        <v/>
      </c>
      <c r="C18" s="56">
        <f>IFERROR(IF('Course Content'!D31="","—",'Course Content'!D31),"")</f>
        <v/>
      </c>
      <c r="D18" s="56">
        <f>IFERROR(IF('Course Content'!D31="","",ROUND('Course Content'!D31/'Getting Started'!C15,1)),"")</f>
        <v/>
      </c>
      <c r="E18" s="57">
        <f>IFERROR(IF(D18="","",ROUND(D18/I9,1)),"")</f>
        <v/>
      </c>
      <c r="F18" s="26" t="n"/>
      <c r="G18" s="58">
        <f>IFERROR(IF('Course Content'!E31="","—",'Course Content'!E31),"")</f>
        <v/>
      </c>
      <c r="H18" s="58">
        <f>IFERROR(IF('Course Content'!E31="","",ROUND('Course Content'!E31/'Getting Started'!C23,1)),"")</f>
        <v/>
      </c>
      <c r="I18" s="59">
        <f>IFERROR(IF(H18="","",ROUND(H18/I9,1)),"")</f>
        <v/>
      </c>
      <c r="J18" s="61">
        <f>IFERROR(IF('Course Content'!C31="","",'Course Content'!C31),"")</f>
        <v/>
      </c>
    </row>
    <row r="19" ht="22" customHeight="1">
      <c r="A19" s="31" t="inlineStr">
        <is>
          <t>Physical Education</t>
        </is>
      </c>
      <c r="B19" s="5">
        <f>IFERROR(IF('Course Content'!B32="","—",'Course Content'!B32),"")</f>
        <v/>
      </c>
      <c r="C19" s="56">
        <f>IFERROR(IF('Course Content'!D32="","—",'Course Content'!D32),"")</f>
        <v/>
      </c>
      <c r="D19" s="56">
        <f>IFERROR(IF('Course Content'!D32="","",ROUND('Course Content'!D32/'Getting Started'!C15,1)),"")</f>
        <v/>
      </c>
      <c r="E19" s="57">
        <f>IFERROR(IF(D19="","",ROUND(D19/I9,1)),"")</f>
        <v/>
      </c>
      <c r="F19" s="26" t="n"/>
      <c r="G19" s="58">
        <f>IFERROR(IF('Course Content'!E32="","—",'Course Content'!E32),"")</f>
        <v/>
      </c>
      <c r="H19" s="58">
        <f>IFERROR(IF('Course Content'!E32="","",ROUND('Course Content'!E32/'Getting Started'!C23,1)),"")</f>
        <v/>
      </c>
      <c r="I19" s="59">
        <f>IFERROR(IF(H19="","",ROUND(H19/I9,1)),"")</f>
        <v/>
      </c>
      <c r="J19" s="60">
        <f>IFERROR(IF('Course Content'!C32="","",'Course Content'!C32),"")</f>
        <v/>
      </c>
    </row>
    <row r="20" ht="22" customHeight="1">
      <c r="A20" s="31" t="inlineStr">
        <is>
          <t>Art / Music</t>
        </is>
      </c>
      <c r="B20" s="18">
        <f>IFERROR(IF('Course Content'!B33="","—",'Course Content'!B33),"")</f>
        <v/>
      </c>
      <c r="C20" s="56">
        <f>IFERROR(IF('Course Content'!D33="","—",'Course Content'!D33),"")</f>
        <v/>
      </c>
      <c r="D20" s="56">
        <f>IFERROR(IF('Course Content'!D33="","",ROUND('Course Content'!D33/'Getting Started'!C15,1)),"")</f>
        <v/>
      </c>
      <c r="E20" s="57">
        <f>IFERROR(IF(D20="","",ROUND(D20/I9,1)),"")</f>
        <v/>
      </c>
      <c r="F20" s="26" t="n"/>
      <c r="G20" s="58">
        <f>IFERROR(IF('Course Content'!E33="","—",'Course Content'!E33),"")</f>
        <v/>
      </c>
      <c r="H20" s="58">
        <f>IFERROR(IF('Course Content'!E33="","",ROUND('Course Content'!E33/'Getting Started'!C23,1)),"")</f>
        <v/>
      </c>
      <c r="I20" s="59">
        <f>IFERROR(IF(H20="","",ROUND(H20/I9,1)),"")</f>
        <v/>
      </c>
      <c r="J20" s="61">
        <f>IFERROR(IF('Course Content'!C33="","",'Course Content'!C33),"")</f>
        <v/>
      </c>
    </row>
    <row r="21" ht="22" customHeight="1">
      <c r="A21" s="31">
        <f>IF('Course Content'!A34="Elective / Other 1","Elective / Other 1",'Course Content'!A34)</f>
        <v/>
      </c>
      <c r="B21" s="5">
        <f>IFERROR(IF('Course Content'!B34="","—",'Course Content'!B34),"")</f>
        <v/>
      </c>
      <c r="C21" s="56">
        <f>IFERROR(IF('Course Content'!D34="","—",'Course Content'!D34),"")</f>
        <v/>
      </c>
      <c r="D21" s="56">
        <f>IFERROR(IF('Course Content'!D34="","",ROUND('Course Content'!D34/'Getting Started'!C15,1)),"")</f>
        <v/>
      </c>
      <c r="E21" s="57">
        <f>IFERROR(IF(D21="","",ROUND(D21/I9,1)),"")</f>
        <v/>
      </c>
      <c r="F21" s="26" t="n"/>
      <c r="G21" s="58">
        <f>IFERROR(IF('Course Content'!E34="","—",'Course Content'!E34),"")</f>
        <v/>
      </c>
      <c r="H21" s="58">
        <f>IFERROR(IF('Course Content'!E34="","",ROUND('Course Content'!E34/'Getting Started'!C23,1)),"")</f>
        <v/>
      </c>
      <c r="I21" s="59">
        <f>IFERROR(IF(H21="","",ROUND(H21/I9,1)),"")</f>
        <v/>
      </c>
      <c r="J21" s="60">
        <f>IFERROR(IF('Course Content'!C34="","",'Course Content'!C34),"")</f>
        <v/>
      </c>
    </row>
    <row r="22" ht="22" customHeight="1">
      <c r="A22" s="31">
        <f>IF('Course Content'!A35="Elective / Other 2","Elective / Other 2",'Course Content'!A35)</f>
        <v/>
      </c>
      <c r="B22" s="18">
        <f>IFERROR(IF('Course Content'!B35="","—",'Course Content'!B35),"")</f>
        <v/>
      </c>
      <c r="C22" s="56">
        <f>IFERROR(IF('Course Content'!D35="","—",'Course Content'!D35),"")</f>
        <v/>
      </c>
      <c r="D22" s="56">
        <f>IFERROR(IF('Course Content'!D35="","",ROUND('Course Content'!D35/'Getting Started'!C15,1)),"")</f>
        <v/>
      </c>
      <c r="E22" s="57">
        <f>IFERROR(IF(D22="","",ROUND(D22/I9,1)),"")</f>
        <v/>
      </c>
      <c r="F22" s="26" t="n"/>
      <c r="G22" s="58">
        <f>IFERROR(IF('Course Content'!E35="","—",'Course Content'!E35),"")</f>
        <v/>
      </c>
      <c r="H22" s="58">
        <f>IFERROR(IF('Course Content'!E35="","",ROUND('Course Content'!E35/'Getting Started'!C23,1)),"")</f>
        <v/>
      </c>
      <c r="I22" s="59">
        <f>IFERROR(IF(H22="","",ROUND(H22/I9,1)),"")</f>
        <v/>
      </c>
      <c r="J22" s="61">
        <f>IFERROR(IF('Course Content'!C35="","",'Course Content'!C35),"")</f>
        <v/>
      </c>
    </row>
    <row r="23" ht="22" customHeight="1">
      <c r="A23" s="31">
        <f>IF('Course Content'!A36="Elective / Other 3","Elective / Other 3",'Course Content'!A36)</f>
        <v/>
      </c>
      <c r="B23" s="5">
        <f>IFERROR(IF('Course Content'!B36="","—",'Course Content'!B36),"")</f>
        <v/>
      </c>
      <c r="C23" s="56">
        <f>IFERROR(IF('Course Content'!D36="","—",'Course Content'!D36),"")</f>
        <v/>
      </c>
      <c r="D23" s="56">
        <f>IFERROR(IF('Course Content'!D36="","",ROUND('Course Content'!D36/'Getting Started'!C15,1)),"")</f>
        <v/>
      </c>
      <c r="E23" s="57">
        <f>IFERROR(IF(D23="","",ROUND(D23/I9,1)),"")</f>
        <v/>
      </c>
      <c r="F23" s="26" t="n"/>
      <c r="G23" s="58">
        <f>IFERROR(IF('Course Content'!E36="","—",'Course Content'!E36),"")</f>
        <v/>
      </c>
      <c r="H23" s="58">
        <f>IFERROR(IF('Course Content'!E36="","",ROUND('Course Content'!E36/'Getting Started'!C23,1)),"")</f>
        <v/>
      </c>
      <c r="I23" s="59">
        <f>IFERROR(IF(H23="","",ROUND(H23/I9,1)),"")</f>
        <v/>
      </c>
      <c r="J23" s="60">
        <f>IFERROR(IF('Course Content'!C36="","",'Course Content'!C36),"")</f>
        <v/>
      </c>
    </row>
    <row r="24" ht="22" customHeight="1">
      <c r="A24" s="31">
        <f>IF('Course Content'!A37="Elective / Other 4","Elective / Other 4",'Course Content'!A37)</f>
        <v/>
      </c>
      <c r="B24" s="18">
        <f>IFERROR(IF('Course Content'!B37="","—",'Course Content'!B37),"")</f>
        <v/>
      </c>
      <c r="C24" s="56">
        <f>IFERROR(IF('Course Content'!D37="","—",'Course Content'!D37),"")</f>
        <v/>
      </c>
      <c r="D24" s="56">
        <f>IFERROR(IF('Course Content'!D37="","",ROUND('Course Content'!D37/'Getting Started'!C15,1)),"")</f>
        <v/>
      </c>
      <c r="E24" s="57">
        <f>IFERROR(IF(D24="","",ROUND(D24/I9,1)),"")</f>
        <v/>
      </c>
      <c r="F24" s="26" t="n"/>
      <c r="G24" s="58">
        <f>IFERROR(IF('Course Content'!E37="","—",'Course Content'!E37),"")</f>
        <v/>
      </c>
      <c r="H24" s="58">
        <f>IFERROR(IF('Course Content'!E37="","",ROUND('Course Content'!E37/'Getting Started'!C23,1)),"")</f>
        <v/>
      </c>
      <c r="I24" s="59">
        <f>IFERROR(IF(H24="","",ROUND(H24/I9,1)),"")</f>
        <v/>
      </c>
      <c r="J24" s="61">
        <f>IFERROR(IF('Course Content'!C37="","",'Course Content'!C37),"")</f>
        <v/>
      </c>
    </row>
  </sheetData>
  <mergeCells count="7">
    <mergeCell ref="A1:J1"/>
    <mergeCell ref="A4:E4"/>
    <mergeCell ref="A6:J6"/>
    <mergeCell ref="G4:J4"/>
    <mergeCell ref="H8:J8"/>
    <mergeCell ref="A2:J2"/>
    <mergeCell ref="H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2026-06-02T23:15:59Z</dcterms:created>
  <dcterms:modified xsi:type="dcterms:W3CDTF">2026-06-02T23:15:59Z</dcterms:modified>
</cp:coreProperties>
</file>