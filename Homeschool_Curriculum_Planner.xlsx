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etting Started" sheetId="1" state="visible" r:id="rId1"/>
    <sheet name="Student 1" sheetId="2" state="visible" r:id="rId2"/>
    <sheet name="Student 2" sheetId="3" state="visible" r:id="rId3"/>
    <sheet name="Student 3" sheetId="4" state="visible" r:id="rId4"/>
    <sheet name="Student 4" sheetId="5" state="visible" r:id="rId5"/>
    <sheet name="Student 5" sheetId="6" state="visible" r:id="rId6"/>
    <sheet name="Student 6" sheetId="7" state="visible" r:id="rId7"/>
    <sheet name="Student 7" sheetId="8" state="visible" r:id="rId8"/>
    <sheet name="Student 8" sheetId="9" state="visible" r:id="rId9"/>
    <sheet name="Student 9" sheetId="10" state="visible" r:id="rId10"/>
    <sheet name="Student 10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22"/>
    </font>
    <font>
      <name val="Calibri"/>
      <b val="1"/>
      <color rgb="00FFFFFF"/>
      <sz val="13"/>
    </font>
    <font>
      <name val="Calibri"/>
      <b val="1"/>
      <color rgb="00FFFFFF"/>
      <sz val="12"/>
    </font>
    <font>
      <name val="Calibri"/>
      <b val="1"/>
      <color rgb="00595959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i val="1"/>
      <color rgb="00808080"/>
      <sz val="9"/>
    </font>
    <font>
      <name val="Calibri"/>
      <b val="1"/>
      <color rgb="00FFFFFF"/>
      <sz val="10"/>
    </font>
    <font>
      <name val="Calibri"/>
      <color rgb="00000000"/>
      <sz val="11"/>
    </font>
    <font>
      <name val="Calibri"/>
      <color rgb="00595959"/>
      <sz val="10"/>
    </font>
    <font>
      <name val="Calibri"/>
      <b val="1"/>
      <color rgb="00FFFFFF"/>
      <sz val="20"/>
    </font>
    <font>
      <name val="Calibri"/>
      <color rgb="00FFFFFF"/>
      <sz val="11"/>
    </font>
    <font>
      <name val="Calibri"/>
      <color rgb="00808080"/>
      <sz val="9"/>
    </font>
    <font>
      <name val="Calibri"/>
      <color rgb="00FFFFFF"/>
      <sz val="9"/>
    </font>
    <font>
      <name val="Calibri"/>
      <b val="1"/>
      <color rgb="00FFFFFF"/>
      <sz val="9"/>
    </font>
  </fonts>
  <fills count="33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74B5"/>
        <bgColor rgb="002E74B5"/>
      </patternFill>
    </fill>
    <fill>
      <patternFill patternType="solid">
        <fgColor rgb="00F2F2F2"/>
        <bgColor rgb="00F2F2F2"/>
      </patternFill>
    </fill>
    <fill>
      <patternFill patternType="solid">
        <fgColor rgb="00FFFACD"/>
        <bgColor rgb="00FFFACD"/>
      </patternFill>
    </fill>
    <fill>
      <patternFill patternType="solid">
        <fgColor rgb="00EBF3FB"/>
        <bgColor rgb="00EBF3FB"/>
      </patternFill>
    </fill>
    <fill>
      <patternFill patternType="solid">
        <fgColor rgb="00595959"/>
        <bgColor rgb="00595959"/>
      </patternFill>
    </fill>
    <fill>
      <patternFill patternType="solid">
        <fgColor rgb="00375623"/>
        <bgColor rgb="00375623"/>
      </patternFill>
    </fill>
    <fill>
      <patternFill patternType="solid">
        <fgColor rgb="00F0FFF4"/>
        <bgColor rgb="00F0FFF4"/>
      </patternFill>
    </fill>
    <fill>
      <patternFill patternType="solid">
        <fgColor rgb="00FFFFFF"/>
        <bgColor rgb="00FFFFFF"/>
      </patternFill>
    </fill>
    <fill>
      <patternFill patternType="solid">
        <fgColor rgb="00DEEAF1"/>
        <bgColor rgb="00DEEAF1"/>
      </patternFill>
    </fill>
    <fill>
      <patternFill patternType="solid">
        <fgColor rgb="005B2C6F"/>
        <bgColor rgb="005B2C6F"/>
      </patternFill>
    </fill>
    <fill>
      <patternFill patternType="solid">
        <fgColor rgb="00F5EEF8"/>
        <bgColor rgb="00F5EEF8"/>
      </patternFill>
    </fill>
    <fill>
      <patternFill patternType="solid">
        <fgColor rgb="00FAFAD2"/>
        <bgColor rgb="00FAFAD2"/>
      </patternFill>
    </fill>
    <fill>
      <patternFill patternType="solid">
        <fgColor rgb="001A5276"/>
        <bgColor rgb="001A5276"/>
      </patternFill>
    </fill>
    <fill>
      <patternFill patternType="solid">
        <fgColor rgb="00D6EAF8"/>
        <bgColor rgb="00D6EAF8"/>
      </patternFill>
    </fill>
    <fill>
      <patternFill patternType="solid">
        <fgColor rgb="00922B21"/>
        <bgColor rgb="00922B21"/>
      </patternFill>
    </fill>
    <fill>
      <patternFill patternType="solid">
        <fgColor rgb="00FDEDEC"/>
        <bgColor rgb="00FDEDEC"/>
      </patternFill>
    </fill>
    <fill>
      <patternFill patternType="solid">
        <fgColor rgb="00784212"/>
        <bgColor rgb="00784212"/>
      </patternFill>
    </fill>
    <fill>
      <patternFill patternType="solid">
        <fgColor rgb="00FDEBD0"/>
        <bgColor rgb="00FDEBD0"/>
      </patternFill>
    </fill>
    <fill>
      <patternFill patternType="solid">
        <fgColor rgb="007D6608"/>
        <bgColor rgb="007D6608"/>
      </patternFill>
    </fill>
    <fill>
      <patternFill patternType="solid">
        <fgColor rgb="00FEFDE2"/>
        <bgColor rgb="00FEFDE2"/>
      </patternFill>
    </fill>
    <fill>
      <patternFill patternType="solid">
        <fgColor rgb="000E6655"/>
        <bgColor rgb="000E6655"/>
      </patternFill>
    </fill>
    <fill>
      <patternFill patternType="solid">
        <fgColor rgb="00D5F5E3"/>
        <bgColor rgb="00D5F5E3"/>
      </patternFill>
    </fill>
    <fill>
      <patternFill patternType="solid">
        <fgColor rgb="006E2F0E"/>
        <bgColor rgb="006E2F0E"/>
      </patternFill>
    </fill>
    <fill>
      <patternFill patternType="solid">
        <fgColor rgb="00FAE5D3"/>
        <bgColor rgb="00FAE5D3"/>
      </patternFill>
    </fill>
    <fill>
      <patternFill patternType="solid">
        <fgColor rgb="001E8449"/>
        <bgColor rgb="001E8449"/>
      </patternFill>
    </fill>
    <fill>
      <patternFill patternType="solid">
        <fgColor rgb="00D4EFDF"/>
        <bgColor rgb="00D4EFDF"/>
      </patternFill>
    </fill>
    <fill>
      <patternFill patternType="solid">
        <fgColor rgb="00117A65"/>
        <bgColor rgb="00117A65"/>
      </patternFill>
    </fill>
    <fill>
      <patternFill patternType="solid">
        <fgColor rgb="00D1F2EB"/>
        <bgColor rgb="00D1F2EB"/>
      </patternFill>
    </fill>
    <fill>
      <patternFill patternType="solid">
        <fgColor rgb="0076448A"/>
        <bgColor rgb="0076448A"/>
      </patternFill>
    </fill>
    <fill>
      <patternFill patternType="solid">
        <fgColor rgb="00F4ECF7"/>
        <bgColor rgb="00F4ECF7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 style="medium"/>
      <right style="medium"/>
      <top style="medium"/>
      <bottom style="medium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164" fontId="5" fillId="5" borderId="1" applyAlignment="1" pivotButton="0" quotePrefix="0" xfId="0">
      <alignment horizontal="left" vertical="center"/>
    </xf>
    <xf numFmtId="0" fontId="7" fillId="0" borderId="0" pivotButton="0" quotePrefix="0" xfId="0"/>
    <xf numFmtId="0" fontId="6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" fontId="5" fillId="5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9" fillId="6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10" fillId="9" borderId="0" applyAlignment="1" pivotButton="0" quotePrefix="0" xfId="0">
      <alignment horizontal="left" vertical="center"/>
    </xf>
    <xf numFmtId="0" fontId="10" fillId="10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2" fillId="12" borderId="2" applyAlignment="1" pivotButton="0" quotePrefix="0" xfId="0">
      <alignment horizontal="left" vertical="center"/>
    </xf>
    <xf numFmtId="0" fontId="4" fillId="13" borderId="1" applyAlignment="1" pivotButton="0" quotePrefix="0" xfId="0">
      <alignment horizontal="left" vertical="center"/>
    </xf>
    <xf numFmtId="0" fontId="5" fillId="5" borderId="1" pivotButton="0" quotePrefix="0" xfId="0"/>
    <xf numFmtId="0" fontId="13" fillId="4" borderId="1" applyAlignment="1" pivotButton="0" quotePrefix="0" xfId="0">
      <alignment horizontal="left" vertical="center"/>
    </xf>
    <xf numFmtId="0" fontId="0" fillId="0" borderId="5" pivotButton="0" quotePrefix="0" xfId="0"/>
    <xf numFmtId="0" fontId="5" fillId="6" borderId="1" applyAlignment="1" pivotButton="0" quotePrefix="0" xfId="0">
      <alignment horizontal="center" vertical="center"/>
    </xf>
    <xf numFmtId="0" fontId="14" fillId="7" borderId="0" applyAlignment="1" pivotButton="0" quotePrefix="0" xfId="0">
      <alignment horizontal="left" vertical="center"/>
    </xf>
    <xf numFmtId="0" fontId="15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14" borderId="1" pivotButton="0" quotePrefix="0" xfId="0"/>
    <xf numFmtId="0" fontId="5" fillId="1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wrapText="1"/>
    </xf>
    <xf numFmtId="0" fontId="2" fillId="15" borderId="2" applyAlignment="1" pivotButton="0" quotePrefix="0" xfId="0">
      <alignment horizontal="left" vertical="center"/>
    </xf>
    <xf numFmtId="0" fontId="4" fillId="16" borderId="1" applyAlignment="1" pivotButton="0" quotePrefix="0" xfId="0">
      <alignment horizontal="left" vertical="center"/>
    </xf>
    <xf numFmtId="0" fontId="2" fillId="17" borderId="2" applyAlignment="1" pivotButton="0" quotePrefix="0" xfId="0">
      <alignment horizontal="left" vertical="center"/>
    </xf>
    <xf numFmtId="0" fontId="4" fillId="18" borderId="1" applyAlignment="1" pivotButton="0" quotePrefix="0" xfId="0">
      <alignment horizontal="left" vertical="center"/>
    </xf>
    <xf numFmtId="0" fontId="2" fillId="19" borderId="2" applyAlignment="1" pivotButton="0" quotePrefix="0" xfId="0">
      <alignment horizontal="left" vertical="center"/>
    </xf>
    <xf numFmtId="0" fontId="4" fillId="20" borderId="1" applyAlignment="1" pivotButton="0" quotePrefix="0" xfId="0">
      <alignment horizontal="left" vertical="center"/>
    </xf>
    <xf numFmtId="0" fontId="2" fillId="21" borderId="2" applyAlignment="1" pivotButton="0" quotePrefix="0" xfId="0">
      <alignment horizontal="left" vertical="center"/>
    </xf>
    <xf numFmtId="0" fontId="4" fillId="22" borderId="1" applyAlignment="1" pivotButton="0" quotePrefix="0" xfId="0">
      <alignment horizontal="left" vertical="center"/>
    </xf>
    <xf numFmtId="0" fontId="2" fillId="23" borderId="2" applyAlignment="1" pivotButton="0" quotePrefix="0" xfId="0">
      <alignment horizontal="left" vertical="center"/>
    </xf>
    <xf numFmtId="0" fontId="4" fillId="24" borderId="1" applyAlignment="1" pivotButton="0" quotePrefix="0" xfId="0">
      <alignment horizontal="left" vertical="center"/>
    </xf>
    <xf numFmtId="0" fontId="2" fillId="25" borderId="2" applyAlignment="1" pivotButton="0" quotePrefix="0" xfId="0">
      <alignment horizontal="left" vertical="center"/>
    </xf>
    <xf numFmtId="0" fontId="4" fillId="26" borderId="1" applyAlignment="1" pivotButton="0" quotePrefix="0" xfId="0">
      <alignment horizontal="left" vertical="center"/>
    </xf>
    <xf numFmtId="0" fontId="2" fillId="27" borderId="2" applyAlignment="1" pivotButton="0" quotePrefix="0" xfId="0">
      <alignment horizontal="left" vertical="center"/>
    </xf>
    <xf numFmtId="0" fontId="4" fillId="28" borderId="1" applyAlignment="1" pivotButton="0" quotePrefix="0" xfId="0">
      <alignment horizontal="left" vertical="center"/>
    </xf>
    <xf numFmtId="0" fontId="2" fillId="29" borderId="2" applyAlignment="1" pivotButton="0" quotePrefix="0" xfId="0">
      <alignment horizontal="left" vertical="center"/>
    </xf>
    <xf numFmtId="0" fontId="4" fillId="30" borderId="1" applyAlignment="1" pivotButton="0" quotePrefix="0" xfId="0">
      <alignment horizontal="left" vertical="center"/>
    </xf>
    <xf numFmtId="0" fontId="2" fillId="31" borderId="2" applyAlignment="1" pivotButton="0" quotePrefix="0" xfId="0">
      <alignment horizontal="left" vertical="center"/>
    </xf>
    <xf numFmtId="0" fontId="4" fillId="32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J37"/>
  <sheetViews>
    <sheetView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0" customWidth="1" min="3" max="3"/>
    <col width="16" customWidth="1" min="4" max="4"/>
    <col width="14" customWidth="1" min="5" max="5"/>
    <col width="14" customWidth="1" min="6" max="6"/>
    <col width="20" customWidth="1" min="7" max="7"/>
    <col width="14" customWidth="1" min="8" max="8"/>
    <col width="14" customWidth="1" min="9" max="9"/>
    <col width="20" customWidth="1" min="10" max="10"/>
  </cols>
  <sheetData>
    <row r="1" ht="48" customHeight="1">
      <c r="A1" s="1" t="inlineStr">
        <is>
          <t>Homeschool Curriculum Planner</t>
        </is>
      </c>
    </row>
    <row r="2" ht="26" customHeight="1">
      <c r="A2" s="2" t="inlineStr">
        <is>
          <t>Getting Started  —  School &amp; Student Information</t>
        </is>
      </c>
    </row>
    <row r="4" ht="22" customHeight="1">
      <c r="A4" s="3" t="inlineStr">
        <is>
          <t>SCHOOL YEAR SETTINGS</t>
        </is>
      </c>
    </row>
    <row r="5" ht="20" customHeight="1">
      <c r="B5" s="4" t="inlineStr">
        <is>
          <t>School Name:</t>
        </is>
      </c>
      <c r="C5" s="5" t="inlineStr">
        <is>
          <t>Westfield Academy</t>
        </is>
      </c>
    </row>
    <row r="6" ht="20" customHeight="1">
      <c r="B6" s="4" t="inlineStr">
        <is>
          <t>School Year:</t>
        </is>
      </c>
      <c r="C6" s="5" t="inlineStr">
        <is>
          <t>2025-2026</t>
        </is>
      </c>
    </row>
    <row r="7" ht="20" customHeight="1">
      <c r="B7" s="4" t="inlineStr">
        <is>
          <t>School Start Date:</t>
        </is>
      </c>
      <c r="C7" s="6" t="n"/>
      <c r="G7" s="7" t="inlineStr">
        <is>
          <t>← Enter as MM/DD/YYYY</t>
        </is>
      </c>
    </row>
    <row r="8" ht="20" customHeight="1">
      <c r="B8" s="4" t="inlineStr">
        <is>
          <t>School End Date:</t>
        </is>
      </c>
      <c r="C8" s="6" t="n"/>
      <c r="G8" s="7" t="inlineStr">
        <is>
          <t>← Enter as MM/DD/YYYY</t>
        </is>
      </c>
    </row>
    <row r="9" ht="20" customHeight="1">
      <c r="B9" s="4" t="inlineStr">
        <is>
          <t>Total School Weeks:</t>
        </is>
      </c>
      <c r="C9" s="8">
        <f>IFERROR(ROUNDDOWN((B8-B7)/7,0),"")</f>
        <v/>
      </c>
      <c r="G9" s="7" t="inlineStr">
        <is>
          <t>← Auto-calculated from dates above</t>
        </is>
      </c>
    </row>
    <row r="10" ht="20" customHeight="1">
      <c r="B10" s="4" t="inlineStr">
        <is>
          <t>School Days per Week:</t>
        </is>
      </c>
      <c r="C10" s="5" t="n">
        <v>5</v>
      </c>
    </row>
    <row r="11" ht="8" customHeight="1"/>
    <row r="12" ht="22" customHeight="1">
      <c r="A12" s="3" t="inlineStr">
        <is>
          <t>STUDENT ROSTER</t>
        </is>
      </c>
    </row>
    <row r="13" ht="30" customHeight="1">
      <c r="B13" s="9" t="inlineStr">
        <is>
          <t>#</t>
        </is>
      </c>
      <c r="C13" s="9" t="inlineStr">
        <is>
          <t>Student Name</t>
        </is>
      </c>
      <c r="E13" s="9" t="inlineStr">
        <is>
          <t>Date of Birth</t>
        </is>
      </c>
      <c r="F13" s="9" t="inlineStr">
        <is>
          <t>Class of
(Grad Year)</t>
        </is>
      </c>
      <c r="G13" s="9" t="inlineStr">
        <is>
          <t>Grade Level
(Auto-Calc)</t>
        </is>
      </c>
      <c r="H13" s="9" t="inlineStr">
        <is>
          <t>Curriculum Notes</t>
        </is>
      </c>
    </row>
    <row r="14" ht="20" customHeight="1">
      <c r="B14" s="10" t="n">
        <v>1</v>
      </c>
      <c r="C14" s="5" t="n"/>
      <c r="E14" s="6" t="n"/>
      <c r="F14" s="11" t="n"/>
      <c r="G14" s="12">
        <f>IF(OR(C14="",F14=""),"",LET(g,12-(F14-YEAR($B$8)),IF(g=11,"11th",IF(g=12,"12th",IF(g=1,"1st",IF(g=2,"2nd",IF(g=3,"3rd",g&amp;"th")))))))</f>
        <v/>
      </c>
      <c r="H14" s="5" t="n"/>
    </row>
    <row r="15" ht="20" customHeight="1">
      <c r="B15" s="13" t="n">
        <v>2</v>
      </c>
      <c r="C15" s="5" t="n"/>
      <c r="E15" s="6" t="n"/>
      <c r="F15" s="11" t="n"/>
      <c r="G15" s="12">
        <f>IF(OR(C15="",F15=""),"",LET(g,12-(F15-YEAR($B$8)),IF(g=11,"11th",IF(g=12,"12th",IF(g=1,"1st",IF(g=2,"2nd",IF(g=3,"3rd",g&amp;"th")))))))</f>
        <v/>
      </c>
      <c r="H15" s="5" t="n"/>
    </row>
    <row r="16" ht="20" customHeight="1">
      <c r="B16" s="10" t="n">
        <v>3</v>
      </c>
      <c r="C16" s="5" t="n"/>
      <c r="E16" s="6" t="n"/>
      <c r="F16" s="11" t="n"/>
      <c r="G16" s="12">
        <f>IF(OR(C16="",F16=""),"",LET(g,12-(F16-YEAR($B$8)),IF(g=11,"11th",IF(g=12,"12th",IF(g=1,"1st",IF(g=2,"2nd",IF(g=3,"3rd",g&amp;"th")))))))</f>
        <v/>
      </c>
      <c r="H16" s="5" t="n"/>
    </row>
    <row r="17" ht="20" customHeight="1">
      <c r="B17" s="13" t="n">
        <v>4</v>
      </c>
      <c r="C17" s="5" t="n"/>
      <c r="E17" s="6" t="n"/>
      <c r="F17" s="11" t="n"/>
      <c r="G17" s="12">
        <f>IF(OR(C17="",F17=""),"",LET(g,12-(F17-YEAR($B$8)),IF(g=11,"11th",IF(g=12,"12th",IF(g=1,"1st",IF(g=2,"2nd",IF(g=3,"3rd",g&amp;"th")))))))</f>
        <v/>
      </c>
      <c r="H17" s="5" t="n"/>
    </row>
    <row r="18" ht="20" customHeight="1">
      <c r="B18" s="10" t="n">
        <v>5</v>
      </c>
      <c r="C18" s="5" t="n"/>
      <c r="E18" s="6" t="n"/>
      <c r="F18" s="11" t="n"/>
      <c r="G18" s="12">
        <f>IF(OR(C18="",F18=""),"",LET(g,12-(F18-YEAR($B$8)),IF(g=11,"11th",IF(g=12,"12th",IF(g=1,"1st",IF(g=2,"2nd",IF(g=3,"3rd",g&amp;"th")))))))</f>
        <v/>
      </c>
      <c r="H18" s="5" t="n"/>
    </row>
    <row r="19" ht="20" customHeight="1">
      <c r="B19" s="13" t="n">
        <v>6</v>
      </c>
      <c r="C19" s="5" t="n"/>
      <c r="E19" s="6" t="n"/>
      <c r="F19" s="11" t="n"/>
      <c r="G19" s="12">
        <f>IF(OR(C19="",F19=""),"",LET(g,12-(F19-YEAR($B$8)),IF(g=11,"11th",IF(g=12,"12th",IF(g=1,"1st",IF(g=2,"2nd",IF(g=3,"3rd",g&amp;"th")))))))</f>
        <v/>
      </c>
      <c r="H19" s="5" t="n"/>
    </row>
    <row r="20" ht="20" customHeight="1">
      <c r="B20" s="10" t="n">
        <v>7</v>
      </c>
      <c r="C20" s="5" t="n"/>
      <c r="E20" s="6" t="n"/>
      <c r="F20" s="11" t="n"/>
      <c r="G20" s="12">
        <f>IF(OR(C20="",F20=""),"",LET(g,12-(F20-YEAR($B$8)),IF(g=11,"11th",IF(g=12,"12th",IF(g=1,"1st",IF(g=2,"2nd",IF(g=3,"3rd",g&amp;"th")))))))</f>
        <v/>
      </c>
      <c r="H20" s="5" t="n"/>
    </row>
    <row r="21" ht="20" customHeight="1">
      <c r="B21" s="13" t="n">
        <v>8</v>
      </c>
      <c r="C21" s="5" t="n"/>
      <c r="E21" s="6" t="n"/>
      <c r="F21" s="11" t="n"/>
      <c r="G21" s="12">
        <f>IF(OR(C21="",F21=""),"",LET(g,12-(F21-YEAR($B$8)),IF(g=11,"11th",IF(g=12,"12th",IF(g=1,"1st",IF(g=2,"2nd",IF(g=3,"3rd",g&amp;"th")))))))</f>
        <v/>
      </c>
      <c r="H21" s="5" t="n"/>
    </row>
    <row r="22" ht="20" customHeight="1">
      <c r="B22" s="10" t="n">
        <v>9</v>
      </c>
      <c r="C22" s="5" t="n"/>
      <c r="E22" s="6" t="n"/>
      <c r="F22" s="11" t="n"/>
      <c r="G22" s="12">
        <f>IF(OR(C22="",F22=""),"",LET(g,12-(F22-YEAR($B$8)),IF(g=11,"11th",IF(g=12,"12th",IF(g=1,"1st",IF(g=2,"2nd",IF(g=3,"3rd",g&amp;"th")))))))</f>
        <v/>
      </c>
      <c r="H22" s="5" t="n"/>
    </row>
    <row r="23" ht="20" customHeight="1">
      <c r="B23" s="13" t="n">
        <v>10</v>
      </c>
      <c r="C23" s="5" t="n"/>
      <c r="E23" s="6" t="n"/>
      <c r="F23" s="11" t="n"/>
      <c r="G23" s="12">
        <f>IF(OR(C23="",F23=""),"",LET(g,12-(F23-YEAR($B$8)),IF(g=11,"11th",IF(g=12,"12th",IF(g=1,"1st",IF(g=2,"2nd",IF(g=3,"3rd",g&amp;"th")))))))</f>
        <v/>
      </c>
      <c r="H23" s="5" t="n"/>
    </row>
    <row r="25" ht="8" customHeight="1"/>
    <row r="26" ht="22" customHeight="1">
      <c r="A26" s="14" t="inlineStr">
        <is>
          <t>LEGEND</t>
        </is>
      </c>
    </row>
    <row r="27" ht="18" customHeight="1">
      <c r="B27" s="15" t="n"/>
      <c r="C27" s="16" t="inlineStr">
        <is>
          <t>User Input Cell — type your data here</t>
        </is>
      </c>
    </row>
    <row r="28" ht="18" customHeight="1">
      <c r="B28" s="17" t="n"/>
      <c r="C28" s="16" t="inlineStr">
        <is>
          <t>Formula Cell — auto-calculated, do not edit</t>
        </is>
      </c>
    </row>
    <row r="29" ht="8" customHeight="1"/>
    <row r="30" ht="22" customHeight="1">
      <c r="A30" s="18" t="inlineStr">
        <is>
          <t>HOW TO USE THIS PLANNER</t>
        </is>
      </c>
    </row>
    <row r="31" ht="18" customHeight="1">
      <c r="B31" s="19" t="inlineStr">
        <is>
          <t>1.  Fill in the School Year Settings above (name, year, start/end dates, days per week).</t>
        </is>
      </c>
    </row>
    <row r="32" ht="18" customHeight="1">
      <c r="B32" s="20" t="inlineStr">
        <is>
          <t>2.  Enter each student's name, date of birth, and graduation year — grade is auto-calculated.</t>
        </is>
      </c>
    </row>
    <row r="33" ht="18" customHeight="1">
      <c r="B33" s="19" t="inlineStr">
        <is>
          <t>3.  Navigate to each student's tab (tabs are pre-labeled Student 1 – Student 10).</t>
        </is>
      </c>
    </row>
    <row r="34" ht="18" customHeight="1">
      <c r="B34" s="20" t="inlineStr">
        <is>
          <t>4.  For each subject, enter the curriculum title and total units (pages, lessons, chapters, etc.).</t>
        </is>
      </c>
    </row>
    <row r="35" ht="18" customHeight="1">
      <c r="B35" s="19" t="inlineStr">
        <is>
          <t>5.  The planner will calculate how many units per week and per day to stay on track.</t>
        </is>
      </c>
    </row>
    <row r="36" ht="18" customHeight="1">
      <c r="B36" s="20" t="inlineStr">
        <is>
          <t>6.  For multi-volume curricula (e.g. a math program with 10 books), use the Component Breakdown table.</t>
        </is>
      </c>
    </row>
    <row r="37" ht="18" customHeight="1">
      <c r="B37" s="19" t="inlineStr">
        <is>
          <t>7.  Yellow cells = you type here.  Blue-tinted cells = formulas, leave them alone.</t>
        </is>
      </c>
    </row>
  </sheetData>
  <mergeCells count="52">
    <mergeCell ref="C8:F8"/>
    <mergeCell ref="C15:D15"/>
    <mergeCell ref="C9:E9"/>
    <mergeCell ref="C7:F7"/>
    <mergeCell ref="C14:D14"/>
    <mergeCell ref="A4:J4"/>
    <mergeCell ref="H17:J17"/>
    <mergeCell ref="C18:D18"/>
    <mergeCell ref="H16:J16"/>
    <mergeCell ref="C20:D20"/>
    <mergeCell ref="G9:J9"/>
    <mergeCell ref="B34:J34"/>
    <mergeCell ref="C16:D16"/>
    <mergeCell ref="B37:J37"/>
    <mergeCell ref="H22:J22"/>
    <mergeCell ref="C27:H27"/>
    <mergeCell ref="H13:J13"/>
    <mergeCell ref="H19:J19"/>
    <mergeCell ref="C8:E8"/>
    <mergeCell ref="C6:F6"/>
    <mergeCell ref="A30:J30"/>
    <mergeCell ref="C22:D22"/>
    <mergeCell ref="C7:E7"/>
    <mergeCell ref="C5:F5"/>
    <mergeCell ref="H15:J15"/>
    <mergeCell ref="B33:J33"/>
    <mergeCell ref="A1:J1"/>
    <mergeCell ref="C21:D21"/>
    <mergeCell ref="H18:J18"/>
    <mergeCell ref="C28:H28"/>
    <mergeCell ref="H14:J14"/>
    <mergeCell ref="G8:J8"/>
    <mergeCell ref="B36:J36"/>
    <mergeCell ref="H23:J23"/>
    <mergeCell ref="B32:J32"/>
    <mergeCell ref="G7:J7"/>
    <mergeCell ref="B35:J35"/>
    <mergeCell ref="C10:F10"/>
    <mergeCell ref="C17:D17"/>
    <mergeCell ref="C23:D23"/>
    <mergeCell ref="C6:E6"/>
    <mergeCell ref="H20:J20"/>
    <mergeCell ref="C9:F9"/>
    <mergeCell ref="C5:E5"/>
    <mergeCell ref="C19:D19"/>
    <mergeCell ref="B31:J31"/>
    <mergeCell ref="A12:J12"/>
    <mergeCell ref="C13:D13"/>
    <mergeCell ref="A26:J26"/>
    <mergeCell ref="A2:J2"/>
    <mergeCell ref="H21:J21"/>
    <mergeCell ref="C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J126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44" customHeight="1">
      <c r="A1" s="21">
        <f>'Getting Started'!C14</f>
        <v/>
      </c>
    </row>
    <row r="2" ht="24" customHeight="1">
      <c r="A2" s="22">
        <f>IFERROR("Grade: "&amp;'Getting Started'!G14&amp;"   |   School Year: "&amp;'Getting Started'!C6&amp;"   |   "  &amp;TEXT('Getting Started'!B7,"MMM D, YYYY")&amp;"  –  "&amp;TEXT('Getting Started'!B8,"MMM D, YYYY"),"")</f>
        <v/>
      </c>
    </row>
    <row r="3" ht="8" customHeight="1"/>
    <row r="4" ht="22" customHeight="1">
      <c r="A4" s="23" t="inlineStr">
        <is>
          <t>SCHOOL YEAR OVERVIEW  (from Getting Started)</t>
        </is>
      </c>
    </row>
    <row r="5" ht="20" customHeight="1">
      <c r="B5" s="24" t="inlineStr">
        <is>
          <t>Start Date:</t>
        </is>
      </c>
      <c r="C5" s="12">
        <f>IF('Getting Started'!B7&lt;&gt;"",TEXT('Getting Started'!B7,"MMM D, YYYY"),"")</f>
        <v/>
      </c>
      <c r="D5" s="24" t="inlineStr">
        <is>
          <t>End Date:</t>
        </is>
      </c>
      <c r="E5" s="12">
        <f>IF('Getting Started'!B8&lt;&gt;"",TEXT('Getting Started'!B8,"MMM D, YYYY"),"")</f>
        <v/>
      </c>
      <c r="F5" s="24" t="inlineStr">
        <is>
          <t>Total Weeks:</t>
        </is>
      </c>
      <c r="G5" s="12">
        <f>'Getting Started'!B9</f>
        <v/>
      </c>
      <c r="H5" s="24" t="inlineStr">
        <is>
          <t>Days/Week:</t>
        </is>
      </c>
      <c r="I5" s="12">
        <f>'Getting Started'!B10</f>
        <v/>
      </c>
    </row>
    <row r="7" ht="24" customHeight="1">
      <c r="A7" s="25" t="inlineStr">
        <is>
          <t xml:space="preserve">  BIBLE</t>
        </is>
      </c>
    </row>
    <row r="8" ht="20" customHeight="1">
      <c r="A8" s="26" t="inlineStr">
        <is>
          <t>Curriculum / Title:</t>
        </is>
      </c>
      <c r="B8" s="27" t="n"/>
      <c r="F8" s="26" t="inlineStr">
        <is>
          <t>Unit type:</t>
        </is>
      </c>
      <c r="G8" s="27" t="inlineStr">
        <is>
          <t>pages</t>
        </is>
      </c>
      <c r="I8" s="28" t="inlineStr">
        <is>
          <t>← type: pages, lessons, chapters…</t>
        </is>
      </c>
      <c r="J8" s="29" t="n"/>
    </row>
    <row r="9" ht="22" customHeight="1">
      <c r="A9" s="26" t="inlineStr">
        <is>
          <t>Total Units:</t>
        </is>
      </c>
      <c r="B9" s="27" t="n"/>
      <c r="C9" s="26" t="inlineStr">
        <is>
          <t>School Weeks:</t>
        </is>
      </c>
      <c r="D9" s="30">
        <f>'Getting Started'!B9</f>
        <v/>
      </c>
      <c r="E9" s="26" t="inlineStr">
        <is>
          <t>Units / Week:</t>
        </is>
      </c>
      <c r="F9" s="12">
        <f>IFERROR(IF(B9="","",ROUND(B9/D9,1)),"")</f>
        <v/>
      </c>
      <c r="G9" s="26" t="inlineStr">
        <is>
          <t>Units / Day:</t>
        </is>
      </c>
      <c r="H9" s="12">
        <f>IFERROR(IF(F9="","",ROUND(F9/'Getting Started'!B10,1)),"")</f>
        <v/>
      </c>
      <c r="I9" s="26" t="inlineStr">
        <is>
          <t>Est. End Date:</t>
        </is>
      </c>
      <c r="J9" s="12">
        <f>IFERROR(IF(B9="","",TEXT('Getting Started'!B7+(B9/'Getting Started'!B10),"MMM D, YYYY")),"")</f>
        <v/>
      </c>
    </row>
    <row r="10" ht="18" customHeight="1">
      <c r="A10" s="31" t="inlineStr">
        <is>
          <t xml:space="preserve">  Optional: Component / Volume Breakdown  (fill in if curriculum has multiple books or parts)</t>
        </is>
      </c>
    </row>
    <row r="11" ht="18" customHeight="1">
      <c r="A11" s="32" t="inlineStr">
        <is>
          <t>#</t>
        </is>
      </c>
      <c r="B11" s="32" t="inlineStr">
        <is>
          <t>Component / Book Title</t>
        </is>
      </c>
      <c r="C11" s="29" t="n"/>
      <c r="D11" s="32" t="inlineStr">
        <is>
          <t>Total Units
in Component</t>
        </is>
      </c>
      <c r="E11" s="32" t="inlineStr">
        <is>
          <t>Cumulative
Units</t>
        </is>
      </c>
      <c r="F11" s="32" t="inlineStr">
        <is>
          <t>Start
Week</t>
        </is>
      </c>
      <c r="G11" s="32" t="inlineStr">
        <is>
          <t>End
Week</t>
        </is>
      </c>
      <c r="H11" s="32" t="inlineStr">
        <is>
          <t>Start
Date</t>
        </is>
      </c>
      <c r="I11" s="32" t="inlineStr">
        <is>
          <t>End
Date</t>
        </is>
      </c>
      <c r="J11" s="32" t="inlineStr">
        <is>
          <t>Complete?</t>
        </is>
      </c>
    </row>
    <row r="12" ht="18" customHeight="1">
      <c r="A12" s="33" t="n">
        <v>1</v>
      </c>
      <c r="B12" s="27" t="n"/>
      <c r="D12" s="34" t="n"/>
      <c r="E12" s="30">
        <f>IFERROR(SUM(D12:D12),"")</f>
        <v/>
      </c>
      <c r="F12" s="30">
        <f>IF(D12="","",1)</f>
        <v/>
      </c>
      <c r="G12" s="30">
        <f>IFERROR(IF(D12="","",CEILING(E12/F9,1)),"")</f>
        <v/>
      </c>
      <c r="H12" s="30">
        <f>IFERROR(IF(D12="","",TEXT('Getting Started'!B7+(F12-1)*7,"MMM D")),"")</f>
        <v/>
      </c>
      <c r="I12" s="30">
        <f>IFERROR(IF(D12="","",TEXT('Getting Started'!B7+(G12)*7,"MMM D")),"")</f>
        <v/>
      </c>
      <c r="J12" s="34" t="n"/>
    </row>
    <row r="13" ht="18" customHeight="1">
      <c r="A13" s="33" t="n">
        <v>2</v>
      </c>
      <c r="B13" s="35" t="n"/>
      <c r="D13" s="36" t="n"/>
      <c r="E13" s="30">
        <f>IFERROR(SUM(D12:D13),"")</f>
        <v/>
      </c>
      <c r="F13" s="30">
        <f>IFERROR(IF(D13="","",FLOOR(E12/F9,1)+1),"")</f>
        <v/>
      </c>
      <c r="G13" s="30">
        <f>IFERROR(IF(D13="","",CEILING(E13/F9,1)),"")</f>
        <v/>
      </c>
      <c r="H13" s="30">
        <f>IFERROR(IF(D13="","",TEXT('Getting Started'!B7+(F13-1)*7,"MMM D")),"")</f>
        <v/>
      </c>
      <c r="I13" s="30">
        <f>IFERROR(IF(D13="","",TEXT('Getting Started'!B7+(G13)*7,"MMM D")),"")</f>
        <v/>
      </c>
      <c r="J13" s="34" t="n"/>
    </row>
    <row r="14" ht="18" customHeight="1">
      <c r="A14" s="33" t="n">
        <v>3</v>
      </c>
      <c r="B14" s="27" t="n"/>
      <c r="D14" s="34" t="n"/>
      <c r="E14" s="30">
        <f>IFERROR(SUM(D12:D14),"")</f>
        <v/>
      </c>
      <c r="F14" s="30">
        <f>IFERROR(IF(D14="","",FLOOR(E13/F9,1)+1),"")</f>
        <v/>
      </c>
      <c r="G14" s="30">
        <f>IFERROR(IF(D14="","",CEILING(E14/F9,1)),"")</f>
        <v/>
      </c>
      <c r="H14" s="30">
        <f>IFERROR(IF(D14="","",TEXT('Getting Started'!B7+(F14-1)*7,"MMM D")),"")</f>
        <v/>
      </c>
      <c r="I14" s="30">
        <f>IFERROR(IF(D14="","",TEXT('Getting Started'!B7+(G14)*7,"MMM D")),"")</f>
        <v/>
      </c>
      <c r="J14" s="34" t="n"/>
    </row>
    <row r="15" ht="18" customHeight="1">
      <c r="A15" s="33" t="n">
        <v>4</v>
      </c>
      <c r="B15" s="35" t="n"/>
      <c r="D15" s="36" t="n"/>
      <c r="E15" s="30">
        <f>IFERROR(SUM(D12:D15),"")</f>
        <v/>
      </c>
      <c r="F15" s="30">
        <f>IFERROR(IF(D15="","",FLOOR(E14/F9,1)+1),"")</f>
        <v/>
      </c>
      <c r="G15" s="30">
        <f>IFERROR(IF(D15="","",CEILING(E15/F9,1)),"")</f>
        <v/>
      </c>
      <c r="H15" s="30">
        <f>IFERROR(IF(D15="","",TEXT('Getting Started'!B7+(F15-1)*7,"MMM D")),"")</f>
        <v/>
      </c>
      <c r="I15" s="30">
        <f>IFERROR(IF(D15="","",TEXT('Getting Started'!B7+(G15)*7,"MMM D")),"")</f>
        <v/>
      </c>
      <c r="J15" s="34" t="n"/>
    </row>
    <row r="16" ht="18" customHeight="1">
      <c r="A16" s="33" t="n">
        <v>5</v>
      </c>
      <c r="B16" s="27" t="n"/>
      <c r="D16" s="34" t="n"/>
      <c r="E16" s="30">
        <f>IFERROR(SUM(D12:D16),"")</f>
        <v/>
      </c>
      <c r="F16" s="30">
        <f>IFERROR(IF(D16="","",FLOOR(E15/F9,1)+1),"")</f>
        <v/>
      </c>
      <c r="G16" s="30">
        <f>IFERROR(IF(D16="","",CEILING(E16/F9,1)),"")</f>
        <v/>
      </c>
      <c r="H16" s="30">
        <f>IFERROR(IF(D16="","",TEXT('Getting Started'!B7+(F16-1)*7,"MMM D")),"")</f>
        <v/>
      </c>
      <c r="I16" s="30">
        <f>IFERROR(IF(D16="","",TEXT('Getting Started'!B7+(G16)*7,"MMM D")),"")</f>
        <v/>
      </c>
      <c r="J16" s="34" t="n"/>
    </row>
    <row r="17" ht="18" customHeight="1">
      <c r="A17" s="33" t="n">
        <v>6</v>
      </c>
      <c r="B17" s="35" t="n"/>
      <c r="D17" s="36" t="n"/>
      <c r="E17" s="30">
        <f>IFERROR(SUM(D12:D17),"")</f>
        <v/>
      </c>
      <c r="F17" s="30">
        <f>IFERROR(IF(D17="","",FLOOR(E16/F9,1)+1),"")</f>
        <v/>
      </c>
      <c r="G17" s="30">
        <f>IFERROR(IF(D17="","",CEILING(E17/F9,1)),"")</f>
        <v/>
      </c>
      <c r="H17" s="30">
        <f>IFERROR(IF(D17="","",TEXT('Getting Started'!B7+(F17-1)*7,"MMM D")),"")</f>
        <v/>
      </c>
      <c r="I17" s="30">
        <f>IFERROR(IF(D17="","",TEXT('Getting Started'!B7+(G17)*7,"MMM D")),"")</f>
        <v/>
      </c>
      <c r="J17" s="34" t="n"/>
    </row>
    <row r="18" ht="20" customHeight="1">
      <c r="A18" s="26" t="inlineStr">
        <is>
          <t>Notes:</t>
        </is>
      </c>
      <c r="B18" s="37" t="n"/>
    </row>
    <row r="19" ht="24" customHeight="1">
      <c r="A19" s="38" t="inlineStr">
        <is>
          <t xml:space="preserve">  MATH</t>
        </is>
      </c>
    </row>
    <row r="20" ht="20" customHeight="1">
      <c r="A20" s="39" t="inlineStr">
        <is>
          <t>Curriculum / Title:</t>
        </is>
      </c>
      <c r="B20" s="27" t="n"/>
      <c r="F20" s="39" t="inlineStr">
        <is>
          <t>Unit type:</t>
        </is>
      </c>
      <c r="G20" s="27" t="inlineStr">
        <is>
          <t>pages</t>
        </is>
      </c>
      <c r="I20" s="28" t="inlineStr">
        <is>
          <t>← type: pages, lessons, chapters…</t>
        </is>
      </c>
      <c r="J20" s="29" t="n"/>
    </row>
    <row r="21" ht="22" customHeight="1">
      <c r="A21" s="39" t="inlineStr">
        <is>
          <t>Total Units:</t>
        </is>
      </c>
      <c r="B21" s="27" t="n"/>
      <c r="C21" s="39" t="inlineStr">
        <is>
          <t>School Weeks:</t>
        </is>
      </c>
      <c r="D21" s="30">
        <f>'Getting Started'!B9</f>
        <v/>
      </c>
      <c r="E21" s="39" t="inlineStr">
        <is>
          <t>Units / Week:</t>
        </is>
      </c>
      <c r="F21" s="12">
        <f>IFERROR(IF(B21="","",ROUND(B21/D21,1)),"")</f>
        <v/>
      </c>
      <c r="G21" s="39" t="inlineStr">
        <is>
          <t>Units / Day:</t>
        </is>
      </c>
      <c r="H21" s="12">
        <f>IFERROR(IF(F21="","",ROUND(F21/'Getting Started'!B10,1)),"")</f>
        <v/>
      </c>
      <c r="I21" s="39" t="inlineStr">
        <is>
          <t>Est. End Date:</t>
        </is>
      </c>
      <c r="J21" s="12">
        <f>IFERROR(IF(B21="","",TEXT('Getting Started'!B7+(B21/'Getting Started'!B10),"MMM D, YYYY")),"")</f>
        <v/>
      </c>
    </row>
    <row r="22" ht="18" customHeight="1">
      <c r="A22" s="31" t="inlineStr">
        <is>
          <t xml:space="preserve">  Optional: Component / Volume Breakdown  (fill in if curriculum has multiple books or parts)</t>
        </is>
      </c>
    </row>
    <row r="23" ht="18" customHeight="1">
      <c r="A23" s="32" t="inlineStr">
        <is>
          <t>#</t>
        </is>
      </c>
      <c r="B23" s="32" t="inlineStr">
        <is>
          <t>Component / Book Title</t>
        </is>
      </c>
      <c r="C23" s="29" t="n"/>
      <c r="D23" s="32" t="inlineStr">
        <is>
          <t>Total Units
in Component</t>
        </is>
      </c>
      <c r="E23" s="32" t="inlineStr">
        <is>
          <t>Cumulative
Units</t>
        </is>
      </c>
      <c r="F23" s="32" t="inlineStr">
        <is>
          <t>Start
Week</t>
        </is>
      </c>
      <c r="G23" s="32" t="inlineStr">
        <is>
          <t>End
Week</t>
        </is>
      </c>
      <c r="H23" s="32" t="inlineStr">
        <is>
          <t>Start
Date</t>
        </is>
      </c>
      <c r="I23" s="32" t="inlineStr">
        <is>
          <t>End
Date</t>
        </is>
      </c>
      <c r="J23" s="32" t="inlineStr">
        <is>
          <t>Complete?</t>
        </is>
      </c>
    </row>
    <row r="24" ht="18" customHeight="1">
      <c r="A24" s="33" t="n">
        <v>1</v>
      </c>
      <c r="B24" s="27" t="n"/>
      <c r="D24" s="34" t="n"/>
      <c r="E24" s="30">
        <f>IFERROR(SUM(D24:D24),"")</f>
        <v/>
      </c>
      <c r="F24" s="30">
        <f>IF(D24="","",1)</f>
        <v/>
      </c>
      <c r="G24" s="30">
        <f>IFERROR(IF(D24="","",CEILING(E24/F21,1)),"")</f>
        <v/>
      </c>
      <c r="H24" s="30">
        <f>IFERROR(IF(D24="","",TEXT('Getting Started'!B7+(F24-1)*7,"MMM D")),"")</f>
        <v/>
      </c>
      <c r="I24" s="30">
        <f>IFERROR(IF(D24="","",TEXT('Getting Started'!B7+(G24)*7,"MMM D")),"")</f>
        <v/>
      </c>
      <c r="J24" s="34" t="n"/>
    </row>
    <row r="25" ht="18" customHeight="1">
      <c r="A25" s="33" t="n">
        <v>2</v>
      </c>
      <c r="B25" s="35" t="n"/>
      <c r="D25" s="36" t="n"/>
      <c r="E25" s="30">
        <f>IFERROR(SUM(D24:D25),"")</f>
        <v/>
      </c>
      <c r="F25" s="30">
        <f>IFERROR(IF(D25="","",FLOOR(E24/F21,1)+1),"")</f>
        <v/>
      </c>
      <c r="G25" s="30">
        <f>IFERROR(IF(D25="","",CEILING(E25/F21,1)),"")</f>
        <v/>
      </c>
      <c r="H25" s="30">
        <f>IFERROR(IF(D25="","",TEXT('Getting Started'!B7+(F25-1)*7,"MMM D")),"")</f>
        <v/>
      </c>
      <c r="I25" s="30">
        <f>IFERROR(IF(D25="","",TEXT('Getting Started'!B7+(G25)*7,"MMM D")),"")</f>
        <v/>
      </c>
      <c r="J25" s="34" t="n"/>
    </row>
    <row r="26" ht="18" customHeight="1">
      <c r="A26" s="33" t="n">
        <v>3</v>
      </c>
      <c r="B26" s="27" t="n"/>
      <c r="D26" s="34" t="n"/>
      <c r="E26" s="30">
        <f>IFERROR(SUM(D24:D26),"")</f>
        <v/>
      </c>
      <c r="F26" s="30">
        <f>IFERROR(IF(D26="","",FLOOR(E25/F21,1)+1),"")</f>
        <v/>
      </c>
      <c r="G26" s="30">
        <f>IFERROR(IF(D26="","",CEILING(E26/F21,1)),"")</f>
        <v/>
      </c>
      <c r="H26" s="30">
        <f>IFERROR(IF(D26="","",TEXT('Getting Started'!B7+(F26-1)*7,"MMM D")),"")</f>
        <v/>
      </c>
      <c r="I26" s="30">
        <f>IFERROR(IF(D26="","",TEXT('Getting Started'!B7+(G26)*7,"MMM D")),"")</f>
        <v/>
      </c>
      <c r="J26" s="34" t="n"/>
    </row>
    <row r="27" ht="18" customHeight="1">
      <c r="A27" s="33" t="n">
        <v>4</v>
      </c>
      <c r="B27" s="35" t="n"/>
      <c r="D27" s="36" t="n"/>
      <c r="E27" s="30">
        <f>IFERROR(SUM(D24:D27),"")</f>
        <v/>
      </c>
      <c r="F27" s="30">
        <f>IFERROR(IF(D27="","",FLOOR(E26/F21,1)+1),"")</f>
        <v/>
      </c>
      <c r="G27" s="30">
        <f>IFERROR(IF(D27="","",CEILING(E27/F21,1)),"")</f>
        <v/>
      </c>
      <c r="H27" s="30">
        <f>IFERROR(IF(D27="","",TEXT('Getting Started'!B7+(F27-1)*7,"MMM D")),"")</f>
        <v/>
      </c>
      <c r="I27" s="30">
        <f>IFERROR(IF(D27="","",TEXT('Getting Started'!B7+(G27)*7,"MMM D")),"")</f>
        <v/>
      </c>
      <c r="J27" s="34" t="n"/>
    </row>
    <row r="28" ht="18" customHeight="1">
      <c r="A28" s="33" t="n">
        <v>5</v>
      </c>
      <c r="B28" s="27" t="n"/>
      <c r="D28" s="34" t="n"/>
      <c r="E28" s="30">
        <f>IFERROR(SUM(D24:D28),"")</f>
        <v/>
      </c>
      <c r="F28" s="30">
        <f>IFERROR(IF(D28="","",FLOOR(E27/F21,1)+1),"")</f>
        <v/>
      </c>
      <c r="G28" s="30">
        <f>IFERROR(IF(D28="","",CEILING(E28/F21,1)),"")</f>
        <v/>
      </c>
      <c r="H28" s="30">
        <f>IFERROR(IF(D28="","",TEXT('Getting Started'!B7+(F28-1)*7,"MMM D")),"")</f>
        <v/>
      </c>
      <c r="I28" s="30">
        <f>IFERROR(IF(D28="","",TEXT('Getting Started'!B7+(G28)*7,"MMM D")),"")</f>
        <v/>
      </c>
      <c r="J28" s="34" t="n"/>
    </row>
    <row r="29" ht="18" customHeight="1">
      <c r="A29" s="33" t="n">
        <v>6</v>
      </c>
      <c r="B29" s="35" t="n"/>
      <c r="D29" s="36" t="n"/>
      <c r="E29" s="30">
        <f>IFERROR(SUM(D24:D29),"")</f>
        <v/>
      </c>
      <c r="F29" s="30">
        <f>IFERROR(IF(D29="","",FLOOR(E28/F21,1)+1),"")</f>
        <v/>
      </c>
      <c r="G29" s="30">
        <f>IFERROR(IF(D29="","",CEILING(E29/F21,1)),"")</f>
        <v/>
      </c>
      <c r="H29" s="30">
        <f>IFERROR(IF(D29="","",TEXT('Getting Started'!B7+(F29-1)*7,"MMM D")),"")</f>
        <v/>
      </c>
      <c r="I29" s="30">
        <f>IFERROR(IF(D29="","",TEXT('Getting Started'!B7+(G29)*7,"MMM D")),"")</f>
        <v/>
      </c>
      <c r="J29" s="34" t="n"/>
    </row>
    <row r="30" ht="20" customHeight="1">
      <c r="A30" s="39" t="inlineStr">
        <is>
          <t>Notes:</t>
        </is>
      </c>
      <c r="B30" s="37" t="n"/>
    </row>
    <row r="31" ht="24" customHeight="1">
      <c r="A31" s="40" t="inlineStr">
        <is>
          <t xml:space="preserve">  ENGLISH / LANGUAGE ARTS</t>
        </is>
      </c>
    </row>
    <row r="32" ht="20" customHeight="1">
      <c r="A32" s="41" t="inlineStr">
        <is>
          <t>Curriculum / Title:</t>
        </is>
      </c>
      <c r="B32" s="27" t="n"/>
      <c r="F32" s="41" t="inlineStr">
        <is>
          <t>Unit type:</t>
        </is>
      </c>
      <c r="G32" s="27" t="inlineStr">
        <is>
          <t>pages</t>
        </is>
      </c>
      <c r="I32" s="28" t="inlineStr">
        <is>
          <t>← type: pages, lessons, chapters…</t>
        </is>
      </c>
      <c r="J32" s="29" t="n"/>
    </row>
    <row r="33" ht="22" customHeight="1">
      <c r="A33" s="41" t="inlineStr">
        <is>
          <t>Total Units:</t>
        </is>
      </c>
      <c r="B33" s="27" t="n"/>
      <c r="C33" s="41" t="inlineStr">
        <is>
          <t>School Weeks:</t>
        </is>
      </c>
      <c r="D33" s="30">
        <f>'Getting Started'!B9</f>
        <v/>
      </c>
      <c r="E33" s="41" t="inlineStr">
        <is>
          <t>Units / Week:</t>
        </is>
      </c>
      <c r="F33" s="12">
        <f>IFERROR(IF(B33="","",ROUND(B33/D33,1)),"")</f>
        <v/>
      </c>
      <c r="G33" s="41" t="inlineStr">
        <is>
          <t>Units / Day:</t>
        </is>
      </c>
      <c r="H33" s="12">
        <f>IFERROR(IF(F33="","",ROUND(F33/'Getting Started'!B10,1)),"")</f>
        <v/>
      </c>
      <c r="I33" s="41" t="inlineStr">
        <is>
          <t>Est. End Date:</t>
        </is>
      </c>
      <c r="J33" s="12">
        <f>IFERROR(IF(B33="","",TEXT('Getting Started'!B7+(B33/'Getting Started'!B10),"MMM D, YYYY")),"")</f>
        <v/>
      </c>
    </row>
    <row r="34" ht="18" customHeight="1">
      <c r="A34" s="31" t="inlineStr">
        <is>
          <t xml:space="preserve">  Optional: Component / Volume Breakdown  (fill in if curriculum has multiple books or parts)</t>
        </is>
      </c>
    </row>
    <row r="35" ht="18" customHeight="1">
      <c r="A35" s="32" t="inlineStr">
        <is>
          <t>#</t>
        </is>
      </c>
      <c r="B35" s="32" t="inlineStr">
        <is>
          <t>Component / Book Title</t>
        </is>
      </c>
      <c r="C35" s="29" t="n"/>
      <c r="D35" s="32" t="inlineStr">
        <is>
          <t>Total Units
in Component</t>
        </is>
      </c>
      <c r="E35" s="32" t="inlineStr">
        <is>
          <t>Cumulative
Units</t>
        </is>
      </c>
      <c r="F35" s="32" t="inlineStr">
        <is>
          <t>Start
Week</t>
        </is>
      </c>
      <c r="G35" s="32" t="inlineStr">
        <is>
          <t>End
Week</t>
        </is>
      </c>
      <c r="H35" s="32" t="inlineStr">
        <is>
          <t>Start
Date</t>
        </is>
      </c>
      <c r="I35" s="32" t="inlineStr">
        <is>
          <t>End
Date</t>
        </is>
      </c>
      <c r="J35" s="32" t="inlineStr">
        <is>
          <t>Complete?</t>
        </is>
      </c>
    </row>
    <row r="36" ht="18" customHeight="1">
      <c r="A36" s="33" t="n">
        <v>1</v>
      </c>
      <c r="B36" s="27" t="n"/>
      <c r="D36" s="34" t="n"/>
      <c r="E36" s="30">
        <f>IFERROR(SUM(D36:D36),"")</f>
        <v/>
      </c>
      <c r="F36" s="30">
        <f>IF(D36="","",1)</f>
        <v/>
      </c>
      <c r="G36" s="30">
        <f>IFERROR(IF(D36="","",CEILING(E36/F33,1)),"")</f>
        <v/>
      </c>
      <c r="H36" s="30">
        <f>IFERROR(IF(D36="","",TEXT('Getting Started'!B7+(F36-1)*7,"MMM D")),"")</f>
        <v/>
      </c>
      <c r="I36" s="30">
        <f>IFERROR(IF(D36="","",TEXT('Getting Started'!B7+(G36)*7,"MMM D")),"")</f>
        <v/>
      </c>
      <c r="J36" s="34" t="n"/>
    </row>
    <row r="37" ht="18" customHeight="1">
      <c r="A37" s="33" t="n">
        <v>2</v>
      </c>
      <c r="B37" s="35" t="n"/>
      <c r="D37" s="36" t="n"/>
      <c r="E37" s="30">
        <f>IFERROR(SUM(D36:D37),"")</f>
        <v/>
      </c>
      <c r="F37" s="30">
        <f>IFERROR(IF(D37="","",FLOOR(E36/F33,1)+1),"")</f>
        <v/>
      </c>
      <c r="G37" s="30">
        <f>IFERROR(IF(D37="","",CEILING(E37/F33,1)),"")</f>
        <v/>
      </c>
      <c r="H37" s="30">
        <f>IFERROR(IF(D37="","",TEXT('Getting Started'!B7+(F37-1)*7,"MMM D")),"")</f>
        <v/>
      </c>
      <c r="I37" s="30">
        <f>IFERROR(IF(D37="","",TEXT('Getting Started'!B7+(G37)*7,"MMM D")),"")</f>
        <v/>
      </c>
      <c r="J37" s="34" t="n"/>
    </row>
    <row r="38" ht="18" customHeight="1">
      <c r="A38" s="33" t="n">
        <v>3</v>
      </c>
      <c r="B38" s="27" t="n"/>
      <c r="D38" s="34" t="n"/>
      <c r="E38" s="30">
        <f>IFERROR(SUM(D36:D38),"")</f>
        <v/>
      </c>
      <c r="F38" s="30">
        <f>IFERROR(IF(D38="","",FLOOR(E37/F33,1)+1),"")</f>
        <v/>
      </c>
      <c r="G38" s="30">
        <f>IFERROR(IF(D38="","",CEILING(E38/F33,1)),"")</f>
        <v/>
      </c>
      <c r="H38" s="30">
        <f>IFERROR(IF(D38="","",TEXT('Getting Started'!B7+(F38-1)*7,"MMM D")),"")</f>
        <v/>
      </c>
      <c r="I38" s="30">
        <f>IFERROR(IF(D38="","",TEXT('Getting Started'!B7+(G38)*7,"MMM D")),"")</f>
        <v/>
      </c>
      <c r="J38" s="34" t="n"/>
    </row>
    <row r="39" ht="18" customHeight="1">
      <c r="A39" s="33" t="n">
        <v>4</v>
      </c>
      <c r="B39" s="35" t="n"/>
      <c r="D39" s="36" t="n"/>
      <c r="E39" s="30">
        <f>IFERROR(SUM(D36:D39),"")</f>
        <v/>
      </c>
      <c r="F39" s="30">
        <f>IFERROR(IF(D39="","",FLOOR(E38/F33,1)+1),"")</f>
        <v/>
      </c>
      <c r="G39" s="30">
        <f>IFERROR(IF(D39="","",CEILING(E39/F33,1)),"")</f>
        <v/>
      </c>
      <c r="H39" s="30">
        <f>IFERROR(IF(D39="","",TEXT('Getting Started'!B7+(F39-1)*7,"MMM D")),"")</f>
        <v/>
      </c>
      <c r="I39" s="30">
        <f>IFERROR(IF(D39="","",TEXT('Getting Started'!B7+(G39)*7,"MMM D")),"")</f>
        <v/>
      </c>
      <c r="J39" s="34" t="n"/>
    </row>
    <row r="40" ht="18" customHeight="1">
      <c r="A40" s="33" t="n">
        <v>5</v>
      </c>
      <c r="B40" s="27" t="n"/>
      <c r="D40" s="34" t="n"/>
      <c r="E40" s="30">
        <f>IFERROR(SUM(D36:D40),"")</f>
        <v/>
      </c>
      <c r="F40" s="30">
        <f>IFERROR(IF(D40="","",FLOOR(E39/F33,1)+1),"")</f>
        <v/>
      </c>
      <c r="G40" s="30">
        <f>IFERROR(IF(D40="","",CEILING(E40/F33,1)),"")</f>
        <v/>
      </c>
      <c r="H40" s="30">
        <f>IFERROR(IF(D40="","",TEXT('Getting Started'!B7+(F40-1)*7,"MMM D")),"")</f>
        <v/>
      </c>
      <c r="I40" s="30">
        <f>IFERROR(IF(D40="","",TEXT('Getting Started'!B7+(G40)*7,"MMM D")),"")</f>
        <v/>
      </c>
      <c r="J40" s="34" t="n"/>
    </row>
    <row r="41" ht="18" customHeight="1">
      <c r="A41" s="33" t="n">
        <v>6</v>
      </c>
      <c r="B41" s="35" t="n"/>
      <c r="D41" s="36" t="n"/>
      <c r="E41" s="30">
        <f>IFERROR(SUM(D36:D41),"")</f>
        <v/>
      </c>
      <c r="F41" s="30">
        <f>IFERROR(IF(D41="","",FLOOR(E40/F33,1)+1),"")</f>
        <v/>
      </c>
      <c r="G41" s="30">
        <f>IFERROR(IF(D41="","",CEILING(E41/F33,1)),"")</f>
        <v/>
      </c>
      <c r="H41" s="30">
        <f>IFERROR(IF(D41="","",TEXT('Getting Started'!B7+(F41-1)*7,"MMM D")),"")</f>
        <v/>
      </c>
      <c r="I41" s="30">
        <f>IFERROR(IF(D41="","",TEXT('Getting Started'!B7+(G41)*7,"MMM D")),"")</f>
        <v/>
      </c>
      <c r="J41" s="34" t="n"/>
    </row>
    <row r="42" ht="20" customHeight="1">
      <c r="A42" s="41" t="inlineStr">
        <is>
          <t>Notes:</t>
        </is>
      </c>
      <c r="B42" s="37" t="n"/>
    </row>
    <row r="43" ht="24" customHeight="1">
      <c r="A43" s="42" t="inlineStr">
        <is>
          <t xml:space="preserve">  READING</t>
        </is>
      </c>
    </row>
    <row r="44" ht="20" customHeight="1">
      <c r="A44" s="43" t="inlineStr">
        <is>
          <t>Curriculum / Title:</t>
        </is>
      </c>
      <c r="B44" s="27" t="n"/>
      <c r="F44" s="43" t="inlineStr">
        <is>
          <t>Unit type:</t>
        </is>
      </c>
      <c r="G44" s="27" t="inlineStr">
        <is>
          <t>pages</t>
        </is>
      </c>
      <c r="I44" s="28" t="inlineStr">
        <is>
          <t>← type: pages, lessons, chapters…</t>
        </is>
      </c>
      <c r="J44" s="29" t="n"/>
    </row>
    <row r="45" ht="22" customHeight="1">
      <c r="A45" s="43" t="inlineStr">
        <is>
          <t>Total Units:</t>
        </is>
      </c>
      <c r="B45" s="27" t="n"/>
      <c r="C45" s="43" t="inlineStr">
        <is>
          <t>School Weeks:</t>
        </is>
      </c>
      <c r="D45" s="30">
        <f>'Getting Started'!B9</f>
        <v/>
      </c>
      <c r="E45" s="43" t="inlineStr">
        <is>
          <t>Units / Week:</t>
        </is>
      </c>
      <c r="F45" s="12">
        <f>IFERROR(IF(B45="","",ROUND(B45/D45,1)),"")</f>
        <v/>
      </c>
      <c r="G45" s="43" t="inlineStr">
        <is>
          <t>Units / Day:</t>
        </is>
      </c>
      <c r="H45" s="12">
        <f>IFERROR(IF(F45="","",ROUND(F45/'Getting Started'!B10,1)),"")</f>
        <v/>
      </c>
      <c r="I45" s="43" t="inlineStr">
        <is>
          <t>Est. End Date:</t>
        </is>
      </c>
      <c r="J45" s="12">
        <f>IFERROR(IF(B45="","",TEXT('Getting Started'!B7+(B45/'Getting Started'!B10),"MMM D, YYYY")),"")</f>
        <v/>
      </c>
    </row>
    <row r="46" ht="18" customHeight="1">
      <c r="A46" s="31" t="inlineStr">
        <is>
          <t xml:space="preserve">  Optional: Component / Volume Breakdown  (fill in if curriculum has multiple books or parts)</t>
        </is>
      </c>
    </row>
    <row r="47" ht="18" customHeight="1">
      <c r="A47" s="32" t="inlineStr">
        <is>
          <t>#</t>
        </is>
      </c>
      <c r="B47" s="32" t="inlineStr">
        <is>
          <t>Component / Book Title</t>
        </is>
      </c>
      <c r="C47" s="29" t="n"/>
      <c r="D47" s="32" t="inlineStr">
        <is>
          <t>Total Units
in Component</t>
        </is>
      </c>
      <c r="E47" s="32" t="inlineStr">
        <is>
          <t>Cumulative
Units</t>
        </is>
      </c>
      <c r="F47" s="32" t="inlineStr">
        <is>
          <t>Start
Week</t>
        </is>
      </c>
      <c r="G47" s="32" t="inlineStr">
        <is>
          <t>End
Week</t>
        </is>
      </c>
      <c r="H47" s="32" t="inlineStr">
        <is>
          <t>Start
Date</t>
        </is>
      </c>
      <c r="I47" s="32" t="inlineStr">
        <is>
          <t>End
Date</t>
        </is>
      </c>
      <c r="J47" s="32" t="inlineStr">
        <is>
          <t>Complete?</t>
        </is>
      </c>
    </row>
    <row r="48" ht="18" customHeight="1">
      <c r="A48" s="33" t="n">
        <v>1</v>
      </c>
      <c r="B48" s="27" t="n"/>
      <c r="D48" s="34" t="n"/>
      <c r="E48" s="30">
        <f>IFERROR(SUM(D48:D48),"")</f>
        <v/>
      </c>
      <c r="F48" s="30">
        <f>IF(D48="","",1)</f>
        <v/>
      </c>
      <c r="G48" s="30">
        <f>IFERROR(IF(D48="","",CEILING(E48/F45,1)),"")</f>
        <v/>
      </c>
      <c r="H48" s="30">
        <f>IFERROR(IF(D48="","",TEXT('Getting Started'!B7+(F48-1)*7,"MMM D")),"")</f>
        <v/>
      </c>
      <c r="I48" s="30">
        <f>IFERROR(IF(D48="","",TEXT('Getting Started'!B7+(G48)*7,"MMM D")),"")</f>
        <v/>
      </c>
      <c r="J48" s="34" t="n"/>
    </row>
    <row r="49" ht="18" customHeight="1">
      <c r="A49" s="33" t="n">
        <v>2</v>
      </c>
      <c r="B49" s="35" t="n"/>
      <c r="D49" s="36" t="n"/>
      <c r="E49" s="30">
        <f>IFERROR(SUM(D48:D49),"")</f>
        <v/>
      </c>
      <c r="F49" s="30">
        <f>IFERROR(IF(D49="","",FLOOR(E48/F45,1)+1),"")</f>
        <v/>
      </c>
      <c r="G49" s="30">
        <f>IFERROR(IF(D49="","",CEILING(E49/F45,1)),"")</f>
        <v/>
      </c>
      <c r="H49" s="30">
        <f>IFERROR(IF(D49="","",TEXT('Getting Started'!B7+(F49-1)*7,"MMM D")),"")</f>
        <v/>
      </c>
      <c r="I49" s="30">
        <f>IFERROR(IF(D49="","",TEXT('Getting Started'!B7+(G49)*7,"MMM D")),"")</f>
        <v/>
      </c>
      <c r="J49" s="34" t="n"/>
    </row>
    <row r="50" ht="18" customHeight="1">
      <c r="A50" s="33" t="n">
        <v>3</v>
      </c>
      <c r="B50" s="27" t="n"/>
      <c r="D50" s="34" t="n"/>
      <c r="E50" s="30">
        <f>IFERROR(SUM(D48:D50),"")</f>
        <v/>
      </c>
      <c r="F50" s="30">
        <f>IFERROR(IF(D50="","",FLOOR(E49/F45,1)+1),"")</f>
        <v/>
      </c>
      <c r="G50" s="30">
        <f>IFERROR(IF(D50="","",CEILING(E50/F45,1)),"")</f>
        <v/>
      </c>
      <c r="H50" s="30">
        <f>IFERROR(IF(D50="","",TEXT('Getting Started'!B7+(F50-1)*7,"MMM D")),"")</f>
        <v/>
      </c>
      <c r="I50" s="30">
        <f>IFERROR(IF(D50="","",TEXT('Getting Started'!B7+(G50)*7,"MMM D")),"")</f>
        <v/>
      </c>
      <c r="J50" s="34" t="n"/>
    </row>
    <row r="51" ht="18" customHeight="1">
      <c r="A51" s="33" t="n">
        <v>4</v>
      </c>
      <c r="B51" s="35" t="n"/>
      <c r="D51" s="36" t="n"/>
      <c r="E51" s="30">
        <f>IFERROR(SUM(D48:D51),"")</f>
        <v/>
      </c>
      <c r="F51" s="30">
        <f>IFERROR(IF(D51="","",FLOOR(E50/F45,1)+1),"")</f>
        <v/>
      </c>
      <c r="G51" s="30">
        <f>IFERROR(IF(D51="","",CEILING(E51/F45,1)),"")</f>
        <v/>
      </c>
      <c r="H51" s="30">
        <f>IFERROR(IF(D51="","",TEXT('Getting Started'!B7+(F51-1)*7,"MMM D")),"")</f>
        <v/>
      </c>
      <c r="I51" s="30">
        <f>IFERROR(IF(D51="","",TEXT('Getting Started'!B7+(G51)*7,"MMM D")),"")</f>
        <v/>
      </c>
      <c r="J51" s="34" t="n"/>
    </row>
    <row r="52" ht="18" customHeight="1">
      <c r="A52" s="33" t="n">
        <v>5</v>
      </c>
      <c r="B52" s="27" t="n"/>
      <c r="D52" s="34" t="n"/>
      <c r="E52" s="30">
        <f>IFERROR(SUM(D48:D52),"")</f>
        <v/>
      </c>
      <c r="F52" s="30">
        <f>IFERROR(IF(D52="","",FLOOR(E51/F45,1)+1),"")</f>
        <v/>
      </c>
      <c r="G52" s="30">
        <f>IFERROR(IF(D52="","",CEILING(E52/F45,1)),"")</f>
        <v/>
      </c>
      <c r="H52" s="30">
        <f>IFERROR(IF(D52="","",TEXT('Getting Started'!B7+(F52-1)*7,"MMM D")),"")</f>
        <v/>
      </c>
      <c r="I52" s="30">
        <f>IFERROR(IF(D52="","",TEXT('Getting Started'!B7+(G52)*7,"MMM D")),"")</f>
        <v/>
      </c>
      <c r="J52" s="34" t="n"/>
    </row>
    <row r="53" ht="18" customHeight="1">
      <c r="A53" s="33" t="n">
        <v>6</v>
      </c>
      <c r="B53" s="35" t="n"/>
      <c r="D53" s="36" t="n"/>
      <c r="E53" s="30">
        <f>IFERROR(SUM(D48:D53),"")</f>
        <v/>
      </c>
      <c r="F53" s="30">
        <f>IFERROR(IF(D53="","",FLOOR(E52/F45,1)+1),"")</f>
        <v/>
      </c>
      <c r="G53" s="30">
        <f>IFERROR(IF(D53="","",CEILING(E53/F45,1)),"")</f>
        <v/>
      </c>
      <c r="H53" s="30">
        <f>IFERROR(IF(D53="","",TEXT('Getting Started'!B7+(F53-1)*7,"MMM D")),"")</f>
        <v/>
      </c>
      <c r="I53" s="30">
        <f>IFERROR(IF(D53="","",TEXT('Getting Started'!B7+(G53)*7,"MMM D")),"")</f>
        <v/>
      </c>
      <c r="J53" s="34" t="n"/>
    </row>
    <row r="54" ht="20" customHeight="1">
      <c r="A54" s="43" t="inlineStr">
        <is>
          <t>Notes:</t>
        </is>
      </c>
      <c r="B54" s="37" t="n"/>
    </row>
    <row r="55" ht="24" customHeight="1">
      <c r="A55" s="44" t="inlineStr">
        <is>
          <t xml:space="preserve">  WRITING / COMPOSITION</t>
        </is>
      </c>
    </row>
    <row r="56" ht="20" customHeight="1">
      <c r="A56" s="45" t="inlineStr">
        <is>
          <t>Curriculum / Title:</t>
        </is>
      </c>
      <c r="B56" s="27" t="n"/>
      <c r="F56" s="45" t="inlineStr">
        <is>
          <t>Unit type:</t>
        </is>
      </c>
      <c r="G56" s="27" t="inlineStr">
        <is>
          <t>pages</t>
        </is>
      </c>
      <c r="I56" s="28" t="inlineStr">
        <is>
          <t>← type: pages, lessons, chapters…</t>
        </is>
      </c>
      <c r="J56" s="29" t="n"/>
    </row>
    <row r="57" ht="22" customHeight="1">
      <c r="A57" s="45" t="inlineStr">
        <is>
          <t>Total Units:</t>
        </is>
      </c>
      <c r="B57" s="27" t="n"/>
      <c r="C57" s="45" t="inlineStr">
        <is>
          <t>School Weeks:</t>
        </is>
      </c>
      <c r="D57" s="30">
        <f>'Getting Started'!B9</f>
        <v/>
      </c>
      <c r="E57" s="45" t="inlineStr">
        <is>
          <t>Units / Week:</t>
        </is>
      </c>
      <c r="F57" s="12">
        <f>IFERROR(IF(B57="","",ROUND(B57/D57,1)),"")</f>
        <v/>
      </c>
      <c r="G57" s="45" t="inlineStr">
        <is>
          <t>Units / Day:</t>
        </is>
      </c>
      <c r="H57" s="12">
        <f>IFERROR(IF(F57="","",ROUND(F57/'Getting Started'!B10,1)),"")</f>
        <v/>
      </c>
      <c r="I57" s="45" t="inlineStr">
        <is>
          <t>Est. End Date:</t>
        </is>
      </c>
      <c r="J57" s="12">
        <f>IFERROR(IF(B57="","",TEXT('Getting Started'!B7+(B57/'Getting Started'!B10),"MMM D, YYYY")),"")</f>
        <v/>
      </c>
    </row>
    <row r="58" ht="18" customHeight="1">
      <c r="A58" s="31" t="inlineStr">
        <is>
          <t xml:space="preserve">  Optional: Component / Volume Breakdown  (fill in if curriculum has multiple books or parts)</t>
        </is>
      </c>
    </row>
    <row r="59" ht="18" customHeight="1">
      <c r="A59" s="32" t="inlineStr">
        <is>
          <t>#</t>
        </is>
      </c>
      <c r="B59" s="32" t="inlineStr">
        <is>
          <t>Component / Book Title</t>
        </is>
      </c>
      <c r="C59" s="29" t="n"/>
      <c r="D59" s="32" t="inlineStr">
        <is>
          <t>Total Units
in Component</t>
        </is>
      </c>
      <c r="E59" s="32" t="inlineStr">
        <is>
          <t>Cumulative
Units</t>
        </is>
      </c>
      <c r="F59" s="32" t="inlineStr">
        <is>
          <t>Start
Week</t>
        </is>
      </c>
      <c r="G59" s="32" t="inlineStr">
        <is>
          <t>End
Week</t>
        </is>
      </c>
      <c r="H59" s="32" t="inlineStr">
        <is>
          <t>Start
Date</t>
        </is>
      </c>
      <c r="I59" s="32" t="inlineStr">
        <is>
          <t>End
Date</t>
        </is>
      </c>
      <c r="J59" s="32" t="inlineStr">
        <is>
          <t>Complete?</t>
        </is>
      </c>
    </row>
    <row r="60" ht="18" customHeight="1">
      <c r="A60" s="33" t="n">
        <v>1</v>
      </c>
      <c r="B60" s="27" t="n"/>
      <c r="D60" s="34" t="n"/>
      <c r="E60" s="30">
        <f>IFERROR(SUM(D60:D60),"")</f>
        <v/>
      </c>
      <c r="F60" s="30">
        <f>IF(D60="","",1)</f>
        <v/>
      </c>
      <c r="G60" s="30">
        <f>IFERROR(IF(D60="","",CEILING(E60/F57,1)),"")</f>
        <v/>
      </c>
      <c r="H60" s="30">
        <f>IFERROR(IF(D60="","",TEXT('Getting Started'!B7+(F60-1)*7,"MMM D")),"")</f>
        <v/>
      </c>
      <c r="I60" s="30">
        <f>IFERROR(IF(D60="","",TEXT('Getting Started'!B7+(G60)*7,"MMM D")),"")</f>
        <v/>
      </c>
      <c r="J60" s="34" t="n"/>
    </row>
    <row r="61" ht="18" customHeight="1">
      <c r="A61" s="33" t="n">
        <v>2</v>
      </c>
      <c r="B61" s="35" t="n"/>
      <c r="D61" s="36" t="n"/>
      <c r="E61" s="30">
        <f>IFERROR(SUM(D60:D61),"")</f>
        <v/>
      </c>
      <c r="F61" s="30">
        <f>IFERROR(IF(D61="","",FLOOR(E60/F57,1)+1),"")</f>
        <v/>
      </c>
      <c r="G61" s="30">
        <f>IFERROR(IF(D61="","",CEILING(E61/F57,1)),"")</f>
        <v/>
      </c>
      <c r="H61" s="30">
        <f>IFERROR(IF(D61="","",TEXT('Getting Started'!B7+(F61-1)*7,"MMM D")),"")</f>
        <v/>
      </c>
      <c r="I61" s="30">
        <f>IFERROR(IF(D61="","",TEXT('Getting Started'!B7+(G61)*7,"MMM D")),"")</f>
        <v/>
      </c>
      <c r="J61" s="34" t="n"/>
    </row>
    <row r="62" ht="18" customHeight="1">
      <c r="A62" s="33" t="n">
        <v>3</v>
      </c>
      <c r="B62" s="27" t="n"/>
      <c r="D62" s="34" t="n"/>
      <c r="E62" s="30">
        <f>IFERROR(SUM(D60:D62),"")</f>
        <v/>
      </c>
      <c r="F62" s="30">
        <f>IFERROR(IF(D62="","",FLOOR(E61/F57,1)+1),"")</f>
        <v/>
      </c>
      <c r="G62" s="30">
        <f>IFERROR(IF(D62="","",CEILING(E62/F57,1)),"")</f>
        <v/>
      </c>
      <c r="H62" s="30">
        <f>IFERROR(IF(D62="","",TEXT('Getting Started'!B7+(F62-1)*7,"MMM D")),"")</f>
        <v/>
      </c>
      <c r="I62" s="30">
        <f>IFERROR(IF(D62="","",TEXT('Getting Started'!B7+(G62)*7,"MMM D")),"")</f>
        <v/>
      </c>
      <c r="J62" s="34" t="n"/>
    </row>
    <row r="63" ht="18" customHeight="1">
      <c r="A63" s="33" t="n">
        <v>4</v>
      </c>
      <c r="B63" s="35" t="n"/>
      <c r="D63" s="36" t="n"/>
      <c r="E63" s="30">
        <f>IFERROR(SUM(D60:D63),"")</f>
        <v/>
      </c>
      <c r="F63" s="30">
        <f>IFERROR(IF(D63="","",FLOOR(E62/F57,1)+1),"")</f>
        <v/>
      </c>
      <c r="G63" s="30">
        <f>IFERROR(IF(D63="","",CEILING(E63/F57,1)),"")</f>
        <v/>
      </c>
      <c r="H63" s="30">
        <f>IFERROR(IF(D63="","",TEXT('Getting Started'!B7+(F63-1)*7,"MMM D")),"")</f>
        <v/>
      </c>
      <c r="I63" s="30">
        <f>IFERROR(IF(D63="","",TEXT('Getting Started'!B7+(G63)*7,"MMM D")),"")</f>
        <v/>
      </c>
      <c r="J63" s="34" t="n"/>
    </row>
    <row r="64" ht="18" customHeight="1">
      <c r="A64" s="33" t="n">
        <v>5</v>
      </c>
      <c r="B64" s="27" t="n"/>
      <c r="D64" s="34" t="n"/>
      <c r="E64" s="30">
        <f>IFERROR(SUM(D60:D64),"")</f>
        <v/>
      </c>
      <c r="F64" s="30">
        <f>IFERROR(IF(D64="","",FLOOR(E63/F57,1)+1),"")</f>
        <v/>
      </c>
      <c r="G64" s="30">
        <f>IFERROR(IF(D64="","",CEILING(E64/F57,1)),"")</f>
        <v/>
      </c>
      <c r="H64" s="30">
        <f>IFERROR(IF(D64="","",TEXT('Getting Started'!B7+(F64-1)*7,"MMM D")),"")</f>
        <v/>
      </c>
      <c r="I64" s="30">
        <f>IFERROR(IF(D64="","",TEXT('Getting Started'!B7+(G64)*7,"MMM D")),"")</f>
        <v/>
      </c>
      <c r="J64" s="34" t="n"/>
    </row>
    <row r="65" ht="18" customHeight="1">
      <c r="A65" s="33" t="n">
        <v>6</v>
      </c>
      <c r="B65" s="35" t="n"/>
      <c r="D65" s="36" t="n"/>
      <c r="E65" s="30">
        <f>IFERROR(SUM(D60:D65),"")</f>
        <v/>
      </c>
      <c r="F65" s="30">
        <f>IFERROR(IF(D65="","",FLOOR(E64/F57,1)+1),"")</f>
        <v/>
      </c>
      <c r="G65" s="30">
        <f>IFERROR(IF(D65="","",CEILING(E65/F57,1)),"")</f>
        <v/>
      </c>
      <c r="H65" s="30">
        <f>IFERROR(IF(D65="","",TEXT('Getting Started'!B7+(F65-1)*7,"MMM D")),"")</f>
        <v/>
      </c>
      <c r="I65" s="30">
        <f>IFERROR(IF(D65="","",TEXT('Getting Started'!B7+(G65)*7,"MMM D")),"")</f>
        <v/>
      </c>
      <c r="J65" s="34" t="n"/>
    </row>
    <row r="66" ht="20" customHeight="1">
      <c r="A66" s="45" t="inlineStr">
        <is>
          <t>Notes:</t>
        </is>
      </c>
      <c r="B66" s="37" t="n"/>
    </row>
    <row r="67" ht="24" customHeight="1">
      <c r="A67" s="46" t="inlineStr">
        <is>
          <t xml:space="preserve">  SCIENCE</t>
        </is>
      </c>
    </row>
    <row r="68" ht="20" customHeight="1">
      <c r="A68" s="47" t="inlineStr">
        <is>
          <t>Curriculum / Title:</t>
        </is>
      </c>
      <c r="B68" s="27" t="n"/>
      <c r="F68" s="47" t="inlineStr">
        <is>
          <t>Unit type:</t>
        </is>
      </c>
      <c r="G68" s="27" t="inlineStr">
        <is>
          <t>pages</t>
        </is>
      </c>
      <c r="I68" s="28" t="inlineStr">
        <is>
          <t>← type: pages, lessons, chapters…</t>
        </is>
      </c>
      <c r="J68" s="29" t="n"/>
    </row>
    <row r="69" ht="22" customHeight="1">
      <c r="A69" s="47" t="inlineStr">
        <is>
          <t>Total Units:</t>
        </is>
      </c>
      <c r="B69" s="27" t="n"/>
      <c r="C69" s="47" t="inlineStr">
        <is>
          <t>School Weeks:</t>
        </is>
      </c>
      <c r="D69" s="30">
        <f>'Getting Started'!B9</f>
        <v/>
      </c>
      <c r="E69" s="47" t="inlineStr">
        <is>
          <t>Units / Week:</t>
        </is>
      </c>
      <c r="F69" s="12">
        <f>IFERROR(IF(B69="","",ROUND(B69/D69,1)),"")</f>
        <v/>
      </c>
      <c r="G69" s="47" t="inlineStr">
        <is>
          <t>Units / Day:</t>
        </is>
      </c>
      <c r="H69" s="12">
        <f>IFERROR(IF(F69="","",ROUND(F69/'Getting Started'!B10,1)),"")</f>
        <v/>
      </c>
      <c r="I69" s="47" t="inlineStr">
        <is>
          <t>Est. End Date:</t>
        </is>
      </c>
      <c r="J69" s="12">
        <f>IFERROR(IF(B69="","",TEXT('Getting Started'!B7+(B69/'Getting Started'!B10),"MMM D, YYYY")),"")</f>
        <v/>
      </c>
    </row>
    <row r="70" ht="18" customHeight="1">
      <c r="A70" s="31" t="inlineStr">
        <is>
          <t xml:space="preserve">  Optional: Component / Volume Breakdown  (fill in if curriculum has multiple books or parts)</t>
        </is>
      </c>
    </row>
    <row r="71" ht="18" customHeight="1">
      <c r="A71" s="32" t="inlineStr">
        <is>
          <t>#</t>
        </is>
      </c>
      <c r="B71" s="32" t="inlineStr">
        <is>
          <t>Component / Book Title</t>
        </is>
      </c>
      <c r="C71" s="29" t="n"/>
      <c r="D71" s="32" t="inlineStr">
        <is>
          <t>Total Units
in Component</t>
        </is>
      </c>
      <c r="E71" s="32" t="inlineStr">
        <is>
          <t>Cumulative
Units</t>
        </is>
      </c>
      <c r="F71" s="32" t="inlineStr">
        <is>
          <t>Start
Week</t>
        </is>
      </c>
      <c r="G71" s="32" t="inlineStr">
        <is>
          <t>End
Week</t>
        </is>
      </c>
      <c r="H71" s="32" t="inlineStr">
        <is>
          <t>Start
Date</t>
        </is>
      </c>
      <c r="I71" s="32" t="inlineStr">
        <is>
          <t>End
Date</t>
        </is>
      </c>
      <c r="J71" s="32" t="inlineStr">
        <is>
          <t>Complete?</t>
        </is>
      </c>
    </row>
    <row r="72" ht="18" customHeight="1">
      <c r="A72" s="33" t="n">
        <v>1</v>
      </c>
      <c r="B72" s="27" t="n"/>
      <c r="D72" s="34" t="n"/>
      <c r="E72" s="30">
        <f>IFERROR(SUM(D72:D72),"")</f>
        <v/>
      </c>
      <c r="F72" s="30">
        <f>IF(D72="","",1)</f>
        <v/>
      </c>
      <c r="G72" s="30">
        <f>IFERROR(IF(D72="","",CEILING(E72/F69,1)),"")</f>
        <v/>
      </c>
      <c r="H72" s="30">
        <f>IFERROR(IF(D72="","",TEXT('Getting Started'!B7+(F72-1)*7,"MMM D")),"")</f>
        <v/>
      </c>
      <c r="I72" s="30">
        <f>IFERROR(IF(D72="","",TEXT('Getting Started'!B7+(G72)*7,"MMM D")),"")</f>
        <v/>
      </c>
      <c r="J72" s="34" t="n"/>
    </row>
    <row r="73" ht="18" customHeight="1">
      <c r="A73" s="33" t="n">
        <v>2</v>
      </c>
      <c r="B73" s="35" t="n"/>
      <c r="D73" s="36" t="n"/>
      <c r="E73" s="30">
        <f>IFERROR(SUM(D72:D73),"")</f>
        <v/>
      </c>
      <c r="F73" s="30">
        <f>IFERROR(IF(D73="","",FLOOR(E72/F69,1)+1),"")</f>
        <v/>
      </c>
      <c r="G73" s="30">
        <f>IFERROR(IF(D73="","",CEILING(E73/F69,1)),"")</f>
        <v/>
      </c>
      <c r="H73" s="30">
        <f>IFERROR(IF(D73="","",TEXT('Getting Started'!B7+(F73-1)*7,"MMM D")),"")</f>
        <v/>
      </c>
      <c r="I73" s="30">
        <f>IFERROR(IF(D73="","",TEXT('Getting Started'!B7+(G73)*7,"MMM D")),"")</f>
        <v/>
      </c>
      <c r="J73" s="34" t="n"/>
    </row>
    <row r="74" ht="18" customHeight="1">
      <c r="A74" s="33" t="n">
        <v>3</v>
      </c>
      <c r="B74" s="27" t="n"/>
      <c r="D74" s="34" t="n"/>
      <c r="E74" s="30">
        <f>IFERROR(SUM(D72:D74),"")</f>
        <v/>
      </c>
      <c r="F74" s="30">
        <f>IFERROR(IF(D74="","",FLOOR(E73/F69,1)+1),"")</f>
        <v/>
      </c>
      <c r="G74" s="30">
        <f>IFERROR(IF(D74="","",CEILING(E74/F69,1)),"")</f>
        <v/>
      </c>
      <c r="H74" s="30">
        <f>IFERROR(IF(D74="","",TEXT('Getting Started'!B7+(F74-1)*7,"MMM D")),"")</f>
        <v/>
      </c>
      <c r="I74" s="30">
        <f>IFERROR(IF(D74="","",TEXT('Getting Started'!B7+(G74)*7,"MMM D")),"")</f>
        <v/>
      </c>
      <c r="J74" s="34" t="n"/>
    </row>
    <row r="75" ht="18" customHeight="1">
      <c r="A75" s="33" t="n">
        <v>4</v>
      </c>
      <c r="B75" s="35" t="n"/>
      <c r="D75" s="36" t="n"/>
      <c r="E75" s="30">
        <f>IFERROR(SUM(D72:D75),"")</f>
        <v/>
      </c>
      <c r="F75" s="30">
        <f>IFERROR(IF(D75="","",FLOOR(E74/F69,1)+1),"")</f>
        <v/>
      </c>
      <c r="G75" s="30">
        <f>IFERROR(IF(D75="","",CEILING(E75/F69,1)),"")</f>
        <v/>
      </c>
      <c r="H75" s="30">
        <f>IFERROR(IF(D75="","",TEXT('Getting Started'!B7+(F75-1)*7,"MMM D")),"")</f>
        <v/>
      </c>
      <c r="I75" s="30">
        <f>IFERROR(IF(D75="","",TEXT('Getting Started'!B7+(G75)*7,"MMM D")),"")</f>
        <v/>
      </c>
      <c r="J75" s="34" t="n"/>
    </row>
    <row r="76" ht="18" customHeight="1">
      <c r="A76" s="33" t="n">
        <v>5</v>
      </c>
      <c r="B76" s="27" t="n"/>
      <c r="D76" s="34" t="n"/>
      <c r="E76" s="30">
        <f>IFERROR(SUM(D72:D76),"")</f>
        <v/>
      </c>
      <c r="F76" s="30">
        <f>IFERROR(IF(D76="","",FLOOR(E75/F69,1)+1),"")</f>
        <v/>
      </c>
      <c r="G76" s="30">
        <f>IFERROR(IF(D76="","",CEILING(E76/F69,1)),"")</f>
        <v/>
      </c>
      <c r="H76" s="30">
        <f>IFERROR(IF(D76="","",TEXT('Getting Started'!B7+(F76-1)*7,"MMM D")),"")</f>
        <v/>
      </c>
      <c r="I76" s="30">
        <f>IFERROR(IF(D76="","",TEXT('Getting Started'!B7+(G76)*7,"MMM D")),"")</f>
        <v/>
      </c>
      <c r="J76" s="34" t="n"/>
    </row>
    <row r="77" ht="18" customHeight="1">
      <c r="A77" s="33" t="n">
        <v>6</v>
      </c>
      <c r="B77" s="35" t="n"/>
      <c r="D77" s="36" t="n"/>
      <c r="E77" s="30">
        <f>IFERROR(SUM(D72:D77),"")</f>
        <v/>
      </c>
      <c r="F77" s="30">
        <f>IFERROR(IF(D77="","",FLOOR(E76/F69,1)+1),"")</f>
        <v/>
      </c>
      <c r="G77" s="30">
        <f>IFERROR(IF(D77="","",CEILING(E77/F69,1)),"")</f>
        <v/>
      </c>
      <c r="H77" s="30">
        <f>IFERROR(IF(D77="","",TEXT('Getting Started'!B7+(F77-1)*7,"MMM D")),"")</f>
        <v/>
      </c>
      <c r="I77" s="30">
        <f>IFERROR(IF(D77="","",TEXT('Getting Started'!B7+(G77)*7,"MMM D")),"")</f>
        <v/>
      </c>
      <c r="J77" s="34" t="n"/>
    </row>
    <row r="78" ht="20" customHeight="1">
      <c r="A78" s="47" t="inlineStr">
        <is>
          <t>Notes:</t>
        </is>
      </c>
      <c r="B78" s="37" t="n"/>
    </row>
    <row r="79" ht="24" customHeight="1">
      <c r="A79" s="48" t="inlineStr">
        <is>
          <t xml:space="preserve">  SOCIAL STUDIES / HISTORY</t>
        </is>
      </c>
    </row>
    <row r="80" ht="20" customHeight="1">
      <c r="A80" s="49" t="inlineStr">
        <is>
          <t>Curriculum / Title:</t>
        </is>
      </c>
      <c r="B80" s="27" t="n"/>
      <c r="F80" s="49" t="inlineStr">
        <is>
          <t>Unit type:</t>
        </is>
      </c>
      <c r="G80" s="27" t="inlineStr">
        <is>
          <t>pages</t>
        </is>
      </c>
      <c r="I80" s="28" t="inlineStr">
        <is>
          <t>← type: pages, lessons, chapters…</t>
        </is>
      </c>
      <c r="J80" s="29" t="n"/>
    </row>
    <row r="81" ht="22" customHeight="1">
      <c r="A81" s="49" t="inlineStr">
        <is>
          <t>Total Units:</t>
        </is>
      </c>
      <c r="B81" s="27" t="n"/>
      <c r="C81" s="49" t="inlineStr">
        <is>
          <t>School Weeks:</t>
        </is>
      </c>
      <c r="D81" s="30">
        <f>'Getting Started'!B9</f>
        <v/>
      </c>
      <c r="E81" s="49" t="inlineStr">
        <is>
          <t>Units / Week:</t>
        </is>
      </c>
      <c r="F81" s="12">
        <f>IFERROR(IF(B81="","",ROUND(B81/D81,1)),"")</f>
        <v/>
      </c>
      <c r="G81" s="49" t="inlineStr">
        <is>
          <t>Units / Day:</t>
        </is>
      </c>
      <c r="H81" s="12">
        <f>IFERROR(IF(F81="","",ROUND(F81/'Getting Started'!B10,1)),"")</f>
        <v/>
      </c>
      <c r="I81" s="49" t="inlineStr">
        <is>
          <t>Est. End Date:</t>
        </is>
      </c>
      <c r="J81" s="12">
        <f>IFERROR(IF(B81="","",TEXT('Getting Started'!B7+(B81/'Getting Started'!B10),"MMM D, YYYY")),"")</f>
        <v/>
      </c>
    </row>
    <row r="82" ht="18" customHeight="1">
      <c r="A82" s="31" t="inlineStr">
        <is>
          <t xml:space="preserve">  Optional: Component / Volume Breakdown  (fill in if curriculum has multiple books or parts)</t>
        </is>
      </c>
    </row>
    <row r="83" ht="18" customHeight="1">
      <c r="A83" s="32" t="inlineStr">
        <is>
          <t>#</t>
        </is>
      </c>
      <c r="B83" s="32" t="inlineStr">
        <is>
          <t>Component / Book Title</t>
        </is>
      </c>
      <c r="C83" s="29" t="n"/>
      <c r="D83" s="32" t="inlineStr">
        <is>
          <t>Total Units
in Component</t>
        </is>
      </c>
      <c r="E83" s="32" t="inlineStr">
        <is>
          <t>Cumulative
Units</t>
        </is>
      </c>
      <c r="F83" s="32" t="inlineStr">
        <is>
          <t>Start
Week</t>
        </is>
      </c>
      <c r="G83" s="32" t="inlineStr">
        <is>
          <t>End
Week</t>
        </is>
      </c>
      <c r="H83" s="32" t="inlineStr">
        <is>
          <t>Start
Date</t>
        </is>
      </c>
      <c r="I83" s="32" t="inlineStr">
        <is>
          <t>End
Date</t>
        </is>
      </c>
      <c r="J83" s="32" t="inlineStr">
        <is>
          <t>Complete?</t>
        </is>
      </c>
    </row>
    <row r="84" ht="18" customHeight="1">
      <c r="A84" s="33" t="n">
        <v>1</v>
      </c>
      <c r="B84" s="27" t="n"/>
      <c r="D84" s="34" t="n"/>
      <c r="E84" s="30">
        <f>IFERROR(SUM(D84:D84),"")</f>
        <v/>
      </c>
      <c r="F84" s="30">
        <f>IF(D84="","",1)</f>
        <v/>
      </c>
      <c r="G84" s="30">
        <f>IFERROR(IF(D84="","",CEILING(E84/F81,1)),"")</f>
        <v/>
      </c>
      <c r="H84" s="30">
        <f>IFERROR(IF(D84="","",TEXT('Getting Started'!B7+(F84-1)*7,"MMM D")),"")</f>
        <v/>
      </c>
      <c r="I84" s="30">
        <f>IFERROR(IF(D84="","",TEXT('Getting Started'!B7+(G84)*7,"MMM D")),"")</f>
        <v/>
      </c>
      <c r="J84" s="34" t="n"/>
    </row>
    <row r="85" ht="18" customHeight="1">
      <c r="A85" s="33" t="n">
        <v>2</v>
      </c>
      <c r="B85" s="35" t="n"/>
      <c r="D85" s="36" t="n"/>
      <c r="E85" s="30">
        <f>IFERROR(SUM(D84:D85),"")</f>
        <v/>
      </c>
      <c r="F85" s="30">
        <f>IFERROR(IF(D85="","",FLOOR(E84/F81,1)+1),"")</f>
        <v/>
      </c>
      <c r="G85" s="30">
        <f>IFERROR(IF(D85="","",CEILING(E85/F81,1)),"")</f>
        <v/>
      </c>
      <c r="H85" s="30">
        <f>IFERROR(IF(D85="","",TEXT('Getting Started'!B7+(F85-1)*7,"MMM D")),"")</f>
        <v/>
      </c>
      <c r="I85" s="30">
        <f>IFERROR(IF(D85="","",TEXT('Getting Started'!B7+(G85)*7,"MMM D")),"")</f>
        <v/>
      </c>
      <c r="J85" s="34" t="n"/>
    </row>
    <row r="86" ht="18" customHeight="1">
      <c r="A86" s="33" t="n">
        <v>3</v>
      </c>
      <c r="B86" s="27" t="n"/>
      <c r="D86" s="34" t="n"/>
      <c r="E86" s="30">
        <f>IFERROR(SUM(D84:D86),"")</f>
        <v/>
      </c>
      <c r="F86" s="30">
        <f>IFERROR(IF(D86="","",FLOOR(E85/F81,1)+1),"")</f>
        <v/>
      </c>
      <c r="G86" s="30">
        <f>IFERROR(IF(D86="","",CEILING(E86/F81,1)),"")</f>
        <v/>
      </c>
      <c r="H86" s="30">
        <f>IFERROR(IF(D86="","",TEXT('Getting Started'!B7+(F86-1)*7,"MMM D")),"")</f>
        <v/>
      </c>
      <c r="I86" s="30">
        <f>IFERROR(IF(D86="","",TEXT('Getting Started'!B7+(G86)*7,"MMM D")),"")</f>
        <v/>
      </c>
      <c r="J86" s="34" t="n"/>
    </row>
    <row r="87" ht="18" customHeight="1">
      <c r="A87" s="33" t="n">
        <v>4</v>
      </c>
      <c r="B87" s="35" t="n"/>
      <c r="D87" s="36" t="n"/>
      <c r="E87" s="30">
        <f>IFERROR(SUM(D84:D87),"")</f>
        <v/>
      </c>
      <c r="F87" s="30">
        <f>IFERROR(IF(D87="","",FLOOR(E86/F81,1)+1),"")</f>
        <v/>
      </c>
      <c r="G87" s="30">
        <f>IFERROR(IF(D87="","",CEILING(E87/F81,1)),"")</f>
        <v/>
      </c>
      <c r="H87" s="30">
        <f>IFERROR(IF(D87="","",TEXT('Getting Started'!B7+(F87-1)*7,"MMM D")),"")</f>
        <v/>
      </c>
      <c r="I87" s="30">
        <f>IFERROR(IF(D87="","",TEXT('Getting Started'!B7+(G87)*7,"MMM D")),"")</f>
        <v/>
      </c>
      <c r="J87" s="34" t="n"/>
    </row>
    <row r="88" ht="18" customHeight="1">
      <c r="A88" s="33" t="n">
        <v>5</v>
      </c>
      <c r="B88" s="27" t="n"/>
      <c r="D88" s="34" t="n"/>
      <c r="E88" s="30">
        <f>IFERROR(SUM(D84:D88),"")</f>
        <v/>
      </c>
      <c r="F88" s="30">
        <f>IFERROR(IF(D88="","",FLOOR(E87/F81,1)+1),"")</f>
        <v/>
      </c>
      <c r="G88" s="30">
        <f>IFERROR(IF(D88="","",CEILING(E88/F81,1)),"")</f>
        <v/>
      </c>
      <c r="H88" s="30">
        <f>IFERROR(IF(D88="","",TEXT('Getting Started'!B7+(F88-1)*7,"MMM D")),"")</f>
        <v/>
      </c>
      <c r="I88" s="30">
        <f>IFERROR(IF(D88="","",TEXT('Getting Started'!B7+(G88)*7,"MMM D")),"")</f>
        <v/>
      </c>
      <c r="J88" s="34" t="n"/>
    </row>
    <row r="89" ht="18" customHeight="1">
      <c r="A89" s="33" t="n">
        <v>6</v>
      </c>
      <c r="B89" s="35" t="n"/>
      <c r="D89" s="36" t="n"/>
      <c r="E89" s="30">
        <f>IFERROR(SUM(D84:D89),"")</f>
        <v/>
      </c>
      <c r="F89" s="30">
        <f>IFERROR(IF(D89="","",FLOOR(E88/F81,1)+1),"")</f>
        <v/>
      </c>
      <c r="G89" s="30">
        <f>IFERROR(IF(D89="","",CEILING(E89/F81,1)),"")</f>
        <v/>
      </c>
      <c r="H89" s="30">
        <f>IFERROR(IF(D89="","",TEXT('Getting Started'!B7+(F89-1)*7,"MMM D")),"")</f>
        <v/>
      </c>
      <c r="I89" s="30">
        <f>IFERROR(IF(D89="","",TEXT('Getting Started'!B7+(G89)*7,"MMM D")),"")</f>
        <v/>
      </c>
      <c r="J89" s="34" t="n"/>
    </row>
    <row r="90" ht="20" customHeight="1">
      <c r="A90" s="49" t="inlineStr">
        <is>
          <t>Notes:</t>
        </is>
      </c>
      <c r="B90" s="37" t="n"/>
    </row>
    <row r="91" ht="24" customHeight="1">
      <c r="A91" s="50" t="inlineStr">
        <is>
          <t xml:space="preserve">  HEALTH</t>
        </is>
      </c>
    </row>
    <row r="92" ht="20" customHeight="1">
      <c r="A92" s="51" t="inlineStr">
        <is>
          <t>Curriculum / Title:</t>
        </is>
      </c>
      <c r="B92" s="27" t="n"/>
      <c r="F92" s="51" t="inlineStr">
        <is>
          <t>Unit type:</t>
        </is>
      </c>
      <c r="G92" s="27" t="inlineStr">
        <is>
          <t>pages</t>
        </is>
      </c>
      <c r="I92" s="28" t="inlineStr">
        <is>
          <t>← type: pages, lessons, chapters…</t>
        </is>
      </c>
      <c r="J92" s="29" t="n"/>
    </row>
    <row r="93" ht="22" customHeight="1">
      <c r="A93" s="51" t="inlineStr">
        <is>
          <t>Total Units:</t>
        </is>
      </c>
      <c r="B93" s="27" t="n"/>
      <c r="C93" s="51" t="inlineStr">
        <is>
          <t>School Weeks:</t>
        </is>
      </c>
      <c r="D93" s="30">
        <f>'Getting Started'!B9</f>
        <v/>
      </c>
      <c r="E93" s="51" t="inlineStr">
        <is>
          <t>Units / Week:</t>
        </is>
      </c>
      <c r="F93" s="12">
        <f>IFERROR(IF(B93="","",ROUND(B93/D93,1)),"")</f>
        <v/>
      </c>
      <c r="G93" s="51" t="inlineStr">
        <is>
          <t>Units / Day:</t>
        </is>
      </c>
      <c r="H93" s="12">
        <f>IFERROR(IF(F93="","",ROUND(F93/'Getting Started'!B10,1)),"")</f>
        <v/>
      </c>
      <c r="I93" s="51" t="inlineStr">
        <is>
          <t>Est. End Date:</t>
        </is>
      </c>
      <c r="J93" s="12">
        <f>IFERROR(IF(B93="","",TEXT('Getting Started'!B7+(B93/'Getting Started'!B10),"MMM D, YYYY")),"")</f>
        <v/>
      </c>
    </row>
    <row r="94" ht="18" customHeight="1">
      <c r="A94" s="31" t="inlineStr">
        <is>
          <t xml:space="preserve">  Optional: Component / Volume Breakdown  (fill in if curriculum has multiple books or parts)</t>
        </is>
      </c>
    </row>
    <row r="95" ht="18" customHeight="1">
      <c r="A95" s="32" t="inlineStr">
        <is>
          <t>#</t>
        </is>
      </c>
      <c r="B95" s="32" t="inlineStr">
        <is>
          <t>Component / Book Title</t>
        </is>
      </c>
      <c r="C95" s="29" t="n"/>
      <c r="D95" s="32" t="inlineStr">
        <is>
          <t>Total Units
in Component</t>
        </is>
      </c>
      <c r="E95" s="32" t="inlineStr">
        <is>
          <t>Cumulative
Units</t>
        </is>
      </c>
      <c r="F95" s="32" t="inlineStr">
        <is>
          <t>Start
Week</t>
        </is>
      </c>
      <c r="G95" s="32" t="inlineStr">
        <is>
          <t>End
Week</t>
        </is>
      </c>
      <c r="H95" s="32" t="inlineStr">
        <is>
          <t>Start
Date</t>
        </is>
      </c>
      <c r="I95" s="32" t="inlineStr">
        <is>
          <t>End
Date</t>
        </is>
      </c>
      <c r="J95" s="32" t="inlineStr">
        <is>
          <t>Complete?</t>
        </is>
      </c>
    </row>
    <row r="96" ht="18" customHeight="1">
      <c r="A96" s="33" t="n">
        <v>1</v>
      </c>
      <c r="B96" s="27" t="n"/>
      <c r="D96" s="34" t="n"/>
      <c r="E96" s="30">
        <f>IFERROR(SUM(D96:D96),"")</f>
        <v/>
      </c>
      <c r="F96" s="30">
        <f>IF(D96="","",1)</f>
        <v/>
      </c>
      <c r="G96" s="30">
        <f>IFERROR(IF(D96="","",CEILING(E96/F93,1)),"")</f>
        <v/>
      </c>
      <c r="H96" s="30">
        <f>IFERROR(IF(D96="","",TEXT('Getting Started'!B7+(F96-1)*7,"MMM D")),"")</f>
        <v/>
      </c>
      <c r="I96" s="30">
        <f>IFERROR(IF(D96="","",TEXT('Getting Started'!B7+(G96)*7,"MMM D")),"")</f>
        <v/>
      </c>
      <c r="J96" s="34" t="n"/>
    </row>
    <row r="97" ht="18" customHeight="1">
      <c r="A97" s="33" t="n">
        <v>2</v>
      </c>
      <c r="B97" s="35" t="n"/>
      <c r="D97" s="36" t="n"/>
      <c r="E97" s="30">
        <f>IFERROR(SUM(D96:D97),"")</f>
        <v/>
      </c>
      <c r="F97" s="30">
        <f>IFERROR(IF(D97="","",FLOOR(E96/F93,1)+1),"")</f>
        <v/>
      </c>
      <c r="G97" s="30">
        <f>IFERROR(IF(D97="","",CEILING(E97/F93,1)),"")</f>
        <v/>
      </c>
      <c r="H97" s="30">
        <f>IFERROR(IF(D97="","",TEXT('Getting Started'!B7+(F97-1)*7,"MMM D")),"")</f>
        <v/>
      </c>
      <c r="I97" s="30">
        <f>IFERROR(IF(D97="","",TEXT('Getting Started'!B7+(G97)*7,"MMM D")),"")</f>
        <v/>
      </c>
      <c r="J97" s="34" t="n"/>
    </row>
    <row r="98" ht="18" customHeight="1">
      <c r="A98" s="33" t="n">
        <v>3</v>
      </c>
      <c r="B98" s="27" t="n"/>
      <c r="D98" s="34" t="n"/>
      <c r="E98" s="30">
        <f>IFERROR(SUM(D96:D98),"")</f>
        <v/>
      </c>
      <c r="F98" s="30">
        <f>IFERROR(IF(D98="","",FLOOR(E97/F93,1)+1),"")</f>
        <v/>
      </c>
      <c r="G98" s="30">
        <f>IFERROR(IF(D98="","",CEILING(E98/F93,1)),"")</f>
        <v/>
      </c>
      <c r="H98" s="30">
        <f>IFERROR(IF(D98="","",TEXT('Getting Started'!B7+(F98-1)*7,"MMM D")),"")</f>
        <v/>
      </c>
      <c r="I98" s="30">
        <f>IFERROR(IF(D98="","",TEXT('Getting Started'!B7+(G98)*7,"MMM D")),"")</f>
        <v/>
      </c>
      <c r="J98" s="34" t="n"/>
    </row>
    <row r="99" ht="18" customHeight="1">
      <c r="A99" s="33" t="n">
        <v>4</v>
      </c>
      <c r="B99" s="35" t="n"/>
      <c r="D99" s="36" t="n"/>
      <c r="E99" s="30">
        <f>IFERROR(SUM(D96:D99),"")</f>
        <v/>
      </c>
      <c r="F99" s="30">
        <f>IFERROR(IF(D99="","",FLOOR(E98/F93,1)+1),"")</f>
        <v/>
      </c>
      <c r="G99" s="30">
        <f>IFERROR(IF(D99="","",CEILING(E99/F93,1)),"")</f>
        <v/>
      </c>
      <c r="H99" s="30">
        <f>IFERROR(IF(D99="","",TEXT('Getting Started'!B7+(F99-1)*7,"MMM D")),"")</f>
        <v/>
      </c>
      <c r="I99" s="30">
        <f>IFERROR(IF(D99="","",TEXT('Getting Started'!B7+(G99)*7,"MMM D")),"")</f>
        <v/>
      </c>
      <c r="J99" s="34" t="n"/>
    </row>
    <row r="100" ht="18" customHeight="1">
      <c r="A100" s="33" t="n">
        <v>5</v>
      </c>
      <c r="B100" s="27" t="n"/>
      <c r="D100" s="34" t="n"/>
      <c r="E100" s="30">
        <f>IFERROR(SUM(D96:D100),"")</f>
        <v/>
      </c>
      <c r="F100" s="30">
        <f>IFERROR(IF(D100="","",FLOOR(E99/F93,1)+1),"")</f>
        <v/>
      </c>
      <c r="G100" s="30">
        <f>IFERROR(IF(D100="","",CEILING(E100/F93,1)),"")</f>
        <v/>
      </c>
      <c r="H100" s="30">
        <f>IFERROR(IF(D100="","",TEXT('Getting Started'!B7+(F100-1)*7,"MMM D")),"")</f>
        <v/>
      </c>
      <c r="I100" s="30">
        <f>IFERROR(IF(D100="","",TEXT('Getting Started'!B7+(G100)*7,"MMM D")),"")</f>
        <v/>
      </c>
      <c r="J100" s="34" t="n"/>
    </row>
    <row r="101" ht="18" customHeight="1">
      <c r="A101" s="33" t="n">
        <v>6</v>
      </c>
      <c r="B101" s="35" t="n"/>
      <c r="D101" s="36" t="n"/>
      <c r="E101" s="30">
        <f>IFERROR(SUM(D96:D101),"")</f>
        <v/>
      </c>
      <c r="F101" s="30">
        <f>IFERROR(IF(D101="","",FLOOR(E100/F93,1)+1),"")</f>
        <v/>
      </c>
      <c r="G101" s="30">
        <f>IFERROR(IF(D101="","",CEILING(E101/F93,1)),"")</f>
        <v/>
      </c>
      <c r="H101" s="30">
        <f>IFERROR(IF(D101="","",TEXT('Getting Started'!B7+(F101-1)*7,"MMM D")),"")</f>
        <v/>
      </c>
      <c r="I101" s="30">
        <f>IFERROR(IF(D101="","",TEXT('Getting Started'!B7+(G101)*7,"MMM D")),"")</f>
        <v/>
      </c>
      <c r="J101" s="34" t="n"/>
    </row>
    <row r="102" ht="20" customHeight="1">
      <c r="A102" s="51" t="inlineStr">
        <is>
          <t>Notes:</t>
        </is>
      </c>
      <c r="B102" s="37" t="n"/>
    </row>
    <row r="103" ht="24" customHeight="1">
      <c r="A103" s="52" t="inlineStr">
        <is>
          <t xml:space="preserve">  PHYSICAL EDUCATION</t>
        </is>
      </c>
    </row>
    <row r="104" ht="20" customHeight="1">
      <c r="A104" s="53" t="inlineStr">
        <is>
          <t>Curriculum / Title:</t>
        </is>
      </c>
      <c r="B104" s="27" t="n"/>
      <c r="F104" s="53" t="inlineStr">
        <is>
          <t>Unit type:</t>
        </is>
      </c>
      <c r="G104" s="27" t="inlineStr">
        <is>
          <t>pages</t>
        </is>
      </c>
      <c r="I104" s="28" t="inlineStr">
        <is>
          <t>← type: pages, lessons, chapters…</t>
        </is>
      </c>
      <c r="J104" s="29" t="n"/>
    </row>
    <row r="105" ht="22" customHeight="1">
      <c r="A105" s="53" t="inlineStr">
        <is>
          <t>Total Units:</t>
        </is>
      </c>
      <c r="B105" s="27" t="n"/>
      <c r="C105" s="53" t="inlineStr">
        <is>
          <t>School Weeks:</t>
        </is>
      </c>
      <c r="D105" s="30">
        <f>'Getting Started'!B9</f>
        <v/>
      </c>
      <c r="E105" s="53" t="inlineStr">
        <is>
          <t>Units / Week:</t>
        </is>
      </c>
      <c r="F105" s="12">
        <f>IFERROR(IF(B105="","",ROUND(B105/D105,1)),"")</f>
        <v/>
      </c>
      <c r="G105" s="53" t="inlineStr">
        <is>
          <t>Units / Day:</t>
        </is>
      </c>
      <c r="H105" s="12">
        <f>IFERROR(IF(F105="","",ROUND(F105/'Getting Started'!B10,1)),"")</f>
        <v/>
      </c>
      <c r="I105" s="53" t="inlineStr">
        <is>
          <t>Est. End Date:</t>
        </is>
      </c>
      <c r="J105" s="12">
        <f>IFERROR(IF(B105="","",TEXT('Getting Started'!B7+(B105/'Getting Started'!B10),"MMM D, YYYY")),"")</f>
        <v/>
      </c>
    </row>
    <row r="106" ht="18" customHeight="1">
      <c r="A106" s="31" t="inlineStr">
        <is>
          <t xml:space="preserve">  Optional: Component / Volume Breakdown  (fill in if curriculum has multiple books or parts)</t>
        </is>
      </c>
    </row>
    <row r="107" ht="18" customHeight="1">
      <c r="A107" s="32" t="inlineStr">
        <is>
          <t>#</t>
        </is>
      </c>
      <c r="B107" s="32" t="inlineStr">
        <is>
          <t>Component / Book Title</t>
        </is>
      </c>
      <c r="C107" s="29" t="n"/>
      <c r="D107" s="32" t="inlineStr">
        <is>
          <t>Total Units
in Component</t>
        </is>
      </c>
      <c r="E107" s="32" t="inlineStr">
        <is>
          <t>Cumulative
Units</t>
        </is>
      </c>
      <c r="F107" s="32" t="inlineStr">
        <is>
          <t>Start
Week</t>
        </is>
      </c>
      <c r="G107" s="32" t="inlineStr">
        <is>
          <t>End
Week</t>
        </is>
      </c>
      <c r="H107" s="32" t="inlineStr">
        <is>
          <t>Start
Date</t>
        </is>
      </c>
      <c r="I107" s="32" t="inlineStr">
        <is>
          <t>End
Date</t>
        </is>
      </c>
      <c r="J107" s="32" t="inlineStr">
        <is>
          <t>Complete?</t>
        </is>
      </c>
    </row>
    <row r="108" ht="18" customHeight="1">
      <c r="A108" s="33" t="n">
        <v>1</v>
      </c>
      <c r="B108" s="27" t="n"/>
      <c r="D108" s="34" t="n"/>
      <c r="E108" s="30">
        <f>IFERROR(SUM(D108:D108),"")</f>
        <v/>
      </c>
      <c r="F108" s="30">
        <f>IF(D108="","",1)</f>
        <v/>
      </c>
      <c r="G108" s="30">
        <f>IFERROR(IF(D108="","",CEILING(E108/F105,1)),"")</f>
        <v/>
      </c>
      <c r="H108" s="30">
        <f>IFERROR(IF(D108="","",TEXT('Getting Started'!B7+(F108-1)*7,"MMM D")),"")</f>
        <v/>
      </c>
      <c r="I108" s="30">
        <f>IFERROR(IF(D108="","",TEXT('Getting Started'!B7+(G108)*7,"MMM D")),"")</f>
        <v/>
      </c>
      <c r="J108" s="34" t="n"/>
    </row>
    <row r="109" ht="18" customHeight="1">
      <c r="A109" s="33" t="n">
        <v>2</v>
      </c>
      <c r="B109" s="35" t="n"/>
      <c r="D109" s="36" t="n"/>
      <c r="E109" s="30">
        <f>IFERROR(SUM(D108:D109),"")</f>
        <v/>
      </c>
      <c r="F109" s="30">
        <f>IFERROR(IF(D109="","",FLOOR(E108/F105,1)+1),"")</f>
        <v/>
      </c>
      <c r="G109" s="30">
        <f>IFERROR(IF(D109="","",CEILING(E109/F105,1)),"")</f>
        <v/>
      </c>
      <c r="H109" s="30">
        <f>IFERROR(IF(D109="","",TEXT('Getting Started'!B7+(F109-1)*7,"MMM D")),"")</f>
        <v/>
      </c>
      <c r="I109" s="30">
        <f>IFERROR(IF(D109="","",TEXT('Getting Started'!B7+(G109)*7,"MMM D")),"")</f>
        <v/>
      </c>
      <c r="J109" s="34" t="n"/>
    </row>
    <row r="110" ht="18" customHeight="1">
      <c r="A110" s="33" t="n">
        <v>3</v>
      </c>
      <c r="B110" s="27" t="n"/>
      <c r="D110" s="34" t="n"/>
      <c r="E110" s="30">
        <f>IFERROR(SUM(D108:D110),"")</f>
        <v/>
      </c>
      <c r="F110" s="30">
        <f>IFERROR(IF(D110="","",FLOOR(E109/F105,1)+1),"")</f>
        <v/>
      </c>
      <c r="G110" s="30">
        <f>IFERROR(IF(D110="","",CEILING(E110/F105,1)),"")</f>
        <v/>
      </c>
      <c r="H110" s="30">
        <f>IFERROR(IF(D110="","",TEXT('Getting Started'!B7+(F110-1)*7,"MMM D")),"")</f>
        <v/>
      </c>
      <c r="I110" s="30">
        <f>IFERROR(IF(D110="","",TEXT('Getting Started'!B7+(G110)*7,"MMM D")),"")</f>
        <v/>
      </c>
      <c r="J110" s="34" t="n"/>
    </row>
    <row r="111" ht="18" customHeight="1">
      <c r="A111" s="33" t="n">
        <v>4</v>
      </c>
      <c r="B111" s="35" t="n"/>
      <c r="D111" s="36" t="n"/>
      <c r="E111" s="30">
        <f>IFERROR(SUM(D108:D111),"")</f>
        <v/>
      </c>
      <c r="F111" s="30">
        <f>IFERROR(IF(D111="","",FLOOR(E110/F105,1)+1),"")</f>
        <v/>
      </c>
      <c r="G111" s="30">
        <f>IFERROR(IF(D111="","",CEILING(E111/F105,1)),"")</f>
        <v/>
      </c>
      <c r="H111" s="30">
        <f>IFERROR(IF(D111="","",TEXT('Getting Started'!B7+(F111-1)*7,"MMM D")),"")</f>
        <v/>
      </c>
      <c r="I111" s="30">
        <f>IFERROR(IF(D111="","",TEXT('Getting Started'!B7+(G111)*7,"MMM D")),"")</f>
        <v/>
      </c>
      <c r="J111" s="34" t="n"/>
    </row>
    <row r="112" ht="18" customHeight="1">
      <c r="A112" s="33" t="n">
        <v>5</v>
      </c>
      <c r="B112" s="27" t="n"/>
      <c r="D112" s="34" t="n"/>
      <c r="E112" s="30">
        <f>IFERROR(SUM(D108:D112),"")</f>
        <v/>
      </c>
      <c r="F112" s="30">
        <f>IFERROR(IF(D112="","",FLOOR(E111/F105,1)+1),"")</f>
        <v/>
      </c>
      <c r="G112" s="30">
        <f>IFERROR(IF(D112="","",CEILING(E112/F105,1)),"")</f>
        <v/>
      </c>
      <c r="H112" s="30">
        <f>IFERROR(IF(D112="","",TEXT('Getting Started'!B7+(F112-1)*7,"MMM D")),"")</f>
        <v/>
      </c>
      <c r="I112" s="30">
        <f>IFERROR(IF(D112="","",TEXT('Getting Started'!B7+(G112)*7,"MMM D")),"")</f>
        <v/>
      </c>
      <c r="J112" s="34" t="n"/>
    </row>
    <row r="113" ht="18" customHeight="1">
      <c r="A113" s="33" t="n">
        <v>6</v>
      </c>
      <c r="B113" s="35" t="n"/>
      <c r="D113" s="36" t="n"/>
      <c r="E113" s="30">
        <f>IFERROR(SUM(D108:D113),"")</f>
        <v/>
      </c>
      <c r="F113" s="30">
        <f>IFERROR(IF(D113="","",FLOOR(E112/F105,1)+1),"")</f>
        <v/>
      </c>
      <c r="G113" s="30">
        <f>IFERROR(IF(D113="","",CEILING(E113/F105,1)),"")</f>
        <v/>
      </c>
      <c r="H113" s="30">
        <f>IFERROR(IF(D113="","",TEXT('Getting Started'!B7+(F113-1)*7,"MMM D")),"")</f>
        <v/>
      </c>
      <c r="I113" s="30">
        <f>IFERROR(IF(D113="","",TEXT('Getting Started'!B7+(G113)*7,"MMM D")),"")</f>
        <v/>
      </c>
      <c r="J113" s="34" t="n"/>
    </row>
    <row r="114" ht="20" customHeight="1">
      <c r="A114" s="53" t="inlineStr">
        <is>
          <t>Notes:</t>
        </is>
      </c>
      <c r="B114" s="37" t="n"/>
    </row>
    <row r="115" ht="24" customHeight="1">
      <c r="A115" s="54" t="inlineStr">
        <is>
          <t xml:space="preserve">  ART / MUSIC</t>
        </is>
      </c>
    </row>
    <row r="116" ht="20" customHeight="1">
      <c r="A116" s="55" t="inlineStr">
        <is>
          <t>Curriculum / Title:</t>
        </is>
      </c>
      <c r="B116" s="27" t="n"/>
      <c r="F116" s="55" t="inlineStr">
        <is>
          <t>Unit type:</t>
        </is>
      </c>
      <c r="G116" s="27" t="inlineStr">
        <is>
          <t>pages</t>
        </is>
      </c>
      <c r="I116" s="28" t="inlineStr">
        <is>
          <t>← type: pages, lessons, chapters…</t>
        </is>
      </c>
      <c r="J116" s="29" t="n"/>
    </row>
    <row r="117" ht="22" customHeight="1">
      <c r="A117" s="55" t="inlineStr">
        <is>
          <t>Total Units:</t>
        </is>
      </c>
      <c r="B117" s="27" t="n"/>
      <c r="C117" s="55" t="inlineStr">
        <is>
          <t>School Weeks:</t>
        </is>
      </c>
      <c r="D117" s="30">
        <f>'Getting Started'!B9</f>
        <v/>
      </c>
      <c r="E117" s="55" t="inlineStr">
        <is>
          <t>Units / Week:</t>
        </is>
      </c>
      <c r="F117" s="12">
        <f>IFERROR(IF(B117="","",ROUND(B117/D117,1)),"")</f>
        <v/>
      </c>
      <c r="G117" s="55" t="inlineStr">
        <is>
          <t>Units / Day:</t>
        </is>
      </c>
      <c r="H117" s="12">
        <f>IFERROR(IF(F117="","",ROUND(F117/'Getting Started'!B10,1)),"")</f>
        <v/>
      </c>
      <c r="I117" s="55" t="inlineStr">
        <is>
          <t>Est. End Date:</t>
        </is>
      </c>
      <c r="J117" s="12">
        <f>IFERROR(IF(B117="","",TEXT('Getting Started'!B7+(B117/'Getting Started'!B10),"MMM D, YYYY")),"")</f>
        <v/>
      </c>
    </row>
    <row r="118" ht="18" customHeight="1">
      <c r="A118" s="31" t="inlineStr">
        <is>
          <t xml:space="preserve">  Optional: Component / Volume Breakdown  (fill in if curriculum has multiple books or parts)</t>
        </is>
      </c>
    </row>
    <row r="119" ht="18" customHeight="1">
      <c r="A119" s="32" t="inlineStr">
        <is>
          <t>#</t>
        </is>
      </c>
      <c r="B119" s="32" t="inlineStr">
        <is>
          <t>Component / Book Title</t>
        </is>
      </c>
      <c r="C119" s="29" t="n"/>
      <c r="D119" s="32" t="inlineStr">
        <is>
          <t>Total Units
in Component</t>
        </is>
      </c>
      <c r="E119" s="32" t="inlineStr">
        <is>
          <t>Cumulative
Units</t>
        </is>
      </c>
      <c r="F119" s="32" t="inlineStr">
        <is>
          <t>Start
Week</t>
        </is>
      </c>
      <c r="G119" s="32" t="inlineStr">
        <is>
          <t>End
Week</t>
        </is>
      </c>
      <c r="H119" s="32" t="inlineStr">
        <is>
          <t>Start
Date</t>
        </is>
      </c>
      <c r="I119" s="32" t="inlineStr">
        <is>
          <t>End
Date</t>
        </is>
      </c>
      <c r="J119" s="32" t="inlineStr">
        <is>
          <t>Complete?</t>
        </is>
      </c>
    </row>
    <row r="120" ht="18" customHeight="1">
      <c r="A120" s="33" t="n">
        <v>1</v>
      </c>
      <c r="B120" s="27" t="n"/>
      <c r="D120" s="34" t="n"/>
      <c r="E120" s="30">
        <f>IFERROR(SUM(D120:D120),"")</f>
        <v/>
      </c>
      <c r="F120" s="30">
        <f>IF(D120="","",1)</f>
        <v/>
      </c>
      <c r="G120" s="30">
        <f>IFERROR(IF(D120="","",CEILING(E120/F117,1)),"")</f>
        <v/>
      </c>
      <c r="H120" s="30">
        <f>IFERROR(IF(D120="","",TEXT('Getting Started'!B7+(F120-1)*7,"MMM D")),"")</f>
        <v/>
      </c>
      <c r="I120" s="30">
        <f>IFERROR(IF(D120="","",TEXT('Getting Started'!B7+(G120)*7,"MMM D")),"")</f>
        <v/>
      </c>
      <c r="J120" s="34" t="n"/>
    </row>
    <row r="121" ht="18" customHeight="1">
      <c r="A121" s="33" t="n">
        <v>2</v>
      </c>
      <c r="B121" s="35" t="n"/>
      <c r="D121" s="36" t="n"/>
      <c r="E121" s="30">
        <f>IFERROR(SUM(D120:D121),"")</f>
        <v/>
      </c>
      <c r="F121" s="30">
        <f>IFERROR(IF(D121="","",FLOOR(E120/F117,1)+1),"")</f>
        <v/>
      </c>
      <c r="G121" s="30">
        <f>IFERROR(IF(D121="","",CEILING(E121/F117,1)),"")</f>
        <v/>
      </c>
      <c r="H121" s="30">
        <f>IFERROR(IF(D121="","",TEXT('Getting Started'!B7+(F121-1)*7,"MMM D")),"")</f>
        <v/>
      </c>
      <c r="I121" s="30">
        <f>IFERROR(IF(D121="","",TEXT('Getting Started'!B7+(G121)*7,"MMM D")),"")</f>
        <v/>
      </c>
      <c r="J121" s="34" t="n"/>
    </row>
    <row r="122" ht="18" customHeight="1">
      <c r="A122" s="33" t="n">
        <v>3</v>
      </c>
      <c r="B122" s="27" t="n"/>
      <c r="D122" s="34" t="n"/>
      <c r="E122" s="30">
        <f>IFERROR(SUM(D120:D122),"")</f>
        <v/>
      </c>
      <c r="F122" s="30">
        <f>IFERROR(IF(D122="","",FLOOR(E121/F117,1)+1),"")</f>
        <v/>
      </c>
      <c r="G122" s="30">
        <f>IFERROR(IF(D122="","",CEILING(E122/F117,1)),"")</f>
        <v/>
      </c>
      <c r="H122" s="30">
        <f>IFERROR(IF(D122="","",TEXT('Getting Started'!B7+(F122-1)*7,"MMM D")),"")</f>
        <v/>
      </c>
      <c r="I122" s="30">
        <f>IFERROR(IF(D122="","",TEXT('Getting Started'!B7+(G122)*7,"MMM D")),"")</f>
        <v/>
      </c>
      <c r="J122" s="34" t="n"/>
    </row>
    <row r="123" ht="18" customHeight="1">
      <c r="A123" s="33" t="n">
        <v>4</v>
      </c>
      <c r="B123" s="35" t="n"/>
      <c r="D123" s="36" t="n"/>
      <c r="E123" s="30">
        <f>IFERROR(SUM(D120:D123),"")</f>
        <v/>
      </c>
      <c r="F123" s="30">
        <f>IFERROR(IF(D123="","",FLOOR(E122/F117,1)+1),"")</f>
        <v/>
      </c>
      <c r="G123" s="30">
        <f>IFERROR(IF(D123="","",CEILING(E123/F117,1)),"")</f>
        <v/>
      </c>
      <c r="H123" s="30">
        <f>IFERROR(IF(D123="","",TEXT('Getting Started'!B7+(F123-1)*7,"MMM D")),"")</f>
        <v/>
      </c>
      <c r="I123" s="30">
        <f>IFERROR(IF(D123="","",TEXT('Getting Started'!B7+(G123)*7,"MMM D")),"")</f>
        <v/>
      </c>
      <c r="J123" s="34" t="n"/>
    </row>
    <row r="124" ht="18" customHeight="1">
      <c r="A124" s="33" t="n">
        <v>5</v>
      </c>
      <c r="B124" s="27" t="n"/>
      <c r="D124" s="34" t="n"/>
      <c r="E124" s="30">
        <f>IFERROR(SUM(D120:D124),"")</f>
        <v/>
      </c>
      <c r="F124" s="30">
        <f>IFERROR(IF(D124="","",FLOOR(E123/F117,1)+1),"")</f>
        <v/>
      </c>
      <c r="G124" s="30">
        <f>IFERROR(IF(D124="","",CEILING(E124/F117,1)),"")</f>
        <v/>
      </c>
      <c r="H124" s="30">
        <f>IFERROR(IF(D124="","",TEXT('Getting Started'!B7+(F124-1)*7,"MMM D")),"")</f>
        <v/>
      </c>
      <c r="I124" s="30">
        <f>IFERROR(IF(D124="","",TEXT('Getting Started'!B7+(G124)*7,"MMM D")),"")</f>
        <v/>
      </c>
      <c r="J124" s="34" t="n"/>
    </row>
    <row r="125" ht="18" customHeight="1">
      <c r="A125" s="33" t="n">
        <v>6</v>
      </c>
      <c r="B125" s="35" t="n"/>
      <c r="D125" s="36" t="n"/>
      <c r="E125" s="30">
        <f>IFERROR(SUM(D120:D125),"")</f>
        <v/>
      </c>
      <c r="F125" s="30">
        <f>IFERROR(IF(D125="","",FLOOR(E124/F117,1)+1),"")</f>
        <v/>
      </c>
      <c r="G125" s="30">
        <f>IFERROR(IF(D125="","",CEILING(E125/F117,1)),"")</f>
        <v/>
      </c>
      <c r="H125" s="30">
        <f>IFERROR(IF(D125="","",TEXT('Getting Started'!B7+(F125-1)*7,"MMM D")),"")</f>
        <v/>
      </c>
      <c r="I125" s="30">
        <f>IFERROR(IF(D125="","",TEXT('Getting Started'!B7+(G125)*7,"MMM D")),"")</f>
        <v/>
      </c>
      <c r="J125" s="34" t="n"/>
    </row>
    <row r="126" ht="20" customHeight="1">
      <c r="A126" s="55" t="inlineStr">
        <is>
          <t>Notes:</t>
        </is>
      </c>
      <c r="B126" s="37" t="n"/>
    </row>
  </sheetData>
  <mergeCells count="133">
    <mergeCell ref="B100:C100"/>
    <mergeCell ref="I104:J104"/>
    <mergeCell ref="B68:E68"/>
    <mergeCell ref="A91:J91"/>
    <mergeCell ref="A43:J43"/>
    <mergeCell ref="B12:C12"/>
    <mergeCell ref="B77:C77"/>
    <mergeCell ref="B78:J78"/>
    <mergeCell ref="A115:J115"/>
    <mergeCell ref="B86:C86"/>
    <mergeCell ref="B61:C61"/>
    <mergeCell ref="A34:J34"/>
    <mergeCell ref="B101:C101"/>
    <mergeCell ref="B14:C14"/>
    <mergeCell ref="B13:C13"/>
    <mergeCell ref="B38:C38"/>
    <mergeCell ref="G68:H68"/>
    <mergeCell ref="B112:C112"/>
    <mergeCell ref="B40:C40"/>
    <mergeCell ref="B49:C49"/>
    <mergeCell ref="I44:J44"/>
    <mergeCell ref="A118:J118"/>
    <mergeCell ref="G20:H20"/>
    <mergeCell ref="B24:C24"/>
    <mergeCell ref="B64:C64"/>
    <mergeCell ref="I20:J20"/>
    <mergeCell ref="B90:J90"/>
    <mergeCell ref="B51:C51"/>
    <mergeCell ref="B66:J66"/>
    <mergeCell ref="A55:J55"/>
    <mergeCell ref="B18:J18"/>
    <mergeCell ref="G44:H44"/>
    <mergeCell ref="B63:C63"/>
    <mergeCell ref="B26:C26"/>
    <mergeCell ref="B41:C41"/>
    <mergeCell ref="B35:C35"/>
    <mergeCell ref="B16:C16"/>
    <mergeCell ref="B25:C25"/>
    <mergeCell ref="A106:J106"/>
    <mergeCell ref="I80:J80"/>
    <mergeCell ref="A4:J4"/>
    <mergeCell ref="B104:E104"/>
    <mergeCell ref="B27:C27"/>
    <mergeCell ref="B32:E32"/>
    <mergeCell ref="A31:J31"/>
    <mergeCell ref="B11:C11"/>
    <mergeCell ref="A58:J58"/>
    <mergeCell ref="I32:J32"/>
    <mergeCell ref="A67:J67"/>
    <mergeCell ref="A82:J82"/>
    <mergeCell ref="B53:C53"/>
    <mergeCell ref="I56:J56"/>
    <mergeCell ref="B119:C119"/>
    <mergeCell ref="B29:C29"/>
    <mergeCell ref="B37:C37"/>
    <mergeCell ref="G104:H104"/>
    <mergeCell ref="A7:J7"/>
    <mergeCell ref="B84:C84"/>
    <mergeCell ref="I8:J8"/>
    <mergeCell ref="B54:J54"/>
    <mergeCell ref="B15:C15"/>
    <mergeCell ref="B95:C95"/>
    <mergeCell ref="B89:C89"/>
    <mergeCell ref="B116:E116"/>
    <mergeCell ref="A2:J2"/>
    <mergeCell ref="B97:C97"/>
    <mergeCell ref="B125:C125"/>
    <mergeCell ref="B72:C72"/>
    <mergeCell ref="A22:J22"/>
    <mergeCell ref="B42:J42"/>
    <mergeCell ref="B121:C121"/>
    <mergeCell ref="I116:J116"/>
    <mergeCell ref="B80:E80"/>
    <mergeCell ref="B122:C122"/>
    <mergeCell ref="B96:C96"/>
    <mergeCell ref="B71:C71"/>
    <mergeCell ref="B52:C52"/>
    <mergeCell ref="G116:H116"/>
    <mergeCell ref="B120:C120"/>
    <mergeCell ref="B98:C98"/>
    <mergeCell ref="B107:C107"/>
    <mergeCell ref="B60:C60"/>
    <mergeCell ref="B17:C17"/>
    <mergeCell ref="B88:C88"/>
    <mergeCell ref="B30:J30"/>
    <mergeCell ref="B56:E56"/>
    <mergeCell ref="A79:J79"/>
    <mergeCell ref="A70:J70"/>
    <mergeCell ref="B28:C28"/>
    <mergeCell ref="G80:H80"/>
    <mergeCell ref="B99:C99"/>
    <mergeCell ref="B108:C108"/>
    <mergeCell ref="B126:J126"/>
    <mergeCell ref="B83:C83"/>
    <mergeCell ref="B124:C124"/>
    <mergeCell ref="G32:H32"/>
    <mergeCell ref="B76:C76"/>
    <mergeCell ref="B44:E44"/>
    <mergeCell ref="B85:C85"/>
    <mergeCell ref="G56:H56"/>
    <mergeCell ref="B75:C75"/>
    <mergeCell ref="B109:C109"/>
    <mergeCell ref="B47:C47"/>
    <mergeCell ref="B62:C62"/>
    <mergeCell ref="B59:C59"/>
    <mergeCell ref="B92:E92"/>
    <mergeCell ref="B20:E20"/>
    <mergeCell ref="G8:H8"/>
    <mergeCell ref="A10:J10"/>
    <mergeCell ref="A19:J19"/>
    <mergeCell ref="B39:C39"/>
    <mergeCell ref="B48:C48"/>
    <mergeCell ref="B111:C111"/>
    <mergeCell ref="B23:C23"/>
    <mergeCell ref="B73:C73"/>
    <mergeCell ref="A1:J1"/>
    <mergeCell ref="B87:C87"/>
    <mergeCell ref="I68:J68"/>
    <mergeCell ref="A94:J94"/>
    <mergeCell ref="G92:H92"/>
    <mergeCell ref="A103:J103"/>
    <mergeCell ref="B114:J114"/>
    <mergeCell ref="I92:J92"/>
    <mergeCell ref="B65:C65"/>
    <mergeCell ref="B74:C74"/>
    <mergeCell ref="A46:J46"/>
    <mergeCell ref="B8:E8"/>
    <mergeCell ref="B123:C123"/>
    <mergeCell ref="B36:C36"/>
    <mergeCell ref="B102:J102"/>
    <mergeCell ref="B50:C50"/>
    <mergeCell ref="B110:C110"/>
    <mergeCell ref="B113:C1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4B5"/>
    <outlinePr summaryBelow="1" summaryRight="1"/>
    <pageSetUpPr/>
  </sheetPr>
  <dimension ref="A1:J126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44" customHeight="1">
      <c r="A1" s="21">
        <f>'Getting Started'!C15</f>
        <v/>
      </c>
    </row>
    <row r="2" ht="24" customHeight="1">
      <c r="A2" s="22">
        <f>IFERROR("Grade: "&amp;'Getting Started'!G15&amp;"   |   School Year: "&amp;'Getting Started'!C6&amp;"   |   "  &amp;TEXT('Getting Started'!B7,"MMM D, YYYY")&amp;"  –  "&amp;TEXT('Getting Started'!B8,"MMM D, YYYY"),"")</f>
        <v/>
      </c>
    </row>
    <row r="3" ht="8" customHeight="1"/>
    <row r="4" ht="22" customHeight="1">
      <c r="A4" s="23" t="inlineStr">
        <is>
          <t>SCHOOL YEAR OVERVIEW  (from Getting Started)</t>
        </is>
      </c>
    </row>
    <row r="5" ht="20" customHeight="1">
      <c r="B5" s="24" t="inlineStr">
        <is>
          <t>Start Date:</t>
        </is>
      </c>
      <c r="C5" s="12">
        <f>IF('Getting Started'!B7&lt;&gt;"",TEXT('Getting Started'!B7,"MMM D, YYYY"),"")</f>
        <v/>
      </c>
      <c r="D5" s="24" t="inlineStr">
        <is>
          <t>End Date:</t>
        </is>
      </c>
      <c r="E5" s="12">
        <f>IF('Getting Started'!B8&lt;&gt;"",TEXT('Getting Started'!B8,"MMM D, YYYY"),"")</f>
        <v/>
      </c>
      <c r="F5" s="24" t="inlineStr">
        <is>
          <t>Total Weeks:</t>
        </is>
      </c>
      <c r="G5" s="12">
        <f>'Getting Started'!B9</f>
        <v/>
      </c>
      <c r="H5" s="24" t="inlineStr">
        <is>
          <t>Days/Week:</t>
        </is>
      </c>
      <c r="I5" s="12">
        <f>'Getting Started'!B10</f>
        <v/>
      </c>
    </row>
    <row r="7" ht="24" customHeight="1">
      <c r="A7" s="25" t="inlineStr">
        <is>
          <t xml:space="preserve">  BIBLE</t>
        </is>
      </c>
    </row>
    <row r="8" ht="20" customHeight="1">
      <c r="A8" s="26" t="inlineStr">
        <is>
          <t>Curriculum / Title:</t>
        </is>
      </c>
      <c r="B8" s="27" t="n"/>
      <c r="F8" s="26" t="inlineStr">
        <is>
          <t>Unit type:</t>
        </is>
      </c>
      <c r="G8" s="27" t="inlineStr">
        <is>
          <t>pages</t>
        </is>
      </c>
      <c r="I8" s="28" t="inlineStr">
        <is>
          <t>← type: pages, lessons, chapters…</t>
        </is>
      </c>
      <c r="J8" s="29" t="n"/>
    </row>
    <row r="9" ht="22" customHeight="1">
      <c r="A9" s="26" t="inlineStr">
        <is>
          <t>Total Units:</t>
        </is>
      </c>
      <c r="B9" s="27" t="n"/>
      <c r="C9" s="26" t="inlineStr">
        <is>
          <t>School Weeks:</t>
        </is>
      </c>
      <c r="D9" s="30">
        <f>'Getting Started'!B9</f>
        <v/>
      </c>
      <c r="E9" s="26" t="inlineStr">
        <is>
          <t>Units / Week:</t>
        </is>
      </c>
      <c r="F9" s="12">
        <f>IFERROR(IF(B9="","",ROUND(B9/D9,1)),"")</f>
        <v/>
      </c>
      <c r="G9" s="26" t="inlineStr">
        <is>
          <t>Units / Day:</t>
        </is>
      </c>
      <c r="H9" s="12">
        <f>IFERROR(IF(F9="","",ROUND(F9/'Getting Started'!B10,1)),"")</f>
        <v/>
      </c>
      <c r="I9" s="26" t="inlineStr">
        <is>
          <t>Est. End Date:</t>
        </is>
      </c>
      <c r="J9" s="12">
        <f>IFERROR(IF(B9="","",TEXT('Getting Started'!B7+(B9/'Getting Started'!B10),"MMM D, YYYY")),"")</f>
        <v/>
      </c>
    </row>
    <row r="10" ht="18" customHeight="1">
      <c r="A10" s="31" t="inlineStr">
        <is>
          <t xml:space="preserve">  Optional: Component / Volume Breakdown  (fill in if curriculum has multiple books or parts)</t>
        </is>
      </c>
    </row>
    <row r="11" ht="18" customHeight="1">
      <c r="A11" s="32" t="inlineStr">
        <is>
          <t>#</t>
        </is>
      </c>
      <c r="B11" s="32" t="inlineStr">
        <is>
          <t>Component / Book Title</t>
        </is>
      </c>
      <c r="C11" s="29" t="n"/>
      <c r="D11" s="32" t="inlineStr">
        <is>
          <t>Total Units
in Component</t>
        </is>
      </c>
      <c r="E11" s="32" t="inlineStr">
        <is>
          <t>Cumulative
Units</t>
        </is>
      </c>
      <c r="F11" s="32" t="inlineStr">
        <is>
          <t>Start
Week</t>
        </is>
      </c>
      <c r="G11" s="32" t="inlineStr">
        <is>
          <t>End
Week</t>
        </is>
      </c>
      <c r="H11" s="32" t="inlineStr">
        <is>
          <t>Start
Date</t>
        </is>
      </c>
      <c r="I11" s="32" t="inlineStr">
        <is>
          <t>End
Date</t>
        </is>
      </c>
      <c r="J11" s="32" t="inlineStr">
        <is>
          <t>Complete?</t>
        </is>
      </c>
    </row>
    <row r="12" ht="18" customHeight="1">
      <c r="A12" s="33" t="n">
        <v>1</v>
      </c>
      <c r="B12" s="27" t="n"/>
      <c r="D12" s="34" t="n"/>
      <c r="E12" s="30">
        <f>IFERROR(SUM(D12:D12),"")</f>
        <v/>
      </c>
      <c r="F12" s="30">
        <f>IF(D12="","",1)</f>
        <v/>
      </c>
      <c r="G12" s="30">
        <f>IFERROR(IF(D12="","",CEILING(E12/F9,1)),"")</f>
        <v/>
      </c>
      <c r="H12" s="30">
        <f>IFERROR(IF(D12="","",TEXT('Getting Started'!B7+(F12-1)*7,"MMM D")),"")</f>
        <v/>
      </c>
      <c r="I12" s="30">
        <f>IFERROR(IF(D12="","",TEXT('Getting Started'!B7+(G12)*7,"MMM D")),"")</f>
        <v/>
      </c>
      <c r="J12" s="34" t="n"/>
    </row>
    <row r="13" ht="18" customHeight="1">
      <c r="A13" s="33" t="n">
        <v>2</v>
      </c>
      <c r="B13" s="35" t="n"/>
      <c r="D13" s="36" t="n"/>
      <c r="E13" s="30">
        <f>IFERROR(SUM(D12:D13),"")</f>
        <v/>
      </c>
      <c r="F13" s="30">
        <f>IFERROR(IF(D13="","",FLOOR(E12/F9,1)+1),"")</f>
        <v/>
      </c>
      <c r="G13" s="30">
        <f>IFERROR(IF(D13="","",CEILING(E13/F9,1)),"")</f>
        <v/>
      </c>
      <c r="H13" s="30">
        <f>IFERROR(IF(D13="","",TEXT('Getting Started'!B7+(F13-1)*7,"MMM D")),"")</f>
        <v/>
      </c>
      <c r="I13" s="30">
        <f>IFERROR(IF(D13="","",TEXT('Getting Started'!B7+(G13)*7,"MMM D")),"")</f>
        <v/>
      </c>
      <c r="J13" s="34" t="n"/>
    </row>
    <row r="14" ht="18" customHeight="1">
      <c r="A14" s="33" t="n">
        <v>3</v>
      </c>
      <c r="B14" s="27" t="n"/>
      <c r="D14" s="34" t="n"/>
      <c r="E14" s="30">
        <f>IFERROR(SUM(D12:D14),"")</f>
        <v/>
      </c>
      <c r="F14" s="30">
        <f>IFERROR(IF(D14="","",FLOOR(E13/F9,1)+1),"")</f>
        <v/>
      </c>
      <c r="G14" s="30">
        <f>IFERROR(IF(D14="","",CEILING(E14/F9,1)),"")</f>
        <v/>
      </c>
      <c r="H14" s="30">
        <f>IFERROR(IF(D14="","",TEXT('Getting Started'!B7+(F14-1)*7,"MMM D")),"")</f>
        <v/>
      </c>
      <c r="I14" s="30">
        <f>IFERROR(IF(D14="","",TEXT('Getting Started'!B7+(G14)*7,"MMM D")),"")</f>
        <v/>
      </c>
      <c r="J14" s="34" t="n"/>
    </row>
    <row r="15" ht="18" customHeight="1">
      <c r="A15" s="33" t="n">
        <v>4</v>
      </c>
      <c r="B15" s="35" t="n"/>
      <c r="D15" s="36" t="n"/>
      <c r="E15" s="30">
        <f>IFERROR(SUM(D12:D15),"")</f>
        <v/>
      </c>
      <c r="F15" s="30">
        <f>IFERROR(IF(D15="","",FLOOR(E14/F9,1)+1),"")</f>
        <v/>
      </c>
      <c r="G15" s="30">
        <f>IFERROR(IF(D15="","",CEILING(E15/F9,1)),"")</f>
        <v/>
      </c>
      <c r="H15" s="30">
        <f>IFERROR(IF(D15="","",TEXT('Getting Started'!B7+(F15-1)*7,"MMM D")),"")</f>
        <v/>
      </c>
      <c r="I15" s="30">
        <f>IFERROR(IF(D15="","",TEXT('Getting Started'!B7+(G15)*7,"MMM D")),"")</f>
        <v/>
      </c>
      <c r="J15" s="34" t="n"/>
    </row>
    <row r="16" ht="18" customHeight="1">
      <c r="A16" s="33" t="n">
        <v>5</v>
      </c>
      <c r="B16" s="27" t="n"/>
      <c r="D16" s="34" t="n"/>
      <c r="E16" s="30">
        <f>IFERROR(SUM(D12:D16),"")</f>
        <v/>
      </c>
      <c r="F16" s="30">
        <f>IFERROR(IF(D16="","",FLOOR(E15/F9,1)+1),"")</f>
        <v/>
      </c>
      <c r="G16" s="30">
        <f>IFERROR(IF(D16="","",CEILING(E16/F9,1)),"")</f>
        <v/>
      </c>
      <c r="H16" s="30">
        <f>IFERROR(IF(D16="","",TEXT('Getting Started'!B7+(F16-1)*7,"MMM D")),"")</f>
        <v/>
      </c>
      <c r="I16" s="30">
        <f>IFERROR(IF(D16="","",TEXT('Getting Started'!B7+(G16)*7,"MMM D")),"")</f>
        <v/>
      </c>
      <c r="J16" s="34" t="n"/>
    </row>
    <row r="17" ht="18" customHeight="1">
      <c r="A17" s="33" t="n">
        <v>6</v>
      </c>
      <c r="B17" s="35" t="n"/>
      <c r="D17" s="36" t="n"/>
      <c r="E17" s="30">
        <f>IFERROR(SUM(D12:D17),"")</f>
        <v/>
      </c>
      <c r="F17" s="30">
        <f>IFERROR(IF(D17="","",FLOOR(E16/F9,1)+1),"")</f>
        <v/>
      </c>
      <c r="G17" s="30">
        <f>IFERROR(IF(D17="","",CEILING(E17/F9,1)),"")</f>
        <v/>
      </c>
      <c r="H17" s="30">
        <f>IFERROR(IF(D17="","",TEXT('Getting Started'!B7+(F17-1)*7,"MMM D")),"")</f>
        <v/>
      </c>
      <c r="I17" s="30">
        <f>IFERROR(IF(D17="","",TEXT('Getting Started'!B7+(G17)*7,"MMM D")),"")</f>
        <v/>
      </c>
      <c r="J17" s="34" t="n"/>
    </row>
    <row r="18" ht="20" customHeight="1">
      <c r="A18" s="26" t="inlineStr">
        <is>
          <t>Notes:</t>
        </is>
      </c>
      <c r="B18" s="37" t="n"/>
    </row>
    <row r="19" ht="24" customHeight="1">
      <c r="A19" s="38" t="inlineStr">
        <is>
          <t xml:space="preserve">  MATH</t>
        </is>
      </c>
    </row>
    <row r="20" ht="20" customHeight="1">
      <c r="A20" s="39" t="inlineStr">
        <is>
          <t>Curriculum / Title:</t>
        </is>
      </c>
      <c r="B20" s="27" t="n"/>
      <c r="F20" s="39" t="inlineStr">
        <is>
          <t>Unit type:</t>
        </is>
      </c>
      <c r="G20" s="27" t="inlineStr">
        <is>
          <t>pages</t>
        </is>
      </c>
      <c r="I20" s="28" t="inlineStr">
        <is>
          <t>← type: pages, lessons, chapters…</t>
        </is>
      </c>
      <c r="J20" s="29" t="n"/>
    </row>
    <row r="21" ht="22" customHeight="1">
      <c r="A21" s="39" t="inlineStr">
        <is>
          <t>Total Units:</t>
        </is>
      </c>
      <c r="B21" s="27" t="n"/>
      <c r="C21" s="39" t="inlineStr">
        <is>
          <t>School Weeks:</t>
        </is>
      </c>
      <c r="D21" s="30">
        <f>'Getting Started'!B9</f>
        <v/>
      </c>
      <c r="E21" s="39" t="inlineStr">
        <is>
          <t>Units / Week:</t>
        </is>
      </c>
      <c r="F21" s="12">
        <f>IFERROR(IF(B21="","",ROUND(B21/D21,1)),"")</f>
        <v/>
      </c>
      <c r="G21" s="39" t="inlineStr">
        <is>
          <t>Units / Day:</t>
        </is>
      </c>
      <c r="H21" s="12">
        <f>IFERROR(IF(F21="","",ROUND(F21/'Getting Started'!B10,1)),"")</f>
        <v/>
      </c>
      <c r="I21" s="39" t="inlineStr">
        <is>
          <t>Est. End Date:</t>
        </is>
      </c>
      <c r="J21" s="12">
        <f>IFERROR(IF(B21="","",TEXT('Getting Started'!B7+(B21/'Getting Started'!B10),"MMM D, YYYY")),"")</f>
        <v/>
      </c>
    </row>
    <row r="22" ht="18" customHeight="1">
      <c r="A22" s="31" t="inlineStr">
        <is>
          <t xml:space="preserve">  Optional: Component / Volume Breakdown  (fill in if curriculum has multiple books or parts)</t>
        </is>
      </c>
    </row>
    <row r="23" ht="18" customHeight="1">
      <c r="A23" s="32" t="inlineStr">
        <is>
          <t>#</t>
        </is>
      </c>
      <c r="B23" s="32" t="inlineStr">
        <is>
          <t>Component / Book Title</t>
        </is>
      </c>
      <c r="C23" s="29" t="n"/>
      <c r="D23" s="32" t="inlineStr">
        <is>
          <t>Total Units
in Component</t>
        </is>
      </c>
      <c r="E23" s="32" t="inlineStr">
        <is>
          <t>Cumulative
Units</t>
        </is>
      </c>
      <c r="F23" s="32" t="inlineStr">
        <is>
          <t>Start
Week</t>
        </is>
      </c>
      <c r="G23" s="32" t="inlineStr">
        <is>
          <t>End
Week</t>
        </is>
      </c>
      <c r="H23" s="32" t="inlineStr">
        <is>
          <t>Start
Date</t>
        </is>
      </c>
      <c r="I23" s="32" t="inlineStr">
        <is>
          <t>End
Date</t>
        </is>
      </c>
      <c r="J23" s="32" t="inlineStr">
        <is>
          <t>Complete?</t>
        </is>
      </c>
    </row>
    <row r="24" ht="18" customHeight="1">
      <c r="A24" s="33" t="n">
        <v>1</v>
      </c>
      <c r="B24" s="27" t="n"/>
      <c r="D24" s="34" t="n"/>
      <c r="E24" s="30">
        <f>IFERROR(SUM(D24:D24),"")</f>
        <v/>
      </c>
      <c r="F24" s="30">
        <f>IF(D24="","",1)</f>
        <v/>
      </c>
      <c r="G24" s="30">
        <f>IFERROR(IF(D24="","",CEILING(E24/F21,1)),"")</f>
        <v/>
      </c>
      <c r="H24" s="30">
        <f>IFERROR(IF(D24="","",TEXT('Getting Started'!B7+(F24-1)*7,"MMM D")),"")</f>
        <v/>
      </c>
      <c r="I24" s="30">
        <f>IFERROR(IF(D24="","",TEXT('Getting Started'!B7+(G24)*7,"MMM D")),"")</f>
        <v/>
      </c>
      <c r="J24" s="34" t="n"/>
    </row>
    <row r="25" ht="18" customHeight="1">
      <c r="A25" s="33" t="n">
        <v>2</v>
      </c>
      <c r="B25" s="35" t="n"/>
      <c r="D25" s="36" t="n"/>
      <c r="E25" s="30">
        <f>IFERROR(SUM(D24:D25),"")</f>
        <v/>
      </c>
      <c r="F25" s="30">
        <f>IFERROR(IF(D25="","",FLOOR(E24/F21,1)+1),"")</f>
        <v/>
      </c>
      <c r="G25" s="30">
        <f>IFERROR(IF(D25="","",CEILING(E25/F21,1)),"")</f>
        <v/>
      </c>
      <c r="H25" s="30">
        <f>IFERROR(IF(D25="","",TEXT('Getting Started'!B7+(F25-1)*7,"MMM D")),"")</f>
        <v/>
      </c>
      <c r="I25" s="30">
        <f>IFERROR(IF(D25="","",TEXT('Getting Started'!B7+(G25)*7,"MMM D")),"")</f>
        <v/>
      </c>
      <c r="J25" s="34" t="n"/>
    </row>
    <row r="26" ht="18" customHeight="1">
      <c r="A26" s="33" t="n">
        <v>3</v>
      </c>
      <c r="B26" s="27" t="n"/>
      <c r="D26" s="34" t="n"/>
      <c r="E26" s="30">
        <f>IFERROR(SUM(D24:D26),"")</f>
        <v/>
      </c>
      <c r="F26" s="30">
        <f>IFERROR(IF(D26="","",FLOOR(E25/F21,1)+1),"")</f>
        <v/>
      </c>
      <c r="G26" s="30">
        <f>IFERROR(IF(D26="","",CEILING(E26/F21,1)),"")</f>
        <v/>
      </c>
      <c r="H26" s="30">
        <f>IFERROR(IF(D26="","",TEXT('Getting Started'!B7+(F26-1)*7,"MMM D")),"")</f>
        <v/>
      </c>
      <c r="I26" s="30">
        <f>IFERROR(IF(D26="","",TEXT('Getting Started'!B7+(G26)*7,"MMM D")),"")</f>
        <v/>
      </c>
      <c r="J26" s="34" t="n"/>
    </row>
    <row r="27" ht="18" customHeight="1">
      <c r="A27" s="33" t="n">
        <v>4</v>
      </c>
      <c r="B27" s="35" t="n"/>
      <c r="D27" s="36" t="n"/>
      <c r="E27" s="30">
        <f>IFERROR(SUM(D24:D27),"")</f>
        <v/>
      </c>
      <c r="F27" s="30">
        <f>IFERROR(IF(D27="","",FLOOR(E26/F21,1)+1),"")</f>
        <v/>
      </c>
      <c r="G27" s="30">
        <f>IFERROR(IF(D27="","",CEILING(E27/F21,1)),"")</f>
        <v/>
      </c>
      <c r="H27" s="30">
        <f>IFERROR(IF(D27="","",TEXT('Getting Started'!B7+(F27-1)*7,"MMM D")),"")</f>
        <v/>
      </c>
      <c r="I27" s="30">
        <f>IFERROR(IF(D27="","",TEXT('Getting Started'!B7+(G27)*7,"MMM D")),"")</f>
        <v/>
      </c>
      <c r="J27" s="34" t="n"/>
    </row>
    <row r="28" ht="18" customHeight="1">
      <c r="A28" s="33" t="n">
        <v>5</v>
      </c>
      <c r="B28" s="27" t="n"/>
      <c r="D28" s="34" t="n"/>
      <c r="E28" s="30">
        <f>IFERROR(SUM(D24:D28),"")</f>
        <v/>
      </c>
      <c r="F28" s="30">
        <f>IFERROR(IF(D28="","",FLOOR(E27/F21,1)+1),"")</f>
        <v/>
      </c>
      <c r="G28" s="30">
        <f>IFERROR(IF(D28="","",CEILING(E28/F21,1)),"")</f>
        <v/>
      </c>
      <c r="H28" s="30">
        <f>IFERROR(IF(D28="","",TEXT('Getting Started'!B7+(F28-1)*7,"MMM D")),"")</f>
        <v/>
      </c>
      <c r="I28" s="30">
        <f>IFERROR(IF(D28="","",TEXT('Getting Started'!B7+(G28)*7,"MMM D")),"")</f>
        <v/>
      </c>
      <c r="J28" s="34" t="n"/>
    </row>
    <row r="29" ht="18" customHeight="1">
      <c r="A29" s="33" t="n">
        <v>6</v>
      </c>
      <c r="B29" s="35" t="n"/>
      <c r="D29" s="36" t="n"/>
      <c r="E29" s="30">
        <f>IFERROR(SUM(D24:D29),"")</f>
        <v/>
      </c>
      <c r="F29" s="30">
        <f>IFERROR(IF(D29="","",FLOOR(E28/F21,1)+1),"")</f>
        <v/>
      </c>
      <c r="G29" s="30">
        <f>IFERROR(IF(D29="","",CEILING(E29/F21,1)),"")</f>
        <v/>
      </c>
      <c r="H29" s="30">
        <f>IFERROR(IF(D29="","",TEXT('Getting Started'!B7+(F29-1)*7,"MMM D")),"")</f>
        <v/>
      </c>
      <c r="I29" s="30">
        <f>IFERROR(IF(D29="","",TEXT('Getting Started'!B7+(G29)*7,"MMM D")),"")</f>
        <v/>
      </c>
      <c r="J29" s="34" t="n"/>
    </row>
    <row r="30" ht="20" customHeight="1">
      <c r="A30" s="39" t="inlineStr">
        <is>
          <t>Notes:</t>
        </is>
      </c>
      <c r="B30" s="37" t="n"/>
    </row>
    <row r="31" ht="24" customHeight="1">
      <c r="A31" s="40" t="inlineStr">
        <is>
          <t xml:space="preserve">  ENGLISH / LANGUAGE ARTS</t>
        </is>
      </c>
    </row>
    <row r="32" ht="20" customHeight="1">
      <c r="A32" s="41" t="inlineStr">
        <is>
          <t>Curriculum / Title:</t>
        </is>
      </c>
      <c r="B32" s="27" t="n"/>
      <c r="F32" s="41" t="inlineStr">
        <is>
          <t>Unit type:</t>
        </is>
      </c>
      <c r="G32" s="27" t="inlineStr">
        <is>
          <t>pages</t>
        </is>
      </c>
      <c r="I32" s="28" t="inlineStr">
        <is>
          <t>← type: pages, lessons, chapters…</t>
        </is>
      </c>
      <c r="J32" s="29" t="n"/>
    </row>
    <row r="33" ht="22" customHeight="1">
      <c r="A33" s="41" t="inlineStr">
        <is>
          <t>Total Units:</t>
        </is>
      </c>
      <c r="B33" s="27" t="n"/>
      <c r="C33" s="41" t="inlineStr">
        <is>
          <t>School Weeks:</t>
        </is>
      </c>
      <c r="D33" s="30">
        <f>'Getting Started'!B9</f>
        <v/>
      </c>
      <c r="E33" s="41" t="inlineStr">
        <is>
          <t>Units / Week:</t>
        </is>
      </c>
      <c r="F33" s="12">
        <f>IFERROR(IF(B33="","",ROUND(B33/D33,1)),"")</f>
        <v/>
      </c>
      <c r="G33" s="41" t="inlineStr">
        <is>
          <t>Units / Day:</t>
        </is>
      </c>
      <c r="H33" s="12">
        <f>IFERROR(IF(F33="","",ROUND(F33/'Getting Started'!B10,1)),"")</f>
        <v/>
      </c>
      <c r="I33" s="41" t="inlineStr">
        <is>
          <t>Est. End Date:</t>
        </is>
      </c>
      <c r="J33" s="12">
        <f>IFERROR(IF(B33="","",TEXT('Getting Started'!B7+(B33/'Getting Started'!B10),"MMM D, YYYY")),"")</f>
        <v/>
      </c>
    </row>
    <row r="34" ht="18" customHeight="1">
      <c r="A34" s="31" t="inlineStr">
        <is>
          <t xml:space="preserve">  Optional: Component / Volume Breakdown  (fill in if curriculum has multiple books or parts)</t>
        </is>
      </c>
    </row>
    <row r="35" ht="18" customHeight="1">
      <c r="A35" s="32" t="inlineStr">
        <is>
          <t>#</t>
        </is>
      </c>
      <c r="B35" s="32" t="inlineStr">
        <is>
          <t>Component / Book Title</t>
        </is>
      </c>
      <c r="C35" s="29" t="n"/>
      <c r="D35" s="32" t="inlineStr">
        <is>
          <t>Total Units
in Component</t>
        </is>
      </c>
      <c r="E35" s="32" t="inlineStr">
        <is>
          <t>Cumulative
Units</t>
        </is>
      </c>
      <c r="F35" s="32" t="inlineStr">
        <is>
          <t>Start
Week</t>
        </is>
      </c>
      <c r="G35" s="32" t="inlineStr">
        <is>
          <t>End
Week</t>
        </is>
      </c>
      <c r="H35" s="32" t="inlineStr">
        <is>
          <t>Start
Date</t>
        </is>
      </c>
      <c r="I35" s="32" t="inlineStr">
        <is>
          <t>End
Date</t>
        </is>
      </c>
      <c r="J35" s="32" t="inlineStr">
        <is>
          <t>Complete?</t>
        </is>
      </c>
    </row>
    <row r="36" ht="18" customHeight="1">
      <c r="A36" s="33" t="n">
        <v>1</v>
      </c>
      <c r="B36" s="27" t="n"/>
      <c r="D36" s="34" t="n"/>
      <c r="E36" s="30">
        <f>IFERROR(SUM(D36:D36),"")</f>
        <v/>
      </c>
      <c r="F36" s="30">
        <f>IF(D36="","",1)</f>
        <v/>
      </c>
      <c r="G36" s="30">
        <f>IFERROR(IF(D36="","",CEILING(E36/F33,1)),"")</f>
        <v/>
      </c>
      <c r="H36" s="30">
        <f>IFERROR(IF(D36="","",TEXT('Getting Started'!B7+(F36-1)*7,"MMM D")),"")</f>
        <v/>
      </c>
      <c r="I36" s="30">
        <f>IFERROR(IF(D36="","",TEXT('Getting Started'!B7+(G36)*7,"MMM D")),"")</f>
        <v/>
      </c>
      <c r="J36" s="34" t="n"/>
    </row>
    <row r="37" ht="18" customHeight="1">
      <c r="A37" s="33" t="n">
        <v>2</v>
      </c>
      <c r="B37" s="35" t="n"/>
      <c r="D37" s="36" t="n"/>
      <c r="E37" s="30">
        <f>IFERROR(SUM(D36:D37),"")</f>
        <v/>
      </c>
      <c r="F37" s="30">
        <f>IFERROR(IF(D37="","",FLOOR(E36/F33,1)+1),"")</f>
        <v/>
      </c>
      <c r="G37" s="30">
        <f>IFERROR(IF(D37="","",CEILING(E37/F33,1)),"")</f>
        <v/>
      </c>
      <c r="H37" s="30">
        <f>IFERROR(IF(D37="","",TEXT('Getting Started'!B7+(F37-1)*7,"MMM D")),"")</f>
        <v/>
      </c>
      <c r="I37" s="30">
        <f>IFERROR(IF(D37="","",TEXT('Getting Started'!B7+(G37)*7,"MMM D")),"")</f>
        <v/>
      </c>
      <c r="J37" s="34" t="n"/>
    </row>
    <row r="38" ht="18" customHeight="1">
      <c r="A38" s="33" t="n">
        <v>3</v>
      </c>
      <c r="B38" s="27" t="n"/>
      <c r="D38" s="34" t="n"/>
      <c r="E38" s="30">
        <f>IFERROR(SUM(D36:D38),"")</f>
        <v/>
      </c>
      <c r="F38" s="30">
        <f>IFERROR(IF(D38="","",FLOOR(E37/F33,1)+1),"")</f>
        <v/>
      </c>
      <c r="G38" s="30">
        <f>IFERROR(IF(D38="","",CEILING(E38/F33,1)),"")</f>
        <v/>
      </c>
      <c r="H38" s="30">
        <f>IFERROR(IF(D38="","",TEXT('Getting Started'!B7+(F38-1)*7,"MMM D")),"")</f>
        <v/>
      </c>
      <c r="I38" s="30">
        <f>IFERROR(IF(D38="","",TEXT('Getting Started'!B7+(G38)*7,"MMM D")),"")</f>
        <v/>
      </c>
      <c r="J38" s="34" t="n"/>
    </row>
    <row r="39" ht="18" customHeight="1">
      <c r="A39" s="33" t="n">
        <v>4</v>
      </c>
      <c r="B39" s="35" t="n"/>
      <c r="D39" s="36" t="n"/>
      <c r="E39" s="30">
        <f>IFERROR(SUM(D36:D39),"")</f>
        <v/>
      </c>
      <c r="F39" s="30">
        <f>IFERROR(IF(D39="","",FLOOR(E38/F33,1)+1),"")</f>
        <v/>
      </c>
      <c r="G39" s="30">
        <f>IFERROR(IF(D39="","",CEILING(E39/F33,1)),"")</f>
        <v/>
      </c>
      <c r="H39" s="30">
        <f>IFERROR(IF(D39="","",TEXT('Getting Started'!B7+(F39-1)*7,"MMM D")),"")</f>
        <v/>
      </c>
      <c r="I39" s="30">
        <f>IFERROR(IF(D39="","",TEXT('Getting Started'!B7+(G39)*7,"MMM D")),"")</f>
        <v/>
      </c>
      <c r="J39" s="34" t="n"/>
    </row>
    <row r="40" ht="18" customHeight="1">
      <c r="A40" s="33" t="n">
        <v>5</v>
      </c>
      <c r="B40" s="27" t="n"/>
      <c r="D40" s="34" t="n"/>
      <c r="E40" s="30">
        <f>IFERROR(SUM(D36:D40),"")</f>
        <v/>
      </c>
      <c r="F40" s="30">
        <f>IFERROR(IF(D40="","",FLOOR(E39/F33,1)+1),"")</f>
        <v/>
      </c>
      <c r="G40" s="30">
        <f>IFERROR(IF(D40="","",CEILING(E40/F33,1)),"")</f>
        <v/>
      </c>
      <c r="H40" s="30">
        <f>IFERROR(IF(D40="","",TEXT('Getting Started'!B7+(F40-1)*7,"MMM D")),"")</f>
        <v/>
      </c>
      <c r="I40" s="30">
        <f>IFERROR(IF(D40="","",TEXT('Getting Started'!B7+(G40)*7,"MMM D")),"")</f>
        <v/>
      </c>
      <c r="J40" s="34" t="n"/>
    </row>
    <row r="41" ht="18" customHeight="1">
      <c r="A41" s="33" t="n">
        <v>6</v>
      </c>
      <c r="B41" s="35" t="n"/>
      <c r="D41" s="36" t="n"/>
      <c r="E41" s="30">
        <f>IFERROR(SUM(D36:D41),"")</f>
        <v/>
      </c>
      <c r="F41" s="30">
        <f>IFERROR(IF(D41="","",FLOOR(E40/F33,1)+1),"")</f>
        <v/>
      </c>
      <c r="G41" s="30">
        <f>IFERROR(IF(D41="","",CEILING(E41/F33,1)),"")</f>
        <v/>
      </c>
      <c r="H41" s="30">
        <f>IFERROR(IF(D41="","",TEXT('Getting Started'!B7+(F41-1)*7,"MMM D")),"")</f>
        <v/>
      </c>
      <c r="I41" s="30">
        <f>IFERROR(IF(D41="","",TEXT('Getting Started'!B7+(G41)*7,"MMM D")),"")</f>
        <v/>
      </c>
      <c r="J41" s="34" t="n"/>
    </row>
    <row r="42" ht="20" customHeight="1">
      <c r="A42" s="41" t="inlineStr">
        <is>
          <t>Notes:</t>
        </is>
      </c>
      <c r="B42" s="37" t="n"/>
    </row>
    <row r="43" ht="24" customHeight="1">
      <c r="A43" s="42" t="inlineStr">
        <is>
          <t xml:space="preserve">  READING</t>
        </is>
      </c>
    </row>
    <row r="44" ht="20" customHeight="1">
      <c r="A44" s="43" t="inlineStr">
        <is>
          <t>Curriculum / Title:</t>
        </is>
      </c>
      <c r="B44" s="27" t="n"/>
      <c r="F44" s="43" t="inlineStr">
        <is>
          <t>Unit type:</t>
        </is>
      </c>
      <c r="G44" s="27" t="inlineStr">
        <is>
          <t>pages</t>
        </is>
      </c>
      <c r="I44" s="28" t="inlineStr">
        <is>
          <t>← type: pages, lessons, chapters…</t>
        </is>
      </c>
      <c r="J44" s="29" t="n"/>
    </row>
    <row r="45" ht="22" customHeight="1">
      <c r="A45" s="43" t="inlineStr">
        <is>
          <t>Total Units:</t>
        </is>
      </c>
      <c r="B45" s="27" t="n"/>
      <c r="C45" s="43" t="inlineStr">
        <is>
          <t>School Weeks:</t>
        </is>
      </c>
      <c r="D45" s="30">
        <f>'Getting Started'!B9</f>
        <v/>
      </c>
      <c r="E45" s="43" t="inlineStr">
        <is>
          <t>Units / Week:</t>
        </is>
      </c>
      <c r="F45" s="12">
        <f>IFERROR(IF(B45="","",ROUND(B45/D45,1)),"")</f>
        <v/>
      </c>
      <c r="G45" s="43" t="inlineStr">
        <is>
          <t>Units / Day:</t>
        </is>
      </c>
      <c r="H45" s="12">
        <f>IFERROR(IF(F45="","",ROUND(F45/'Getting Started'!B10,1)),"")</f>
        <v/>
      </c>
      <c r="I45" s="43" t="inlineStr">
        <is>
          <t>Est. End Date:</t>
        </is>
      </c>
      <c r="J45" s="12">
        <f>IFERROR(IF(B45="","",TEXT('Getting Started'!B7+(B45/'Getting Started'!B10),"MMM D, YYYY")),"")</f>
        <v/>
      </c>
    </row>
    <row r="46" ht="18" customHeight="1">
      <c r="A46" s="31" t="inlineStr">
        <is>
          <t xml:space="preserve">  Optional: Component / Volume Breakdown  (fill in if curriculum has multiple books or parts)</t>
        </is>
      </c>
    </row>
    <row r="47" ht="18" customHeight="1">
      <c r="A47" s="32" t="inlineStr">
        <is>
          <t>#</t>
        </is>
      </c>
      <c r="B47" s="32" t="inlineStr">
        <is>
          <t>Component / Book Title</t>
        </is>
      </c>
      <c r="C47" s="29" t="n"/>
      <c r="D47" s="32" t="inlineStr">
        <is>
          <t>Total Units
in Component</t>
        </is>
      </c>
      <c r="E47" s="32" t="inlineStr">
        <is>
          <t>Cumulative
Units</t>
        </is>
      </c>
      <c r="F47" s="32" t="inlineStr">
        <is>
          <t>Start
Week</t>
        </is>
      </c>
      <c r="G47" s="32" t="inlineStr">
        <is>
          <t>End
Week</t>
        </is>
      </c>
      <c r="H47" s="32" t="inlineStr">
        <is>
          <t>Start
Date</t>
        </is>
      </c>
      <c r="I47" s="32" t="inlineStr">
        <is>
          <t>End
Date</t>
        </is>
      </c>
      <c r="J47" s="32" t="inlineStr">
        <is>
          <t>Complete?</t>
        </is>
      </c>
    </row>
    <row r="48" ht="18" customHeight="1">
      <c r="A48" s="33" t="n">
        <v>1</v>
      </c>
      <c r="B48" s="27" t="n"/>
      <c r="D48" s="34" t="n"/>
      <c r="E48" s="30">
        <f>IFERROR(SUM(D48:D48),"")</f>
        <v/>
      </c>
      <c r="F48" s="30">
        <f>IF(D48="","",1)</f>
        <v/>
      </c>
      <c r="G48" s="30">
        <f>IFERROR(IF(D48="","",CEILING(E48/F45,1)),"")</f>
        <v/>
      </c>
      <c r="H48" s="30">
        <f>IFERROR(IF(D48="","",TEXT('Getting Started'!B7+(F48-1)*7,"MMM D")),"")</f>
        <v/>
      </c>
      <c r="I48" s="30">
        <f>IFERROR(IF(D48="","",TEXT('Getting Started'!B7+(G48)*7,"MMM D")),"")</f>
        <v/>
      </c>
      <c r="J48" s="34" t="n"/>
    </row>
    <row r="49" ht="18" customHeight="1">
      <c r="A49" s="33" t="n">
        <v>2</v>
      </c>
      <c r="B49" s="35" t="n"/>
      <c r="D49" s="36" t="n"/>
      <c r="E49" s="30">
        <f>IFERROR(SUM(D48:D49),"")</f>
        <v/>
      </c>
      <c r="F49" s="30">
        <f>IFERROR(IF(D49="","",FLOOR(E48/F45,1)+1),"")</f>
        <v/>
      </c>
      <c r="G49" s="30">
        <f>IFERROR(IF(D49="","",CEILING(E49/F45,1)),"")</f>
        <v/>
      </c>
      <c r="H49" s="30">
        <f>IFERROR(IF(D49="","",TEXT('Getting Started'!B7+(F49-1)*7,"MMM D")),"")</f>
        <v/>
      </c>
      <c r="I49" s="30">
        <f>IFERROR(IF(D49="","",TEXT('Getting Started'!B7+(G49)*7,"MMM D")),"")</f>
        <v/>
      </c>
      <c r="J49" s="34" t="n"/>
    </row>
    <row r="50" ht="18" customHeight="1">
      <c r="A50" s="33" t="n">
        <v>3</v>
      </c>
      <c r="B50" s="27" t="n"/>
      <c r="D50" s="34" t="n"/>
      <c r="E50" s="30">
        <f>IFERROR(SUM(D48:D50),"")</f>
        <v/>
      </c>
      <c r="F50" s="30">
        <f>IFERROR(IF(D50="","",FLOOR(E49/F45,1)+1),"")</f>
        <v/>
      </c>
      <c r="G50" s="30">
        <f>IFERROR(IF(D50="","",CEILING(E50/F45,1)),"")</f>
        <v/>
      </c>
      <c r="H50" s="30">
        <f>IFERROR(IF(D50="","",TEXT('Getting Started'!B7+(F50-1)*7,"MMM D")),"")</f>
        <v/>
      </c>
      <c r="I50" s="30">
        <f>IFERROR(IF(D50="","",TEXT('Getting Started'!B7+(G50)*7,"MMM D")),"")</f>
        <v/>
      </c>
      <c r="J50" s="34" t="n"/>
    </row>
    <row r="51" ht="18" customHeight="1">
      <c r="A51" s="33" t="n">
        <v>4</v>
      </c>
      <c r="B51" s="35" t="n"/>
      <c r="D51" s="36" t="n"/>
      <c r="E51" s="30">
        <f>IFERROR(SUM(D48:D51),"")</f>
        <v/>
      </c>
      <c r="F51" s="30">
        <f>IFERROR(IF(D51="","",FLOOR(E50/F45,1)+1),"")</f>
        <v/>
      </c>
      <c r="G51" s="30">
        <f>IFERROR(IF(D51="","",CEILING(E51/F45,1)),"")</f>
        <v/>
      </c>
      <c r="H51" s="30">
        <f>IFERROR(IF(D51="","",TEXT('Getting Started'!B7+(F51-1)*7,"MMM D")),"")</f>
        <v/>
      </c>
      <c r="I51" s="30">
        <f>IFERROR(IF(D51="","",TEXT('Getting Started'!B7+(G51)*7,"MMM D")),"")</f>
        <v/>
      </c>
      <c r="J51" s="34" t="n"/>
    </row>
    <row r="52" ht="18" customHeight="1">
      <c r="A52" s="33" t="n">
        <v>5</v>
      </c>
      <c r="B52" s="27" t="n"/>
      <c r="D52" s="34" t="n"/>
      <c r="E52" s="30">
        <f>IFERROR(SUM(D48:D52),"")</f>
        <v/>
      </c>
      <c r="F52" s="30">
        <f>IFERROR(IF(D52="","",FLOOR(E51/F45,1)+1),"")</f>
        <v/>
      </c>
      <c r="G52" s="30">
        <f>IFERROR(IF(D52="","",CEILING(E52/F45,1)),"")</f>
        <v/>
      </c>
      <c r="H52" s="30">
        <f>IFERROR(IF(D52="","",TEXT('Getting Started'!B7+(F52-1)*7,"MMM D")),"")</f>
        <v/>
      </c>
      <c r="I52" s="30">
        <f>IFERROR(IF(D52="","",TEXT('Getting Started'!B7+(G52)*7,"MMM D")),"")</f>
        <v/>
      </c>
      <c r="J52" s="34" t="n"/>
    </row>
    <row r="53" ht="18" customHeight="1">
      <c r="A53" s="33" t="n">
        <v>6</v>
      </c>
      <c r="B53" s="35" t="n"/>
      <c r="D53" s="36" t="n"/>
      <c r="E53" s="30">
        <f>IFERROR(SUM(D48:D53),"")</f>
        <v/>
      </c>
      <c r="F53" s="30">
        <f>IFERROR(IF(D53="","",FLOOR(E52/F45,1)+1),"")</f>
        <v/>
      </c>
      <c r="G53" s="30">
        <f>IFERROR(IF(D53="","",CEILING(E53/F45,1)),"")</f>
        <v/>
      </c>
      <c r="H53" s="30">
        <f>IFERROR(IF(D53="","",TEXT('Getting Started'!B7+(F53-1)*7,"MMM D")),"")</f>
        <v/>
      </c>
      <c r="I53" s="30">
        <f>IFERROR(IF(D53="","",TEXT('Getting Started'!B7+(G53)*7,"MMM D")),"")</f>
        <v/>
      </c>
      <c r="J53" s="34" t="n"/>
    </row>
    <row r="54" ht="20" customHeight="1">
      <c r="A54" s="43" t="inlineStr">
        <is>
          <t>Notes:</t>
        </is>
      </c>
      <c r="B54" s="37" t="n"/>
    </row>
    <row r="55" ht="24" customHeight="1">
      <c r="A55" s="44" t="inlineStr">
        <is>
          <t xml:space="preserve">  WRITING / COMPOSITION</t>
        </is>
      </c>
    </row>
    <row r="56" ht="20" customHeight="1">
      <c r="A56" s="45" t="inlineStr">
        <is>
          <t>Curriculum / Title:</t>
        </is>
      </c>
      <c r="B56" s="27" t="n"/>
      <c r="F56" s="45" t="inlineStr">
        <is>
          <t>Unit type:</t>
        </is>
      </c>
      <c r="G56" s="27" t="inlineStr">
        <is>
          <t>pages</t>
        </is>
      </c>
      <c r="I56" s="28" t="inlineStr">
        <is>
          <t>← type: pages, lessons, chapters…</t>
        </is>
      </c>
      <c r="J56" s="29" t="n"/>
    </row>
    <row r="57" ht="22" customHeight="1">
      <c r="A57" s="45" t="inlineStr">
        <is>
          <t>Total Units:</t>
        </is>
      </c>
      <c r="B57" s="27" t="n"/>
      <c r="C57" s="45" t="inlineStr">
        <is>
          <t>School Weeks:</t>
        </is>
      </c>
      <c r="D57" s="30">
        <f>'Getting Started'!B9</f>
        <v/>
      </c>
      <c r="E57" s="45" t="inlineStr">
        <is>
          <t>Units / Week:</t>
        </is>
      </c>
      <c r="F57" s="12">
        <f>IFERROR(IF(B57="","",ROUND(B57/D57,1)),"")</f>
        <v/>
      </c>
      <c r="G57" s="45" t="inlineStr">
        <is>
          <t>Units / Day:</t>
        </is>
      </c>
      <c r="H57" s="12">
        <f>IFERROR(IF(F57="","",ROUND(F57/'Getting Started'!B10,1)),"")</f>
        <v/>
      </c>
      <c r="I57" s="45" t="inlineStr">
        <is>
          <t>Est. End Date:</t>
        </is>
      </c>
      <c r="J57" s="12">
        <f>IFERROR(IF(B57="","",TEXT('Getting Started'!B7+(B57/'Getting Started'!B10),"MMM D, YYYY")),"")</f>
        <v/>
      </c>
    </row>
    <row r="58" ht="18" customHeight="1">
      <c r="A58" s="31" t="inlineStr">
        <is>
          <t xml:space="preserve">  Optional: Component / Volume Breakdown  (fill in if curriculum has multiple books or parts)</t>
        </is>
      </c>
    </row>
    <row r="59" ht="18" customHeight="1">
      <c r="A59" s="32" t="inlineStr">
        <is>
          <t>#</t>
        </is>
      </c>
      <c r="B59" s="32" t="inlineStr">
        <is>
          <t>Component / Book Title</t>
        </is>
      </c>
      <c r="C59" s="29" t="n"/>
      <c r="D59" s="32" t="inlineStr">
        <is>
          <t>Total Units
in Component</t>
        </is>
      </c>
      <c r="E59" s="32" t="inlineStr">
        <is>
          <t>Cumulative
Units</t>
        </is>
      </c>
      <c r="F59" s="32" t="inlineStr">
        <is>
          <t>Start
Week</t>
        </is>
      </c>
      <c r="G59" s="32" t="inlineStr">
        <is>
          <t>End
Week</t>
        </is>
      </c>
      <c r="H59" s="32" t="inlineStr">
        <is>
          <t>Start
Date</t>
        </is>
      </c>
      <c r="I59" s="32" t="inlineStr">
        <is>
          <t>End
Date</t>
        </is>
      </c>
      <c r="J59" s="32" t="inlineStr">
        <is>
          <t>Complete?</t>
        </is>
      </c>
    </row>
    <row r="60" ht="18" customHeight="1">
      <c r="A60" s="33" t="n">
        <v>1</v>
      </c>
      <c r="B60" s="27" t="n"/>
      <c r="D60" s="34" t="n"/>
      <c r="E60" s="30">
        <f>IFERROR(SUM(D60:D60),"")</f>
        <v/>
      </c>
      <c r="F60" s="30">
        <f>IF(D60="","",1)</f>
        <v/>
      </c>
      <c r="G60" s="30">
        <f>IFERROR(IF(D60="","",CEILING(E60/F57,1)),"")</f>
        <v/>
      </c>
      <c r="H60" s="30">
        <f>IFERROR(IF(D60="","",TEXT('Getting Started'!B7+(F60-1)*7,"MMM D")),"")</f>
        <v/>
      </c>
      <c r="I60" s="30">
        <f>IFERROR(IF(D60="","",TEXT('Getting Started'!B7+(G60)*7,"MMM D")),"")</f>
        <v/>
      </c>
      <c r="J60" s="34" t="n"/>
    </row>
    <row r="61" ht="18" customHeight="1">
      <c r="A61" s="33" t="n">
        <v>2</v>
      </c>
      <c r="B61" s="35" t="n"/>
      <c r="D61" s="36" t="n"/>
      <c r="E61" s="30">
        <f>IFERROR(SUM(D60:D61),"")</f>
        <v/>
      </c>
      <c r="F61" s="30">
        <f>IFERROR(IF(D61="","",FLOOR(E60/F57,1)+1),"")</f>
        <v/>
      </c>
      <c r="G61" s="30">
        <f>IFERROR(IF(D61="","",CEILING(E61/F57,1)),"")</f>
        <v/>
      </c>
      <c r="H61" s="30">
        <f>IFERROR(IF(D61="","",TEXT('Getting Started'!B7+(F61-1)*7,"MMM D")),"")</f>
        <v/>
      </c>
      <c r="I61" s="30">
        <f>IFERROR(IF(D61="","",TEXT('Getting Started'!B7+(G61)*7,"MMM D")),"")</f>
        <v/>
      </c>
      <c r="J61" s="34" t="n"/>
    </row>
    <row r="62" ht="18" customHeight="1">
      <c r="A62" s="33" t="n">
        <v>3</v>
      </c>
      <c r="B62" s="27" t="n"/>
      <c r="D62" s="34" t="n"/>
      <c r="E62" s="30">
        <f>IFERROR(SUM(D60:D62),"")</f>
        <v/>
      </c>
      <c r="F62" s="30">
        <f>IFERROR(IF(D62="","",FLOOR(E61/F57,1)+1),"")</f>
        <v/>
      </c>
      <c r="G62" s="30">
        <f>IFERROR(IF(D62="","",CEILING(E62/F57,1)),"")</f>
        <v/>
      </c>
      <c r="H62" s="30">
        <f>IFERROR(IF(D62="","",TEXT('Getting Started'!B7+(F62-1)*7,"MMM D")),"")</f>
        <v/>
      </c>
      <c r="I62" s="30">
        <f>IFERROR(IF(D62="","",TEXT('Getting Started'!B7+(G62)*7,"MMM D")),"")</f>
        <v/>
      </c>
      <c r="J62" s="34" t="n"/>
    </row>
    <row r="63" ht="18" customHeight="1">
      <c r="A63" s="33" t="n">
        <v>4</v>
      </c>
      <c r="B63" s="35" t="n"/>
      <c r="D63" s="36" t="n"/>
      <c r="E63" s="30">
        <f>IFERROR(SUM(D60:D63),"")</f>
        <v/>
      </c>
      <c r="F63" s="30">
        <f>IFERROR(IF(D63="","",FLOOR(E62/F57,1)+1),"")</f>
        <v/>
      </c>
      <c r="G63" s="30">
        <f>IFERROR(IF(D63="","",CEILING(E63/F57,1)),"")</f>
        <v/>
      </c>
      <c r="H63" s="30">
        <f>IFERROR(IF(D63="","",TEXT('Getting Started'!B7+(F63-1)*7,"MMM D")),"")</f>
        <v/>
      </c>
      <c r="I63" s="30">
        <f>IFERROR(IF(D63="","",TEXT('Getting Started'!B7+(G63)*7,"MMM D")),"")</f>
        <v/>
      </c>
      <c r="J63" s="34" t="n"/>
    </row>
    <row r="64" ht="18" customHeight="1">
      <c r="A64" s="33" t="n">
        <v>5</v>
      </c>
      <c r="B64" s="27" t="n"/>
      <c r="D64" s="34" t="n"/>
      <c r="E64" s="30">
        <f>IFERROR(SUM(D60:D64),"")</f>
        <v/>
      </c>
      <c r="F64" s="30">
        <f>IFERROR(IF(D64="","",FLOOR(E63/F57,1)+1),"")</f>
        <v/>
      </c>
      <c r="G64" s="30">
        <f>IFERROR(IF(D64="","",CEILING(E64/F57,1)),"")</f>
        <v/>
      </c>
      <c r="H64" s="30">
        <f>IFERROR(IF(D64="","",TEXT('Getting Started'!B7+(F64-1)*7,"MMM D")),"")</f>
        <v/>
      </c>
      <c r="I64" s="30">
        <f>IFERROR(IF(D64="","",TEXT('Getting Started'!B7+(G64)*7,"MMM D")),"")</f>
        <v/>
      </c>
      <c r="J64" s="34" t="n"/>
    </row>
    <row r="65" ht="18" customHeight="1">
      <c r="A65" s="33" t="n">
        <v>6</v>
      </c>
      <c r="B65" s="35" t="n"/>
      <c r="D65" s="36" t="n"/>
      <c r="E65" s="30">
        <f>IFERROR(SUM(D60:D65),"")</f>
        <v/>
      </c>
      <c r="F65" s="30">
        <f>IFERROR(IF(D65="","",FLOOR(E64/F57,1)+1),"")</f>
        <v/>
      </c>
      <c r="G65" s="30">
        <f>IFERROR(IF(D65="","",CEILING(E65/F57,1)),"")</f>
        <v/>
      </c>
      <c r="H65" s="30">
        <f>IFERROR(IF(D65="","",TEXT('Getting Started'!B7+(F65-1)*7,"MMM D")),"")</f>
        <v/>
      </c>
      <c r="I65" s="30">
        <f>IFERROR(IF(D65="","",TEXT('Getting Started'!B7+(G65)*7,"MMM D")),"")</f>
        <v/>
      </c>
      <c r="J65" s="34" t="n"/>
    </row>
    <row r="66" ht="20" customHeight="1">
      <c r="A66" s="45" t="inlineStr">
        <is>
          <t>Notes:</t>
        </is>
      </c>
      <c r="B66" s="37" t="n"/>
    </row>
    <row r="67" ht="24" customHeight="1">
      <c r="A67" s="46" t="inlineStr">
        <is>
          <t xml:space="preserve">  SCIENCE</t>
        </is>
      </c>
    </row>
    <row r="68" ht="20" customHeight="1">
      <c r="A68" s="47" t="inlineStr">
        <is>
          <t>Curriculum / Title:</t>
        </is>
      </c>
      <c r="B68" s="27" t="n"/>
      <c r="F68" s="47" t="inlineStr">
        <is>
          <t>Unit type:</t>
        </is>
      </c>
      <c r="G68" s="27" t="inlineStr">
        <is>
          <t>pages</t>
        </is>
      </c>
      <c r="I68" s="28" t="inlineStr">
        <is>
          <t>← type: pages, lessons, chapters…</t>
        </is>
      </c>
      <c r="J68" s="29" t="n"/>
    </row>
    <row r="69" ht="22" customHeight="1">
      <c r="A69" s="47" t="inlineStr">
        <is>
          <t>Total Units:</t>
        </is>
      </c>
      <c r="B69" s="27" t="n"/>
      <c r="C69" s="47" t="inlineStr">
        <is>
          <t>School Weeks:</t>
        </is>
      </c>
      <c r="D69" s="30">
        <f>'Getting Started'!B9</f>
        <v/>
      </c>
      <c r="E69" s="47" t="inlineStr">
        <is>
          <t>Units / Week:</t>
        </is>
      </c>
      <c r="F69" s="12">
        <f>IFERROR(IF(B69="","",ROUND(B69/D69,1)),"")</f>
        <v/>
      </c>
      <c r="G69" s="47" t="inlineStr">
        <is>
          <t>Units / Day:</t>
        </is>
      </c>
      <c r="H69" s="12">
        <f>IFERROR(IF(F69="","",ROUND(F69/'Getting Started'!B10,1)),"")</f>
        <v/>
      </c>
      <c r="I69" s="47" t="inlineStr">
        <is>
          <t>Est. End Date:</t>
        </is>
      </c>
      <c r="J69" s="12">
        <f>IFERROR(IF(B69="","",TEXT('Getting Started'!B7+(B69/'Getting Started'!B10),"MMM D, YYYY")),"")</f>
        <v/>
      </c>
    </row>
    <row r="70" ht="18" customHeight="1">
      <c r="A70" s="31" t="inlineStr">
        <is>
          <t xml:space="preserve">  Optional: Component / Volume Breakdown  (fill in if curriculum has multiple books or parts)</t>
        </is>
      </c>
    </row>
    <row r="71" ht="18" customHeight="1">
      <c r="A71" s="32" t="inlineStr">
        <is>
          <t>#</t>
        </is>
      </c>
      <c r="B71" s="32" t="inlineStr">
        <is>
          <t>Component / Book Title</t>
        </is>
      </c>
      <c r="C71" s="29" t="n"/>
      <c r="D71" s="32" t="inlineStr">
        <is>
          <t>Total Units
in Component</t>
        </is>
      </c>
      <c r="E71" s="32" t="inlineStr">
        <is>
          <t>Cumulative
Units</t>
        </is>
      </c>
      <c r="F71" s="32" t="inlineStr">
        <is>
          <t>Start
Week</t>
        </is>
      </c>
      <c r="G71" s="32" t="inlineStr">
        <is>
          <t>End
Week</t>
        </is>
      </c>
      <c r="H71" s="32" t="inlineStr">
        <is>
          <t>Start
Date</t>
        </is>
      </c>
      <c r="I71" s="32" t="inlineStr">
        <is>
          <t>End
Date</t>
        </is>
      </c>
      <c r="J71" s="32" t="inlineStr">
        <is>
          <t>Complete?</t>
        </is>
      </c>
    </row>
    <row r="72" ht="18" customHeight="1">
      <c r="A72" s="33" t="n">
        <v>1</v>
      </c>
      <c r="B72" s="27" t="n"/>
      <c r="D72" s="34" t="n"/>
      <c r="E72" s="30">
        <f>IFERROR(SUM(D72:D72),"")</f>
        <v/>
      </c>
      <c r="F72" s="30">
        <f>IF(D72="","",1)</f>
        <v/>
      </c>
      <c r="G72" s="30">
        <f>IFERROR(IF(D72="","",CEILING(E72/F69,1)),"")</f>
        <v/>
      </c>
      <c r="H72" s="30">
        <f>IFERROR(IF(D72="","",TEXT('Getting Started'!B7+(F72-1)*7,"MMM D")),"")</f>
        <v/>
      </c>
      <c r="I72" s="30">
        <f>IFERROR(IF(D72="","",TEXT('Getting Started'!B7+(G72)*7,"MMM D")),"")</f>
        <v/>
      </c>
      <c r="J72" s="34" t="n"/>
    </row>
    <row r="73" ht="18" customHeight="1">
      <c r="A73" s="33" t="n">
        <v>2</v>
      </c>
      <c r="B73" s="35" t="n"/>
      <c r="D73" s="36" t="n"/>
      <c r="E73" s="30">
        <f>IFERROR(SUM(D72:D73),"")</f>
        <v/>
      </c>
      <c r="F73" s="30">
        <f>IFERROR(IF(D73="","",FLOOR(E72/F69,1)+1),"")</f>
        <v/>
      </c>
      <c r="G73" s="30">
        <f>IFERROR(IF(D73="","",CEILING(E73/F69,1)),"")</f>
        <v/>
      </c>
      <c r="H73" s="30">
        <f>IFERROR(IF(D73="","",TEXT('Getting Started'!B7+(F73-1)*7,"MMM D")),"")</f>
        <v/>
      </c>
      <c r="I73" s="30">
        <f>IFERROR(IF(D73="","",TEXT('Getting Started'!B7+(G73)*7,"MMM D")),"")</f>
        <v/>
      </c>
      <c r="J73" s="34" t="n"/>
    </row>
    <row r="74" ht="18" customHeight="1">
      <c r="A74" s="33" t="n">
        <v>3</v>
      </c>
      <c r="B74" s="27" t="n"/>
      <c r="D74" s="34" t="n"/>
      <c r="E74" s="30">
        <f>IFERROR(SUM(D72:D74),"")</f>
        <v/>
      </c>
      <c r="F74" s="30">
        <f>IFERROR(IF(D74="","",FLOOR(E73/F69,1)+1),"")</f>
        <v/>
      </c>
      <c r="G74" s="30">
        <f>IFERROR(IF(D74="","",CEILING(E74/F69,1)),"")</f>
        <v/>
      </c>
      <c r="H74" s="30">
        <f>IFERROR(IF(D74="","",TEXT('Getting Started'!B7+(F74-1)*7,"MMM D")),"")</f>
        <v/>
      </c>
      <c r="I74" s="30">
        <f>IFERROR(IF(D74="","",TEXT('Getting Started'!B7+(G74)*7,"MMM D")),"")</f>
        <v/>
      </c>
      <c r="J74" s="34" t="n"/>
    </row>
    <row r="75" ht="18" customHeight="1">
      <c r="A75" s="33" t="n">
        <v>4</v>
      </c>
      <c r="B75" s="35" t="n"/>
      <c r="D75" s="36" t="n"/>
      <c r="E75" s="30">
        <f>IFERROR(SUM(D72:D75),"")</f>
        <v/>
      </c>
      <c r="F75" s="30">
        <f>IFERROR(IF(D75="","",FLOOR(E74/F69,1)+1),"")</f>
        <v/>
      </c>
      <c r="G75" s="30">
        <f>IFERROR(IF(D75="","",CEILING(E75/F69,1)),"")</f>
        <v/>
      </c>
      <c r="H75" s="30">
        <f>IFERROR(IF(D75="","",TEXT('Getting Started'!B7+(F75-1)*7,"MMM D")),"")</f>
        <v/>
      </c>
      <c r="I75" s="30">
        <f>IFERROR(IF(D75="","",TEXT('Getting Started'!B7+(G75)*7,"MMM D")),"")</f>
        <v/>
      </c>
      <c r="J75" s="34" t="n"/>
    </row>
    <row r="76" ht="18" customHeight="1">
      <c r="A76" s="33" t="n">
        <v>5</v>
      </c>
      <c r="B76" s="27" t="n"/>
      <c r="D76" s="34" t="n"/>
      <c r="E76" s="30">
        <f>IFERROR(SUM(D72:D76),"")</f>
        <v/>
      </c>
      <c r="F76" s="30">
        <f>IFERROR(IF(D76="","",FLOOR(E75/F69,1)+1),"")</f>
        <v/>
      </c>
      <c r="G76" s="30">
        <f>IFERROR(IF(D76="","",CEILING(E76/F69,1)),"")</f>
        <v/>
      </c>
      <c r="H76" s="30">
        <f>IFERROR(IF(D76="","",TEXT('Getting Started'!B7+(F76-1)*7,"MMM D")),"")</f>
        <v/>
      </c>
      <c r="I76" s="30">
        <f>IFERROR(IF(D76="","",TEXT('Getting Started'!B7+(G76)*7,"MMM D")),"")</f>
        <v/>
      </c>
      <c r="J76" s="34" t="n"/>
    </row>
    <row r="77" ht="18" customHeight="1">
      <c r="A77" s="33" t="n">
        <v>6</v>
      </c>
      <c r="B77" s="35" t="n"/>
      <c r="D77" s="36" t="n"/>
      <c r="E77" s="30">
        <f>IFERROR(SUM(D72:D77),"")</f>
        <v/>
      </c>
      <c r="F77" s="30">
        <f>IFERROR(IF(D77="","",FLOOR(E76/F69,1)+1),"")</f>
        <v/>
      </c>
      <c r="G77" s="30">
        <f>IFERROR(IF(D77="","",CEILING(E77/F69,1)),"")</f>
        <v/>
      </c>
      <c r="H77" s="30">
        <f>IFERROR(IF(D77="","",TEXT('Getting Started'!B7+(F77-1)*7,"MMM D")),"")</f>
        <v/>
      </c>
      <c r="I77" s="30">
        <f>IFERROR(IF(D77="","",TEXT('Getting Started'!B7+(G77)*7,"MMM D")),"")</f>
        <v/>
      </c>
      <c r="J77" s="34" t="n"/>
    </row>
    <row r="78" ht="20" customHeight="1">
      <c r="A78" s="47" t="inlineStr">
        <is>
          <t>Notes:</t>
        </is>
      </c>
      <c r="B78" s="37" t="n"/>
    </row>
    <row r="79" ht="24" customHeight="1">
      <c r="A79" s="48" t="inlineStr">
        <is>
          <t xml:space="preserve">  SOCIAL STUDIES / HISTORY</t>
        </is>
      </c>
    </row>
    <row r="80" ht="20" customHeight="1">
      <c r="A80" s="49" t="inlineStr">
        <is>
          <t>Curriculum / Title:</t>
        </is>
      </c>
      <c r="B80" s="27" t="n"/>
      <c r="F80" s="49" t="inlineStr">
        <is>
          <t>Unit type:</t>
        </is>
      </c>
      <c r="G80" s="27" t="inlineStr">
        <is>
          <t>pages</t>
        </is>
      </c>
      <c r="I80" s="28" t="inlineStr">
        <is>
          <t>← type: pages, lessons, chapters…</t>
        </is>
      </c>
      <c r="J80" s="29" t="n"/>
    </row>
    <row r="81" ht="22" customHeight="1">
      <c r="A81" s="49" t="inlineStr">
        <is>
          <t>Total Units:</t>
        </is>
      </c>
      <c r="B81" s="27" t="n"/>
      <c r="C81" s="49" t="inlineStr">
        <is>
          <t>School Weeks:</t>
        </is>
      </c>
      <c r="D81" s="30">
        <f>'Getting Started'!B9</f>
        <v/>
      </c>
      <c r="E81" s="49" t="inlineStr">
        <is>
          <t>Units / Week:</t>
        </is>
      </c>
      <c r="F81" s="12">
        <f>IFERROR(IF(B81="","",ROUND(B81/D81,1)),"")</f>
        <v/>
      </c>
      <c r="G81" s="49" t="inlineStr">
        <is>
          <t>Units / Day:</t>
        </is>
      </c>
      <c r="H81" s="12">
        <f>IFERROR(IF(F81="","",ROUND(F81/'Getting Started'!B10,1)),"")</f>
        <v/>
      </c>
      <c r="I81" s="49" t="inlineStr">
        <is>
          <t>Est. End Date:</t>
        </is>
      </c>
      <c r="J81" s="12">
        <f>IFERROR(IF(B81="","",TEXT('Getting Started'!B7+(B81/'Getting Started'!B10),"MMM D, YYYY")),"")</f>
        <v/>
      </c>
    </row>
    <row r="82" ht="18" customHeight="1">
      <c r="A82" s="31" t="inlineStr">
        <is>
          <t xml:space="preserve">  Optional: Component / Volume Breakdown  (fill in if curriculum has multiple books or parts)</t>
        </is>
      </c>
    </row>
    <row r="83" ht="18" customHeight="1">
      <c r="A83" s="32" t="inlineStr">
        <is>
          <t>#</t>
        </is>
      </c>
      <c r="B83" s="32" t="inlineStr">
        <is>
          <t>Component / Book Title</t>
        </is>
      </c>
      <c r="C83" s="29" t="n"/>
      <c r="D83" s="32" t="inlineStr">
        <is>
          <t>Total Units
in Component</t>
        </is>
      </c>
      <c r="E83" s="32" t="inlineStr">
        <is>
          <t>Cumulative
Units</t>
        </is>
      </c>
      <c r="F83" s="32" t="inlineStr">
        <is>
          <t>Start
Week</t>
        </is>
      </c>
      <c r="G83" s="32" t="inlineStr">
        <is>
          <t>End
Week</t>
        </is>
      </c>
      <c r="H83" s="32" t="inlineStr">
        <is>
          <t>Start
Date</t>
        </is>
      </c>
      <c r="I83" s="32" t="inlineStr">
        <is>
          <t>End
Date</t>
        </is>
      </c>
      <c r="J83" s="32" t="inlineStr">
        <is>
          <t>Complete?</t>
        </is>
      </c>
    </row>
    <row r="84" ht="18" customHeight="1">
      <c r="A84" s="33" t="n">
        <v>1</v>
      </c>
      <c r="B84" s="27" t="n"/>
      <c r="D84" s="34" t="n"/>
      <c r="E84" s="30">
        <f>IFERROR(SUM(D84:D84),"")</f>
        <v/>
      </c>
      <c r="F84" s="30">
        <f>IF(D84="","",1)</f>
        <v/>
      </c>
      <c r="G84" s="30">
        <f>IFERROR(IF(D84="","",CEILING(E84/F81,1)),"")</f>
        <v/>
      </c>
      <c r="H84" s="30">
        <f>IFERROR(IF(D84="","",TEXT('Getting Started'!B7+(F84-1)*7,"MMM D")),"")</f>
        <v/>
      </c>
      <c r="I84" s="30">
        <f>IFERROR(IF(D84="","",TEXT('Getting Started'!B7+(G84)*7,"MMM D")),"")</f>
        <v/>
      </c>
      <c r="J84" s="34" t="n"/>
    </row>
    <row r="85" ht="18" customHeight="1">
      <c r="A85" s="33" t="n">
        <v>2</v>
      </c>
      <c r="B85" s="35" t="n"/>
      <c r="D85" s="36" t="n"/>
      <c r="E85" s="30">
        <f>IFERROR(SUM(D84:D85),"")</f>
        <v/>
      </c>
      <c r="F85" s="30">
        <f>IFERROR(IF(D85="","",FLOOR(E84/F81,1)+1),"")</f>
        <v/>
      </c>
      <c r="G85" s="30">
        <f>IFERROR(IF(D85="","",CEILING(E85/F81,1)),"")</f>
        <v/>
      </c>
      <c r="H85" s="30">
        <f>IFERROR(IF(D85="","",TEXT('Getting Started'!B7+(F85-1)*7,"MMM D")),"")</f>
        <v/>
      </c>
      <c r="I85" s="30">
        <f>IFERROR(IF(D85="","",TEXT('Getting Started'!B7+(G85)*7,"MMM D")),"")</f>
        <v/>
      </c>
      <c r="J85" s="34" t="n"/>
    </row>
    <row r="86" ht="18" customHeight="1">
      <c r="A86" s="33" t="n">
        <v>3</v>
      </c>
      <c r="B86" s="27" t="n"/>
      <c r="D86" s="34" t="n"/>
      <c r="E86" s="30">
        <f>IFERROR(SUM(D84:D86),"")</f>
        <v/>
      </c>
      <c r="F86" s="30">
        <f>IFERROR(IF(D86="","",FLOOR(E85/F81,1)+1),"")</f>
        <v/>
      </c>
      <c r="G86" s="30">
        <f>IFERROR(IF(D86="","",CEILING(E86/F81,1)),"")</f>
        <v/>
      </c>
      <c r="H86" s="30">
        <f>IFERROR(IF(D86="","",TEXT('Getting Started'!B7+(F86-1)*7,"MMM D")),"")</f>
        <v/>
      </c>
      <c r="I86" s="30">
        <f>IFERROR(IF(D86="","",TEXT('Getting Started'!B7+(G86)*7,"MMM D")),"")</f>
        <v/>
      </c>
      <c r="J86" s="34" t="n"/>
    </row>
    <row r="87" ht="18" customHeight="1">
      <c r="A87" s="33" t="n">
        <v>4</v>
      </c>
      <c r="B87" s="35" t="n"/>
      <c r="D87" s="36" t="n"/>
      <c r="E87" s="30">
        <f>IFERROR(SUM(D84:D87),"")</f>
        <v/>
      </c>
      <c r="F87" s="30">
        <f>IFERROR(IF(D87="","",FLOOR(E86/F81,1)+1),"")</f>
        <v/>
      </c>
      <c r="G87" s="30">
        <f>IFERROR(IF(D87="","",CEILING(E87/F81,1)),"")</f>
        <v/>
      </c>
      <c r="H87" s="30">
        <f>IFERROR(IF(D87="","",TEXT('Getting Started'!B7+(F87-1)*7,"MMM D")),"")</f>
        <v/>
      </c>
      <c r="I87" s="30">
        <f>IFERROR(IF(D87="","",TEXT('Getting Started'!B7+(G87)*7,"MMM D")),"")</f>
        <v/>
      </c>
      <c r="J87" s="34" t="n"/>
    </row>
    <row r="88" ht="18" customHeight="1">
      <c r="A88" s="33" t="n">
        <v>5</v>
      </c>
      <c r="B88" s="27" t="n"/>
      <c r="D88" s="34" t="n"/>
      <c r="E88" s="30">
        <f>IFERROR(SUM(D84:D88),"")</f>
        <v/>
      </c>
      <c r="F88" s="30">
        <f>IFERROR(IF(D88="","",FLOOR(E87/F81,1)+1),"")</f>
        <v/>
      </c>
      <c r="G88" s="30">
        <f>IFERROR(IF(D88="","",CEILING(E88/F81,1)),"")</f>
        <v/>
      </c>
      <c r="H88" s="30">
        <f>IFERROR(IF(D88="","",TEXT('Getting Started'!B7+(F88-1)*7,"MMM D")),"")</f>
        <v/>
      </c>
      <c r="I88" s="30">
        <f>IFERROR(IF(D88="","",TEXT('Getting Started'!B7+(G88)*7,"MMM D")),"")</f>
        <v/>
      </c>
      <c r="J88" s="34" t="n"/>
    </row>
    <row r="89" ht="18" customHeight="1">
      <c r="A89" s="33" t="n">
        <v>6</v>
      </c>
      <c r="B89" s="35" t="n"/>
      <c r="D89" s="36" t="n"/>
      <c r="E89" s="30">
        <f>IFERROR(SUM(D84:D89),"")</f>
        <v/>
      </c>
      <c r="F89" s="30">
        <f>IFERROR(IF(D89="","",FLOOR(E88/F81,1)+1),"")</f>
        <v/>
      </c>
      <c r="G89" s="30">
        <f>IFERROR(IF(D89="","",CEILING(E89/F81,1)),"")</f>
        <v/>
      </c>
      <c r="H89" s="30">
        <f>IFERROR(IF(D89="","",TEXT('Getting Started'!B7+(F89-1)*7,"MMM D")),"")</f>
        <v/>
      </c>
      <c r="I89" s="30">
        <f>IFERROR(IF(D89="","",TEXT('Getting Started'!B7+(G89)*7,"MMM D")),"")</f>
        <v/>
      </c>
      <c r="J89" s="34" t="n"/>
    </row>
    <row r="90" ht="20" customHeight="1">
      <c r="A90" s="49" t="inlineStr">
        <is>
          <t>Notes:</t>
        </is>
      </c>
      <c r="B90" s="37" t="n"/>
    </row>
    <row r="91" ht="24" customHeight="1">
      <c r="A91" s="50" t="inlineStr">
        <is>
          <t xml:space="preserve">  HEALTH</t>
        </is>
      </c>
    </row>
    <row r="92" ht="20" customHeight="1">
      <c r="A92" s="51" t="inlineStr">
        <is>
          <t>Curriculum / Title:</t>
        </is>
      </c>
      <c r="B92" s="27" t="n"/>
      <c r="F92" s="51" t="inlineStr">
        <is>
          <t>Unit type:</t>
        </is>
      </c>
      <c r="G92" s="27" t="inlineStr">
        <is>
          <t>pages</t>
        </is>
      </c>
      <c r="I92" s="28" t="inlineStr">
        <is>
          <t>← type: pages, lessons, chapters…</t>
        </is>
      </c>
      <c r="J92" s="29" t="n"/>
    </row>
    <row r="93" ht="22" customHeight="1">
      <c r="A93" s="51" t="inlineStr">
        <is>
          <t>Total Units:</t>
        </is>
      </c>
      <c r="B93" s="27" t="n"/>
      <c r="C93" s="51" t="inlineStr">
        <is>
          <t>School Weeks:</t>
        </is>
      </c>
      <c r="D93" s="30">
        <f>'Getting Started'!B9</f>
        <v/>
      </c>
      <c r="E93" s="51" t="inlineStr">
        <is>
          <t>Units / Week:</t>
        </is>
      </c>
      <c r="F93" s="12">
        <f>IFERROR(IF(B93="","",ROUND(B93/D93,1)),"")</f>
        <v/>
      </c>
      <c r="G93" s="51" t="inlineStr">
        <is>
          <t>Units / Day:</t>
        </is>
      </c>
      <c r="H93" s="12">
        <f>IFERROR(IF(F93="","",ROUND(F93/'Getting Started'!B10,1)),"")</f>
        <v/>
      </c>
      <c r="I93" s="51" t="inlineStr">
        <is>
          <t>Est. End Date:</t>
        </is>
      </c>
      <c r="J93" s="12">
        <f>IFERROR(IF(B93="","",TEXT('Getting Started'!B7+(B93/'Getting Started'!B10),"MMM D, YYYY")),"")</f>
        <v/>
      </c>
    </row>
    <row r="94" ht="18" customHeight="1">
      <c r="A94" s="31" t="inlineStr">
        <is>
          <t xml:space="preserve">  Optional: Component / Volume Breakdown  (fill in if curriculum has multiple books or parts)</t>
        </is>
      </c>
    </row>
    <row r="95" ht="18" customHeight="1">
      <c r="A95" s="32" t="inlineStr">
        <is>
          <t>#</t>
        </is>
      </c>
      <c r="B95" s="32" t="inlineStr">
        <is>
          <t>Component / Book Title</t>
        </is>
      </c>
      <c r="C95" s="29" t="n"/>
      <c r="D95" s="32" t="inlineStr">
        <is>
          <t>Total Units
in Component</t>
        </is>
      </c>
      <c r="E95" s="32" t="inlineStr">
        <is>
          <t>Cumulative
Units</t>
        </is>
      </c>
      <c r="F95" s="32" t="inlineStr">
        <is>
          <t>Start
Week</t>
        </is>
      </c>
      <c r="G95" s="32" t="inlineStr">
        <is>
          <t>End
Week</t>
        </is>
      </c>
      <c r="H95" s="32" t="inlineStr">
        <is>
          <t>Start
Date</t>
        </is>
      </c>
      <c r="I95" s="32" t="inlineStr">
        <is>
          <t>End
Date</t>
        </is>
      </c>
      <c r="J95" s="32" t="inlineStr">
        <is>
          <t>Complete?</t>
        </is>
      </c>
    </row>
    <row r="96" ht="18" customHeight="1">
      <c r="A96" s="33" t="n">
        <v>1</v>
      </c>
      <c r="B96" s="27" t="n"/>
      <c r="D96" s="34" t="n"/>
      <c r="E96" s="30">
        <f>IFERROR(SUM(D96:D96),"")</f>
        <v/>
      </c>
      <c r="F96" s="30">
        <f>IF(D96="","",1)</f>
        <v/>
      </c>
      <c r="G96" s="30">
        <f>IFERROR(IF(D96="","",CEILING(E96/F93,1)),"")</f>
        <v/>
      </c>
      <c r="H96" s="30">
        <f>IFERROR(IF(D96="","",TEXT('Getting Started'!B7+(F96-1)*7,"MMM D")),"")</f>
        <v/>
      </c>
      <c r="I96" s="30">
        <f>IFERROR(IF(D96="","",TEXT('Getting Started'!B7+(G96)*7,"MMM D")),"")</f>
        <v/>
      </c>
      <c r="J96" s="34" t="n"/>
    </row>
    <row r="97" ht="18" customHeight="1">
      <c r="A97" s="33" t="n">
        <v>2</v>
      </c>
      <c r="B97" s="35" t="n"/>
      <c r="D97" s="36" t="n"/>
      <c r="E97" s="30">
        <f>IFERROR(SUM(D96:D97),"")</f>
        <v/>
      </c>
      <c r="F97" s="30">
        <f>IFERROR(IF(D97="","",FLOOR(E96/F93,1)+1),"")</f>
        <v/>
      </c>
      <c r="G97" s="30">
        <f>IFERROR(IF(D97="","",CEILING(E97/F93,1)),"")</f>
        <v/>
      </c>
      <c r="H97" s="30">
        <f>IFERROR(IF(D97="","",TEXT('Getting Started'!B7+(F97-1)*7,"MMM D")),"")</f>
        <v/>
      </c>
      <c r="I97" s="30">
        <f>IFERROR(IF(D97="","",TEXT('Getting Started'!B7+(G97)*7,"MMM D")),"")</f>
        <v/>
      </c>
      <c r="J97" s="34" t="n"/>
    </row>
    <row r="98" ht="18" customHeight="1">
      <c r="A98" s="33" t="n">
        <v>3</v>
      </c>
      <c r="B98" s="27" t="n"/>
      <c r="D98" s="34" t="n"/>
      <c r="E98" s="30">
        <f>IFERROR(SUM(D96:D98),"")</f>
        <v/>
      </c>
      <c r="F98" s="30">
        <f>IFERROR(IF(D98="","",FLOOR(E97/F93,1)+1),"")</f>
        <v/>
      </c>
      <c r="G98" s="30">
        <f>IFERROR(IF(D98="","",CEILING(E98/F93,1)),"")</f>
        <v/>
      </c>
      <c r="H98" s="30">
        <f>IFERROR(IF(D98="","",TEXT('Getting Started'!B7+(F98-1)*7,"MMM D")),"")</f>
        <v/>
      </c>
      <c r="I98" s="30">
        <f>IFERROR(IF(D98="","",TEXT('Getting Started'!B7+(G98)*7,"MMM D")),"")</f>
        <v/>
      </c>
      <c r="J98" s="34" t="n"/>
    </row>
    <row r="99" ht="18" customHeight="1">
      <c r="A99" s="33" t="n">
        <v>4</v>
      </c>
      <c r="B99" s="35" t="n"/>
      <c r="D99" s="36" t="n"/>
      <c r="E99" s="30">
        <f>IFERROR(SUM(D96:D99),"")</f>
        <v/>
      </c>
      <c r="F99" s="30">
        <f>IFERROR(IF(D99="","",FLOOR(E98/F93,1)+1),"")</f>
        <v/>
      </c>
      <c r="G99" s="30">
        <f>IFERROR(IF(D99="","",CEILING(E99/F93,1)),"")</f>
        <v/>
      </c>
      <c r="H99" s="30">
        <f>IFERROR(IF(D99="","",TEXT('Getting Started'!B7+(F99-1)*7,"MMM D")),"")</f>
        <v/>
      </c>
      <c r="I99" s="30">
        <f>IFERROR(IF(D99="","",TEXT('Getting Started'!B7+(G99)*7,"MMM D")),"")</f>
        <v/>
      </c>
      <c r="J99" s="34" t="n"/>
    </row>
    <row r="100" ht="18" customHeight="1">
      <c r="A100" s="33" t="n">
        <v>5</v>
      </c>
      <c r="B100" s="27" t="n"/>
      <c r="D100" s="34" t="n"/>
      <c r="E100" s="30">
        <f>IFERROR(SUM(D96:D100),"")</f>
        <v/>
      </c>
      <c r="F100" s="30">
        <f>IFERROR(IF(D100="","",FLOOR(E99/F93,1)+1),"")</f>
        <v/>
      </c>
      <c r="G100" s="30">
        <f>IFERROR(IF(D100="","",CEILING(E100/F93,1)),"")</f>
        <v/>
      </c>
      <c r="H100" s="30">
        <f>IFERROR(IF(D100="","",TEXT('Getting Started'!B7+(F100-1)*7,"MMM D")),"")</f>
        <v/>
      </c>
      <c r="I100" s="30">
        <f>IFERROR(IF(D100="","",TEXT('Getting Started'!B7+(G100)*7,"MMM D")),"")</f>
        <v/>
      </c>
      <c r="J100" s="34" t="n"/>
    </row>
    <row r="101" ht="18" customHeight="1">
      <c r="A101" s="33" t="n">
        <v>6</v>
      </c>
      <c r="B101" s="35" t="n"/>
      <c r="D101" s="36" t="n"/>
      <c r="E101" s="30">
        <f>IFERROR(SUM(D96:D101),"")</f>
        <v/>
      </c>
      <c r="F101" s="30">
        <f>IFERROR(IF(D101="","",FLOOR(E100/F93,1)+1),"")</f>
        <v/>
      </c>
      <c r="G101" s="30">
        <f>IFERROR(IF(D101="","",CEILING(E101/F93,1)),"")</f>
        <v/>
      </c>
      <c r="H101" s="30">
        <f>IFERROR(IF(D101="","",TEXT('Getting Started'!B7+(F101-1)*7,"MMM D")),"")</f>
        <v/>
      </c>
      <c r="I101" s="30">
        <f>IFERROR(IF(D101="","",TEXT('Getting Started'!B7+(G101)*7,"MMM D")),"")</f>
        <v/>
      </c>
      <c r="J101" s="34" t="n"/>
    </row>
    <row r="102" ht="20" customHeight="1">
      <c r="A102" s="51" t="inlineStr">
        <is>
          <t>Notes:</t>
        </is>
      </c>
      <c r="B102" s="37" t="n"/>
    </row>
    <row r="103" ht="24" customHeight="1">
      <c r="A103" s="52" t="inlineStr">
        <is>
          <t xml:space="preserve">  PHYSICAL EDUCATION</t>
        </is>
      </c>
    </row>
    <row r="104" ht="20" customHeight="1">
      <c r="A104" s="53" t="inlineStr">
        <is>
          <t>Curriculum / Title:</t>
        </is>
      </c>
      <c r="B104" s="27" t="n"/>
      <c r="F104" s="53" t="inlineStr">
        <is>
          <t>Unit type:</t>
        </is>
      </c>
      <c r="G104" s="27" t="inlineStr">
        <is>
          <t>pages</t>
        </is>
      </c>
      <c r="I104" s="28" t="inlineStr">
        <is>
          <t>← type: pages, lessons, chapters…</t>
        </is>
      </c>
      <c r="J104" s="29" t="n"/>
    </row>
    <row r="105" ht="22" customHeight="1">
      <c r="A105" s="53" t="inlineStr">
        <is>
          <t>Total Units:</t>
        </is>
      </c>
      <c r="B105" s="27" t="n"/>
      <c r="C105" s="53" t="inlineStr">
        <is>
          <t>School Weeks:</t>
        </is>
      </c>
      <c r="D105" s="30">
        <f>'Getting Started'!B9</f>
        <v/>
      </c>
      <c r="E105" s="53" t="inlineStr">
        <is>
          <t>Units / Week:</t>
        </is>
      </c>
      <c r="F105" s="12">
        <f>IFERROR(IF(B105="","",ROUND(B105/D105,1)),"")</f>
        <v/>
      </c>
      <c r="G105" s="53" t="inlineStr">
        <is>
          <t>Units / Day:</t>
        </is>
      </c>
      <c r="H105" s="12">
        <f>IFERROR(IF(F105="","",ROUND(F105/'Getting Started'!B10,1)),"")</f>
        <v/>
      </c>
      <c r="I105" s="53" t="inlineStr">
        <is>
          <t>Est. End Date:</t>
        </is>
      </c>
      <c r="J105" s="12">
        <f>IFERROR(IF(B105="","",TEXT('Getting Started'!B7+(B105/'Getting Started'!B10),"MMM D, YYYY")),"")</f>
        <v/>
      </c>
    </row>
    <row r="106" ht="18" customHeight="1">
      <c r="A106" s="31" t="inlineStr">
        <is>
          <t xml:space="preserve">  Optional: Component / Volume Breakdown  (fill in if curriculum has multiple books or parts)</t>
        </is>
      </c>
    </row>
    <row r="107" ht="18" customHeight="1">
      <c r="A107" s="32" t="inlineStr">
        <is>
          <t>#</t>
        </is>
      </c>
      <c r="B107" s="32" t="inlineStr">
        <is>
          <t>Component / Book Title</t>
        </is>
      </c>
      <c r="C107" s="29" t="n"/>
      <c r="D107" s="32" t="inlineStr">
        <is>
          <t>Total Units
in Component</t>
        </is>
      </c>
      <c r="E107" s="32" t="inlineStr">
        <is>
          <t>Cumulative
Units</t>
        </is>
      </c>
      <c r="F107" s="32" t="inlineStr">
        <is>
          <t>Start
Week</t>
        </is>
      </c>
      <c r="G107" s="32" t="inlineStr">
        <is>
          <t>End
Week</t>
        </is>
      </c>
      <c r="H107" s="32" t="inlineStr">
        <is>
          <t>Start
Date</t>
        </is>
      </c>
      <c r="I107" s="32" t="inlineStr">
        <is>
          <t>End
Date</t>
        </is>
      </c>
      <c r="J107" s="32" t="inlineStr">
        <is>
          <t>Complete?</t>
        </is>
      </c>
    </row>
    <row r="108" ht="18" customHeight="1">
      <c r="A108" s="33" t="n">
        <v>1</v>
      </c>
      <c r="B108" s="27" t="n"/>
      <c r="D108" s="34" t="n"/>
      <c r="E108" s="30">
        <f>IFERROR(SUM(D108:D108),"")</f>
        <v/>
      </c>
      <c r="F108" s="30">
        <f>IF(D108="","",1)</f>
        <v/>
      </c>
      <c r="G108" s="30">
        <f>IFERROR(IF(D108="","",CEILING(E108/F105,1)),"")</f>
        <v/>
      </c>
      <c r="H108" s="30">
        <f>IFERROR(IF(D108="","",TEXT('Getting Started'!B7+(F108-1)*7,"MMM D")),"")</f>
        <v/>
      </c>
      <c r="I108" s="30">
        <f>IFERROR(IF(D108="","",TEXT('Getting Started'!B7+(G108)*7,"MMM D")),"")</f>
        <v/>
      </c>
      <c r="J108" s="34" t="n"/>
    </row>
    <row r="109" ht="18" customHeight="1">
      <c r="A109" s="33" t="n">
        <v>2</v>
      </c>
      <c r="B109" s="35" t="n"/>
      <c r="D109" s="36" t="n"/>
      <c r="E109" s="30">
        <f>IFERROR(SUM(D108:D109),"")</f>
        <v/>
      </c>
      <c r="F109" s="30">
        <f>IFERROR(IF(D109="","",FLOOR(E108/F105,1)+1),"")</f>
        <v/>
      </c>
      <c r="G109" s="30">
        <f>IFERROR(IF(D109="","",CEILING(E109/F105,1)),"")</f>
        <v/>
      </c>
      <c r="H109" s="30">
        <f>IFERROR(IF(D109="","",TEXT('Getting Started'!B7+(F109-1)*7,"MMM D")),"")</f>
        <v/>
      </c>
      <c r="I109" s="30">
        <f>IFERROR(IF(D109="","",TEXT('Getting Started'!B7+(G109)*7,"MMM D")),"")</f>
        <v/>
      </c>
      <c r="J109" s="34" t="n"/>
    </row>
    <row r="110" ht="18" customHeight="1">
      <c r="A110" s="33" t="n">
        <v>3</v>
      </c>
      <c r="B110" s="27" t="n"/>
      <c r="D110" s="34" t="n"/>
      <c r="E110" s="30">
        <f>IFERROR(SUM(D108:D110),"")</f>
        <v/>
      </c>
      <c r="F110" s="30">
        <f>IFERROR(IF(D110="","",FLOOR(E109/F105,1)+1),"")</f>
        <v/>
      </c>
      <c r="G110" s="30">
        <f>IFERROR(IF(D110="","",CEILING(E110/F105,1)),"")</f>
        <v/>
      </c>
      <c r="H110" s="30">
        <f>IFERROR(IF(D110="","",TEXT('Getting Started'!B7+(F110-1)*7,"MMM D")),"")</f>
        <v/>
      </c>
      <c r="I110" s="30">
        <f>IFERROR(IF(D110="","",TEXT('Getting Started'!B7+(G110)*7,"MMM D")),"")</f>
        <v/>
      </c>
      <c r="J110" s="34" t="n"/>
    </row>
    <row r="111" ht="18" customHeight="1">
      <c r="A111" s="33" t="n">
        <v>4</v>
      </c>
      <c r="B111" s="35" t="n"/>
      <c r="D111" s="36" t="n"/>
      <c r="E111" s="30">
        <f>IFERROR(SUM(D108:D111),"")</f>
        <v/>
      </c>
      <c r="F111" s="30">
        <f>IFERROR(IF(D111="","",FLOOR(E110/F105,1)+1),"")</f>
        <v/>
      </c>
      <c r="G111" s="30">
        <f>IFERROR(IF(D111="","",CEILING(E111/F105,1)),"")</f>
        <v/>
      </c>
      <c r="H111" s="30">
        <f>IFERROR(IF(D111="","",TEXT('Getting Started'!B7+(F111-1)*7,"MMM D")),"")</f>
        <v/>
      </c>
      <c r="I111" s="30">
        <f>IFERROR(IF(D111="","",TEXT('Getting Started'!B7+(G111)*7,"MMM D")),"")</f>
        <v/>
      </c>
      <c r="J111" s="34" t="n"/>
    </row>
    <row r="112" ht="18" customHeight="1">
      <c r="A112" s="33" t="n">
        <v>5</v>
      </c>
      <c r="B112" s="27" t="n"/>
      <c r="D112" s="34" t="n"/>
      <c r="E112" s="30">
        <f>IFERROR(SUM(D108:D112),"")</f>
        <v/>
      </c>
      <c r="F112" s="30">
        <f>IFERROR(IF(D112="","",FLOOR(E111/F105,1)+1),"")</f>
        <v/>
      </c>
      <c r="G112" s="30">
        <f>IFERROR(IF(D112="","",CEILING(E112/F105,1)),"")</f>
        <v/>
      </c>
      <c r="H112" s="30">
        <f>IFERROR(IF(D112="","",TEXT('Getting Started'!B7+(F112-1)*7,"MMM D")),"")</f>
        <v/>
      </c>
      <c r="I112" s="30">
        <f>IFERROR(IF(D112="","",TEXT('Getting Started'!B7+(G112)*7,"MMM D")),"")</f>
        <v/>
      </c>
      <c r="J112" s="34" t="n"/>
    </row>
    <row r="113" ht="18" customHeight="1">
      <c r="A113" s="33" t="n">
        <v>6</v>
      </c>
      <c r="B113" s="35" t="n"/>
      <c r="D113" s="36" t="n"/>
      <c r="E113" s="30">
        <f>IFERROR(SUM(D108:D113),"")</f>
        <v/>
      </c>
      <c r="F113" s="30">
        <f>IFERROR(IF(D113="","",FLOOR(E112/F105,1)+1),"")</f>
        <v/>
      </c>
      <c r="G113" s="30">
        <f>IFERROR(IF(D113="","",CEILING(E113/F105,1)),"")</f>
        <v/>
      </c>
      <c r="H113" s="30">
        <f>IFERROR(IF(D113="","",TEXT('Getting Started'!B7+(F113-1)*7,"MMM D")),"")</f>
        <v/>
      </c>
      <c r="I113" s="30">
        <f>IFERROR(IF(D113="","",TEXT('Getting Started'!B7+(G113)*7,"MMM D")),"")</f>
        <v/>
      </c>
      <c r="J113" s="34" t="n"/>
    </row>
    <row r="114" ht="20" customHeight="1">
      <c r="A114" s="53" t="inlineStr">
        <is>
          <t>Notes:</t>
        </is>
      </c>
      <c r="B114" s="37" t="n"/>
    </row>
    <row r="115" ht="24" customHeight="1">
      <c r="A115" s="54" t="inlineStr">
        <is>
          <t xml:space="preserve">  ART / MUSIC</t>
        </is>
      </c>
    </row>
    <row r="116" ht="20" customHeight="1">
      <c r="A116" s="55" t="inlineStr">
        <is>
          <t>Curriculum / Title:</t>
        </is>
      </c>
      <c r="B116" s="27" t="n"/>
      <c r="F116" s="55" t="inlineStr">
        <is>
          <t>Unit type:</t>
        </is>
      </c>
      <c r="G116" s="27" t="inlineStr">
        <is>
          <t>pages</t>
        </is>
      </c>
      <c r="I116" s="28" t="inlineStr">
        <is>
          <t>← type: pages, lessons, chapters…</t>
        </is>
      </c>
      <c r="J116" s="29" t="n"/>
    </row>
    <row r="117" ht="22" customHeight="1">
      <c r="A117" s="55" t="inlineStr">
        <is>
          <t>Total Units:</t>
        </is>
      </c>
      <c r="B117" s="27" t="n"/>
      <c r="C117" s="55" t="inlineStr">
        <is>
          <t>School Weeks:</t>
        </is>
      </c>
      <c r="D117" s="30">
        <f>'Getting Started'!B9</f>
        <v/>
      </c>
      <c r="E117" s="55" t="inlineStr">
        <is>
          <t>Units / Week:</t>
        </is>
      </c>
      <c r="F117" s="12">
        <f>IFERROR(IF(B117="","",ROUND(B117/D117,1)),"")</f>
        <v/>
      </c>
      <c r="G117" s="55" t="inlineStr">
        <is>
          <t>Units / Day:</t>
        </is>
      </c>
      <c r="H117" s="12">
        <f>IFERROR(IF(F117="","",ROUND(F117/'Getting Started'!B10,1)),"")</f>
        <v/>
      </c>
      <c r="I117" s="55" t="inlineStr">
        <is>
          <t>Est. End Date:</t>
        </is>
      </c>
      <c r="J117" s="12">
        <f>IFERROR(IF(B117="","",TEXT('Getting Started'!B7+(B117/'Getting Started'!B10),"MMM D, YYYY")),"")</f>
        <v/>
      </c>
    </row>
    <row r="118" ht="18" customHeight="1">
      <c r="A118" s="31" t="inlineStr">
        <is>
          <t xml:space="preserve">  Optional: Component / Volume Breakdown  (fill in if curriculum has multiple books or parts)</t>
        </is>
      </c>
    </row>
    <row r="119" ht="18" customHeight="1">
      <c r="A119" s="32" t="inlineStr">
        <is>
          <t>#</t>
        </is>
      </c>
      <c r="B119" s="32" t="inlineStr">
        <is>
          <t>Component / Book Title</t>
        </is>
      </c>
      <c r="C119" s="29" t="n"/>
      <c r="D119" s="32" t="inlineStr">
        <is>
          <t>Total Units
in Component</t>
        </is>
      </c>
      <c r="E119" s="32" t="inlineStr">
        <is>
          <t>Cumulative
Units</t>
        </is>
      </c>
      <c r="F119" s="32" t="inlineStr">
        <is>
          <t>Start
Week</t>
        </is>
      </c>
      <c r="G119" s="32" t="inlineStr">
        <is>
          <t>End
Week</t>
        </is>
      </c>
      <c r="H119" s="32" t="inlineStr">
        <is>
          <t>Start
Date</t>
        </is>
      </c>
      <c r="I119" s="32" t="inlineStr">
        <is>
          <t>End
Date</t>
        </is>
      </c>
      <c r="J119" s="32" t="inlineStr">
        <is>
          <t>Complete?</t>
        </is>
      </c>
    </row>
    <row r="120" ht="18" customHeight="1">
      <c r="A120" s="33" t="n">
        <v>1</v>
      </c>
      <c r="B120" s="27" t="n"/>
      <c r="D120" s="34" t="n"/>
      <c r="E120" s="30">
        <f>IFERROR(SUM(D120:D120),"")</f>
        <v/>
      </c>
      <c r="F120" s="30">
        <f>IF(D120="","",1)</f>
        <v/>
      </c>
      <c r="G120" s="30">
        <f>IFERROR(IF(D120="","",CEILING(E120/F117,1)),"")</f>
        <v/>
      </c>
      <c r="H120" s="30">
        <f>IFERROR(IF(D120="","",TEXT('Getting Started'!B7+(F120-1)*7,"MMM D")),"")</f>
        <v/>
      </c>
      <c r="I120" s="30">
        <f>IFERROR(IF(D120="","",TEXT('Getting Started'!B7+(G120)*7,"MMM D")),"")</f>
        <v/>
      </c>
      <c r="J120" s="34" t="n"/>
    </row>
    <row r="121" ht="18" customHeight="1">
      <c r="A121" s="33" t="n">
        <v>2</v>
      </c>
      <c r="B121" s="35" t="n"/>
      <c r="D121" s="36" t="n"/>
      <c r="E121" s="30">
        <f>IFERROR(SUM(D120:D121),"")</f>
        <v/>
      </c>
      <c r="F121" s="30">
        <f>IFERROR(IF(D121="","",FLOOR(E120/F117,1)+1),"")</f>
        <v/>
      </c>
      <c r="G121" s="30">
        <f>IFERROR(IF(D121="","",CEILING(E121/F117,1)),"")</f>
        <v/>
      </c>
      <c r="H121" s="30">
        <f>IFERROR(IF(D121="","",TEXT('Getting Started'!B7+(F121-1)*7,"MMM D")),"")</f>
        <v/>
      </c>
      <c r="I121" s="30">
        <f>IFERROR(IF(D121="","",TEXT('Getting Started'!B7+(G121)*7,"MMM D")),"")</f>
        <v/>
      </c>
      <c r="J121" s="34" t="n"/>
    </row>
    <row r="122" ht="18" customHeight="1">
      <c r="A122" s="33" t="n">
        <v>3</v>
      </c>
      <c r="B122" s="27" t="n"/>
      <c r="D122" s="34" t="n"/>
      <c r="E122" s="30">
        <f>IFERROR(SUM(D120:D122),"")</f>
        <v/>
      </c>
      <c r="F122" s="30">
        <f>IFERROR(IF(D122="","",FLOOR(E121/F117,1)+1),"")</f>
        <v/>
      </c>
      <c r="G122" s="30">
        <f>IFERROR(IF(D122="","",CEILING(E122/F117,1)),"")</f>
        <v/>
      </c>
      <c r="H122" s="30">
        <f>IFERROR(IF(D122="","",TEXT('Getting Started'!B7+(F122-1)*7,"MMM D")),"")</f>
        <v/>
      </c>
      <c r="I122" s="30">
        <f>IFERROR(IF(D122="","",TEXT('Getting Started'!B7+(G122)*7,"MMM D")),"")</f>
        <v/>
      </c>
      <c r="J122" s="34" t="n"/>
    </row>
    <row r="123" ht="18" customHeight="1">
      <c r="A123" s="33" t="n">
        <v>4</v>
      </c>
      <c r="B123" s="35" t="n"/>
      <c r="D123" s="36" t="n"/>
      <c r="E123" s="30">
        <f>IFERROR(SUM(D120:D123),"")</f>
        <v/>
      </c>
      <c r="F123" s="30">
        <f>IFERROR(IF(D123="","",FLOOR(E122/F117,1)+1),"")</f>
        <v/>
      </c>
      <c r="G123" s="30">
        <f>IFERROR(IF(D123="","",CEILING(E123/F117,1)),"")</f>
        <v/>
      </c>
      <c r="H123" s="30">
        <f>IFERROR(IF(D123="","",TEXT('Getting Started'!B7+(F123-1)*7,"MMM D")),"")</f>
        <v/>
      </c>
      <c r="I123" s="30">
        <f>IFERROR(IF(D123="","",TEXT('Getting Started'!B7+(G123)*7,"MMM D")),"")</f>
        <v/>
      </c>
      <c r="J123" s="34" t="n"/>
    </row>
    <row r="124" ht="18" customHeight="1">
      <c r="A124" s="33" t="n">
        <v>5</v>
      </c>
      <c r="B124" s="27" t="n"/>
      <c r="D124" s="34" t="n"/>
      <c r="E124" s="30">
        <f>IFERROR(SUM(D120:D124),"")</f>
        <v/>
      </c>
      <c r="F124" s="30">
        <f>IFERROR(IF(D124="","",FLOOR(E123/F117,1)+1),"")</f>
        <v/>
      </c>
      <c r="G124" s="30">
        <f>IFERROR(IF(D124="","",CEILING(E124/F117,1)),"")</f>
        <v/>
      </c>
      <c r="H124" s="30">
        <f>IFERROR(IF(D124="","",TEXT('Getting Started'!B7+(F124-1)*7,"MMM D")),"")</f>
        <v/>
      </c>
      <c r="I124" s="30">
        <f>IFERROR(IF(D124="","",TEXT('Getting Started'!B7+(G124)*7,"MMM D")),"")</f>
        <v/>
      </c>
      <c r="J124" s="34" t="n"/>
    </row>
    <row r="125" ht="18" customHeight="1">
      <c r="A125" s="33" t="n">
        <v>6</v>
      </c>
      <c r="B125" s="35" t="n"/>
      <c r="D125" s="36" t="n"/>
      <c r="E125" s="30">
        <f>IFERROR(SUM(D120:D125),"")</f>
        <v/>
      </c>
      <c r="F125" s="30">
        <f>IFERROR(IF(D125="","",FLOOR(E124/F117,1)+1),"")</f>
        <v/>
      </c>
      <c r="G125" s="30">
        <f>IFERROR(IF(D125="","",CEILING(E125/F117,1)),"")</f>
        <v/>
      </c>
      <c r="H125" s="30">
        <f>IFERROR(IF(D125="","",TEXT('Getting Started'!B7+(F125-1)*7,"MMM D")),"")</f>
        <v/>
      </c>
      <c r="I125" s="30">
        <f>IFERROR(IF(D125="","",TEXT('Getting Started'!B7+(G125)*7,"MMM D")),"")</f>
        <v/>
      </c>
      <c r="J125" s="34" t="n"/>
    </row>
    <row r="126" ht="20" customHeight="1">
      <c r="A126" s="55" t="inlineStr">
        <is>
          <t>Notes:</t>
        </is>
      </c>
      <c r="B126" s="37" t="n"/>
    </row>
  </sheetData>
  <mergeCells count="133">
    <mergeCell ref="B100:C100"/>
    <mergeCell ref="I104:J104"/>
    <mergeCell ref="B68:E68"/>
    <mergeCell ref="A91:J91"/>
    <mergeCell ref="A43:J43"/>
    <mergeCell ref="B12:C12"/>
    <mergeCell ref="B77:C77"/>
    <mergeCell ref="B78:J78"/>
    <mergeCell ref="A115:J115"/>
    <mergeCell ref="B86:C86"/>
    <mergeCell ref="B61:C61"/>
    <mergeCell ref="A34:J34"/>
    <mergeCell ref="B101:C101"/>
    <mergeCell ref="B14:C14"/>
    <mergeCell ref="B13:C13"/>
    <mergeCell ref="B38:C38"/>
    <mergeCell ref="G68:H68"/>
    <mergeCell ref="B112:C112"/>
    <mergeCell ref="B40:C40"/>
    <mergeCell ref="B49:C49"/>
    <mergeCell ref="I44:J44"/>
    <mergeCell ref="A118:J118"/>
    <mergeCell ref="G20:H20"/>
    <mergeCell ref="B24:C24"/>
    <mergeCell ref="B64:C64"/>
    <mergeCell ref="I20:J20"/>
    <mergeCell ref="B90:J90"/>
    <mergeCell ref="B51:C51"/>
    <mergeCell ref="B66:J66"/>
    <mergeCell ref="A55:J55"/>
    <mergeCell ref="B18:J18"/>
    <mergeCell ref="G44:H44"/>
    <mergeCell ref="B63:C63"/>
    <mergeCell ref="B26:C26"/>
    <mergeCell ref="B41:C41"/>
    <mergeCell ref="B35:C35"/>
    <mergeCell ref="B16:C16"/>
    <mergeCell ref="B25:C25"/>
    <mergeCell ref="A106:J106"/>
    <mergeCell ref="I80:J80"/>
    <mergeCell ref="A4:J4"/>
    <mergeCell ref="B104:E104"/>
    <mergeCell ref="B27:C27"/>
    <mergeCell ref="B32:E32"/>
    <mergeCell ref="A31:J31"/>
    <mergeCell ref="B11:C11"/>
    <mergeCell ref="A58:J58"/>
    <mergeCell ref="I32:J32"/>
    <mergeCell ref="A67:J67"/>
    <mergeCell ref="A82:J82"/>
    <mergeCell ref="B53:C53"/>
    <mergeCell ref="I56:J56"/>
    <mergeCell ref="B119:C119"/>
    <mergeCell ref="B29:C29"/>
    <mergeCell ref="B37:C37"/>
    <mergeCell ref="G104:H104"/>
    <mergeCell ref="A7:J7"/>
    <mergeCell ref="B84:C84"/>
    <mergeCell ref="I8:J8"/>
    <mergeCell ref="B54:J54"/>
    <mergeCell ref="B15:C15"/>
    <mergeCell ref="B95:C95"/>
    <mergeCell ref="B89:C89"/>
    <mergeCell ref="B116:E116"/>
    <mergeCell ref="A2:J2"/>
    <mergeCell ref="B97:C97"/>
    <mergeCell ref="B125:C125"/>
    <mergeCell ref="B72:C72"/>
    <mergeCell ref="A22:J22"/>
    <mergeCell ref="B42:J42"/>
    <mergeCell ref="B121:C121"/>
    <mergeCell ref="I116:J116"/>
    <mergeCell ref="B80:E80"/>
    <mergeCell ref="B122:C122"/>
    <mergeCell ref="B96:C96"/>
    <mergeCell ref="B71:C71"/>
    <mergeCell ref="B52:C52"/>
    <mergeCell ref="G116:H116"/>
    <mergeCell ref="B120:C120"/>
    <mergeCell ref="B98:C98"/>
    <mergeCell ref="B107:C107"/>
    <mergeCell ref="B60:C60"/>
    <mergeCell ref="B17:C17"/>
    <mergeCell ref="B88:C88"/>
    <mergeCell ref="B30:J30"/>
    <mergeCell ref="B56:E56"/>
    <mergeCell ref="A79:J79"/>
    <mergeCell ref="A70:J70"/>
    <mergeCell ref="B28:C28"/>
    <mergeCell ref="G80:H80"/>
    <mergeCell ref="B99:C99"/>
    <mergeCell ref="B108:C108"/>
    <mergeCell ref="B126:J126"/>
    <mergeCell ref="B83:C83"/>
    <mergeCell ref="B124:C124"/>
    <mergeCell ref="G32:H32"/>
    <mergeCell ref="B76:C76"/>
    <mergeCell ref="B44:E44"/>
    <mergeCell ref="B85:C85"/>
    <mergeCell ref="G56:H56"/>
    <mergeCell ref="B75:C75"/>
    <mergeCell ref="B109:C109"/>
    <mergeCell ref="B47:C47"/>
    <mergeCell ref="B62:C62"/>
    <mergeCell ref="B59:C59"/>
    <mergeCell ref="B92:E92"/>
    <mergeCell ref="B20:E20"/>
    <mergeCell ref="G8:H8"/>
    <mergeCell ref="A10:J10"/>
    <mergeCell ref="A19:J19"/>
    <mergeCell ref="B39:C39"/>
    <mergeCell ref="B48:C48"/>
    <mergeCell ref="B111:C111"/>
    <mergeCell ref="B23:C23"/>
    <mergeCell ref="B73:C73"/>
    <mergeCell ref="A1:J1"/>
    <mergeCell ref="B87:C87"/>
    <mergeCell ref="I68:J68"/>
    <mergeCell ref="A94:J94"/>
    <mergeCell ref="G92:H92"/>
    <mergeCell ref="A103:J103"/>
    <mergeCell ref="B114:J114"/>
    <mergeCell ref="I92:J92"/>
    <mergeCell ref="B65:C65"/>
    <mergeCell ref="B74:C74"/>
    <mergeCell ref="A46:J46"/>
    <mergeCell ref="B8:E8"/>
    <mergeCell ref="B123:C123"/>
    <mergeCell ref="B36:C36"/>
    <mergeCell ref="B102:J102"/>
    <mergeCell ref="B50:C50"/>
    <mergeCell ref="B110:C110"/>
    <mergeCell ref="B113:C1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B2C6F"/>
    <outlinePr summaryBelow="1" summaryRight="1"/>
    <pageSetUpPr/>
  </sheetPr>
  <dimension ref="A1:J126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44" customHeight="1">
      <c r="A1" s="21">
        <f>'Getting Started'!C16</f>
        <v/>
      </c>
    </row>
    <row r="2" ht="24" customHeight="1">
      <c r="A2" s="22">
        <f>IFERROR("Grade: "&amp;'Getting Started'!G16&amp;"   |   School Year: "&amp;'Getting Started'!C6&amp;"   |   "  &amp;TEXT('Getting Started'!B7,"MMM D, YYYY")&amp;"  –  "&amp;TEXT('Getting Started'!B8,"MMM D, YYYY"),"")</f>
        <v/>
      </c>
    </row>
    <row r="3" ht="8" customHeight="1"/>
    <row r="4" ht="22" customHeight="1">
      <c r="A4" s="23" t="inlineStr">
        <is>
          <t>SCHOOL YEAR OVERVIEW  (from Getting Started)</t>
        </is>
      </c>
    </row>
    <row r="5" ht="20" customHeight="1">
      <c r="B5" s="24" t="inlineStr">
        <is>
          <t>Start Date:</t>
        </is>
      </c>
      <c r="C5" s="12">
        <f>IF('Getting Started'!B7&lt;&gt;"",TEXT('Getting Started'!B7,"MMM D, YYYY"),"")</f>
        <v/>
      </c>
      <c r="D5" s="24" t="inlineStr">
        <is>
          <t>End Date:</t>
        </is>
      </c>
      <c r="E5" s="12">
        <f>IF('Getting Started'!B8&lt;&gt;"",TEXT('Getting Started'!B8,"MMM D, YYYY"),"")</f>
        <v/>
      </c>
      <c r="F5" s="24" t="inlineStr">
        <is>
          <t>Total Weeks:</t>
        </is>
      </c>
      <c r="G5" s="12">
        <f>'Getting Started'!B9</f>
        <v/>
      </c>
      <c r="H5" s="24" t="inlineStr">
        <is>
          <t>Days/Week:</t>
        </is>
      </c>
      <c r="I5" s="12">
        <f>'Getting Started'!B10</f>
        <v/>
      </c>
    </row>
    <row r="7" ht="24" customHeight="1">
      <c r="A7" s="25" t="inlineStr">
        <is>
          <t xml:space="preserve">  BIBLE</t>
        </is>
      </c>
    </row>
    <row r="8" ht="20" customHeight="1">
      <c r="A8" s="26" t="inlineStr">
        <is>
          <t>Curriculum / Title:</t>
        </is>
      </c>
      <c r="B8" s="27" t="n"/>
      <c r="F8" s="26" t="inlineStr">
        <is>
          <t>Unit type:</t>
        </is>
      </c>
      <c r="G8" s="27" t="inlineStr">
        <is>
          <t>pages</t>
        </is>
      </c>
      <c r="I8" s="28" t="inlineStr">
        <is>
          <t>← type: pages, lessons, chapters…</t>
        </is>
      </c>
      <c r="J8" s="29" t="n"/>
    </row>
    <row r="9" ht="22" customHeight="1">
      <c r="A9" s="26" t="inlineStr">
        <is>
          <t>Total Units:</t>
        </is>
      </c>
      <c r="B9" s="27" t="n"/>
      <c r="C9" s="26" t="inlineStr">
        <is>
          <t>School Weeks:</t>
        </is>
      </c>
      <c r="D9" s="30">
        <f>'Getting Started'!B9</f>
        <v/>
      </c>
      <c r="E9" s="26" t="inlineStr">
        <is>
          <t>Units / Week:</t>
        </is>
      </c>
      <c r="F9" s="12">
        <f>IFERROR(IF(B9="","",ROUND(B9/D9,1)),"")</f>
        <v/>
      </c>
      <c r="G9" s="26" t="inlineStr">
        <is>
          <t>Units / Day:</t>
        </is>
      </c>
      <c r="H9" s="12">
        <f>IFERROR(IF(F9="","",ROUND(F9/'Getting Started'!B10,1)),"")</f>
        <v/>
      </c>
      <c r="I9" s="26" t="inlineStr">
        <is>
          <t>Est. End Date:</t>
        </is>
      </c>
      <c r="J9" s="12">
        <f>IFERROR(IF(B9="","",TEXT('Getting Started'!B7+(B9/'Getting Started'!B10),"MMM D, YYYY")),"")</f>
        <v/>
      </c>
    </row>
    <row r="10" ht="18" customHeight="1">
      <c r="A10" s="31" t="inlineStr">
        <is>
          <t xml:space="preserve">  Optional: Component / Volume Breakdown  (fill in if curriculum has multiple books or parts)</t>
        </is>
      </c>
    </row>
    <row r="11" ht="18" customHeight="1">
      <c r="A11" s="32" t="inlineStr">
        <is>
          <t>#</t>
        </is>
      </c>
      <c r="B11" s="32" t="inlineStr">
        <is>
          <t>Component / Book Title</t>
        </is>
      </c>
      <c r="C11" s="29" t="n"/>
      <c r="D11" s="32" t="inlineStr">
        <is>
          <t>Total Units
in Component</t>
        </is>
      </c>
      <c r="E11" s="32" t="inlineStr">
        <is>
          <t>Cumulative
Units</t>
        </is>
      </c>
      <c r="F11" s="32" t="inlineStr">
        <is>
          <t>Start
Week</t>
        </is>
      </c>
      <c r="G11" s="32" t="inlineStr">
        <is>
          <t>End
Week</t>
        </is>
      </c>
      <c r="H11" s="32" t="inlineStr">
        <is>
          <t>Start
Date</t>
        </is>
      </c>
      <c r="I11" s="32" t="inlineStr">
        <is>
          <t>End
Date</t>
        </is>
      </c>
      <c r="J11" s="32" t="inlineStr">
        <is>
          <t>Complete?</t>
        </is>
      </c>
    </row>
    <row r="12" ht="18" customHeight="1">
      <c r="A12" s="33" t="n">
        <v>1</v>
      </c>
      <c r="B12" s="27" t="n"/>
      <c r="D12" s="34" t="n"/>
      <c r="E12" s="30">
        <f>IFERROR(SUM(D12:D12),"")</f>
        <v/>
      </c>
      <c r="F12" s="30">
        <f>IF(D12="","",1)</f>
        <v/>
      </c>
      <c r="G12" s="30">
        <f>IFERROR(IF(D12="","",CEILING(E12/F9,1)),"")</f>
        <v/>
      </c>
      <c r="H12" s="30">
        <f>IFERROR(IF(D12="","",TEXT('Getting Started'!B7+(F12-1)*7,"MMM D")),"")</f>
        <v/>
      </c>
      <c r="I12" s="30">
        <f>IFERROR(IF(D12="","",TEXT('Getting Started'!B7+(G12)*7,"MMM D")),"")</f>
        <v/>
      </c>
      <c r="J12" s="34" t="n"/>
    </row>
    <row r="13" ht="18" customHeight="1">
      <c r="A13" s="33" t="n">
        <v>2</v>
      </c>
      <c r="B13" s="35" t="n"/>
      <c r="D13" s="36" t="n"/>
      <c r="E13" s="30">
        <f>IFERROR(SUM(D12:D13),"")</f>
        <v/>
      </c>
      <c r="F13" s="30">
        <f>IFERROR(IF(D13="","",FLOOR(E12/F9,1)+1),"")</f>
        <v/>
      </c>
      <c r="G13" s="30">
        <f>IFERROR(IF(D13="","",CEILING(E13/F9,1)),"")</f>
        <v/>
      </c>
      <c r="H13" s="30">
        <f>IFERROR(IF(D13="","",TEXT('Getting Started'!B7+(F13-1)*7,"MMM D")),"")</f>
        <v/>
      </c>
      <c r="I13" s="30">
        <f>IFERROR(IF(D13="","",TEXT('Getting Started'!B7+(G13)*7,"MMM D")),"")</f>
        <v/>
      </c>
      <c r="J13" s="34" t="n"/>
    </row>
    <row r="14" ht="18" customHeight="1">
      <c r="A14" s="33" t="n">
        <v>3</v>
      </c>
      <c r="B14" s="27" t="n"/>
      <c r="D14" s="34" t="n"/>
      <c r="E14" s="30">
        <f>IFERROR(SUM(D12:D14),"")</f>
        <v/>
      </c>
      <c r="F14" s="30">
        <f>IFERROR(IF(D14="","",FLOOR(E13/F9,1)+1),"")</f>
        <v/>
      </c>
      <c r="G14" s="30">
        <f>IFERROR(IF(D14="","",CEILING(E14/F9,1)),"")</f>
        <v/>
      </c>
      <c r="H14" s="30">
        <f>IFERROR(IF(D14="","",TEXT('Getting Started'!B7+(F14-1)*7,"MMM D")),"")</f>
        <v/>
      </c>
      <c r="I14" s="30">
        <f>IFERROR(IF(D14="","",TEXT('Getting Started'!B7+(G14)*7,"MMM D")),"")</f>
        <v/>
      </c>
      <c r="J14" s="34" t="n"/>
    </row>
    <row r="15" ht="18" customHeight="1">
      <c r="A15" s="33" t="n">
        <v>4</v>
      </c>
      <c r="B15" s="35" t="n"/>
      <c r="D15" s="36" t="n"/>
      <c r="E15" s="30">
        <f>IFERROR(SUM(D12:D15),"")</f>
        <v/>
      </c>
      <c r="F15" s="30">
        <f>IFERROR(IF(D15="","",FLOOR(E14/F9,1)+1),"")</f>
        <v/>
      </c>
      <c r="G15" s="30">
        <f>IFERROR(IF(D15="","",CEILING(E15/F9,1)),"")</f>
        <v/>
      </c>
      <c r="H15" s="30">
        <f>IFERROR(IF(D15="","",TEXT('Getting Started'!B7+(F15-1)*7,"MMM D")),"")</f>
        <v/>
      </c>
      <c r="I15" s="30">
        <f>IFERROR(IF(D15="","",TEXT('Getting Started'!B7+(G15)*7,"MMM D")),"")</f>
        <v/>
      </c>
      <c r="J15" s="34" t="n"/>
    </row>
    <row r="16" ht="18" customHeight="1">
      <c r="A16" s="33" t="n">
        <v>5</v>
      </c>
      <c r="B16" s="27" t="n"/>
      <c r="D16" s="34" t="n"/>
      <c r="E16" s="30">
        <f>IFERROR(SUM(D12:D16),"")</f>
        <v/>
      </c>
      <c r="F16" s="30">
        <f>IFERROR(IF(D16="","",FLOOR(E15/F9,1)+1),"")</f>
        <v/>
      </c>
      <c r="G16" s="30">
        <f>IFERROR(IF(D16="","",CEILING(E16/F9,1)),"")</f>
        <v/>
      </c>
      <c r="H16" s="30">
        <f>IFERROR(IF(D16="","",TEXT('Getting Started'!B7+(F16-1)*7,"MMM D")),"")</f>
        <v/>
      </c>
      <c r="I16" s="30">
        <f>IFERROR(IF(D16="","",TEXT('Getting Started'!B7+(G16)*7,"MMM D")),"")</f>
        <v/>
      </c>
      <c r="J16" s="34" t="n"/>
    </row>
    <row r="17" ht="18" customHeight="1">
      <c r="A17" s="33" t="n">
        <v>6</v>
      </c>
      <c r="B17" s="35" t="n"/>
      <c r="D17" s="36" t="n"/>
      <c r="E17" s="30">
        <f>IFERROR(SUM(D12:D17),"")</f>
        <v/>
      </c>
      <c r="F17" s="30">
        <f>IFERROR(IF(D17="","",FLOOR(E16/F9,1)+1),"")</f>
        <v/>
      </c>
      <c r="G17" s="30">
        <f>IFERROR(IF(D17="","",CEILING(E17/F9,1)),"")</f>
        <v/>
      </c>
      <c r="H17" s="30">
        <f>IFERROR(IF(D17="","",TEXT('Getting Started'!B7+(F17-1)*7,"MMM D")),"")</f>
        <v/>
      </c>
      <c r="I17" s="30">
        <f>IFERROR(IF(D17="","",TEXT('Getting Started'!B7+(G17)*7,"MMM D")),"")</f>
        <v/>
      </c>
      <c r="J17" s="34" t="n"/>
    </row>
    <row r="18" ht="20" customHeight="1">
      <c r="A18" s="26" t="inlineStr">
        <is>
          <t>Notes:</t>
        </is>
      </c>
      <c r="B18" s="37" t="n"/>
    </row>
    <row r="19" ht="24" customHeight="1">
      <c r="A19" s="38" t="inlineStr">
        <is>
          <t xml:space="preserve">  MATH</t>
        </is>
      </c>
    </row>
    <row r="20" ht="20" customHeight="1">
      <c r="A20" s="39" t="inlineStr">
        <is>
          <t>Curriculum / Title:</t>
        </is>
      </c>
      <c r="B20" s="27" t="n"/>
      <c r="F20" s="39" t="inlineStr">
        <is>
          <t>Unit type:</t>
        </is>
      </c>
      <c r="G20" s="27" t="inlineStr">
        <is>
          <t>pages</t>
        </is>
      </c>
      <c r="I20" s="28" t="inlineStr">
        <is>
          <t>← type: pages, lessons, chapters…</t>
        </is>
      </c>
      <c r="J20" s="29" t="n"/>
    </row>
    <row r="21" ht="22" customHeight="1">
      <c r="A21" s="39" t="inlineStr">
        <is>
          <t>Total Units:</t>
        </is>
      </c>
      <c r="B21" s="27" t="n"/>
      <c r="C21" s="39" t="inlineStr">
        <is>
          <t>School Weeks:</t>
        </is>
      </c>
      <c r="D21" s="30">
        <f>'Getting Started'!B9</f>
        <v/>
      </c>
      <c r="E21" s="39" t="inlineStr">
        <is>
          <t>Units / Week:</t>
        </is>
      </c>
      <c r="F21" s="12">
        <f>IFERROR(IF(B21="","",ROUND(B21/D21,1)),"")</f>
        <v/>
      </c>
      <c r="G21" s="39" t="inlineStr">
        <is>
          <t>Units / Day:</t>
        </is>
      </c>
      <c r="H21" s="12">
        <f>IFERROR(IF(F21="","",ROUND(F21/'Getting Started'!B10,1)),"")</f>
        <v/>
      </c>
      <c r="I21" s="39" t="inlineStr">
        <is>
          <t>Est. End Date:</t>
        </is>
      </c>
      <c r="J21" s="12">
        <f>IFERROR(IF(B21="","",TEXT('Getting Started'!B7+(B21/'Getting Started'!B10),"MMM D, YYYY")),"")</f>
        <v/>
      </c>
    </row>
    <row r="22" ht="18" customHeight="1">
      <c r="A22" s="31" t="inlineStr">
        <is>
          <t xml:space="preserve">  Optional: Component / Volume Breakdown  (fill in if curriculum has multiple books or parts)</t>
        </is>
      </c>
    </row>
    <row r="23" ht="18" customHeight="1">
      <c r="A23" s="32" t="inlineStr">
        <is>
          <t>#</t>
        </is>
      </c>
      <c r="B23" s="32" t="inlineStr">
        <is>
          <t>Component / Book Title</t>
        </is>
      </c>
      <c r="C23" s="29" t="n"/>
      <c r="D23" s="32" t="inlineStr">
        <is>
          <t>Total Units
in Component</t>
        </is>
      </c>
      <c r="E23" s="32" t="inlineStr">
        <is>
          <t>Cumulative
Units</t>
        </is>
      </c>
      <c r="F23" s="32" t="inlineStr">
        <is>
          <t>Start
Week</t>
        </is>
      </c>
      <c r="G23" s="32" t="inlineStr">
        <is>
          <t>End
Week</t>
        </is>
      </c>
      <c r="H23" s="32" t="inlineStr">
        <is>
          <t>Start
Date</t>
        </is>
      </c>
      <c r="I23" s="32" t="inlineStr">
        <is>
          <t>End
Date</t>
        </is>
      </c>
      <c r="J23" s="32" t="inlineStr">
        <is>
          <t>Complete?</t>
        </is>
      </c>
    </row>
    <row r="24" ht="18" customHeight="1">
      <c r="A24" s="33" t="n">
        <v>1</v>
      </c>
      <c r="B24" s="27" t="n"/>
      <c r="D24" s="34" t="n"/>
      <c r="E24" s="30">
        <f>IFERROR(SUM(D24:D24),"")</f>
        <v/>
      </c>
      <c r="F24" s="30">
        <f>IF(D24="","",1)</f>
        <v/>
      </c>
      <c r="G24" s="30">
        <f>IFERROR(IF(D24="","",CEILING(E24/F21,1)),"")</f>
        <v/>
      </c>
      <c r="H24" s="30">
        <f>IFERROR(IF(D24="","",TEXT('Getting Started'!B7+(F24-1)*7,"MMM D")),"")</f>
        <v/>
      </c>
      <c r="I24" s="30">
        <f>IFERROR(IF(D24="","",TEXT('Getting Started'!B7+(G24)*7,"MMM D")),"")</f>
        <v/>
      </c>
      <c r="J24" s="34" t="n"/>
    </row>
    <row r="25" ht="18" customHeight="1">
      <c r="A25" s="33" t="n">
        <v>2</v>
      </c>
      <c r="B25" s="35" t="n"/>
      <c r="D25" s="36" t="n"/>
      <c r="E25" s="30">
        <f>IFERROR(SUM(D24:D25),"")</f>
        <v/>
      </c>
      <c r="F25" s="30">
        <f>IFERROR(IF(D25="","",FLOOR(E24/F21,1)+1),"")</f>
        <v/>
      </c>
      <c r="G25" s="30">
        <f>IFERROR(IF(D25="","",CEILING(E25/F21,1)),"")</f>
        <v/>
      </c>
      <c r="H25" s="30">
        <f>IFERROR(IF(D25="","",TEXT('Getting Started'!B7+(F25-1)*7,"MMM D")),"")</f>
        <v/>
      </c>
      <c r="I25" s="30">
        <f>IFERROR(IF(D25="","",TEXT('Getting Started'!B7+(G25)*7,"MMM D")),"")</f>
        <v/>
      </c>
      <c r="J25" s="34" t="n"/>
    </row>
    <row r="26" ht="18" customHeight="1">
      <c r="A26" s="33" t="n">
        <v>3</v>
      </c>
      <c r="B26" s="27" t="n"/>
      <c r="D26" s="34" t="n"/>
      <c r="E26" s="30">
        <f>IFERROR(SUM(D24:D26),"")</f>
        <v/>
      </c>
      <c r="F26" s="30">
        <f>IFERROR(IF(D26="","",FLOOR(E25/F21,1)+1),"")</f>
        <v/>
      </c>
      <c r="G26" s="30">
        <f>IFERROR(IF(D26="","",CEILING(E26/F21,1)),"")</f>
        <v/>
      </c>
      <c r="H26" s="30">
        <f>IFERROR(IF(D26="","",TEXT('Getting Started'!B7+(F26-1)*7,"MMM D")),"")</f>
        <v/>
      </c>
      <c r="I26" s="30">
        <f>IFERROR(IF(D26="","",TEXT('Getting Started'!B7+(G26)*7,"MMM D")),"")</f>
        <v/>
      </c>
      <c r="J26" s="34" t="n"/>
    </row>
    <row r="27" ht="18" customHeight="1">
      <c r="A27" s="33" t="n">
        <v>4</v>
      </c>
      <c r="B27" s="35" t="n"/>
      <c r="D27" s="36" t="n"/>
      <c r="E27" s="30">
        <f>IFERROR(SUM(D24:D27),"")</f>
        <v/>
      </c>
      <c r="F27" s="30">
        <f>IFERROR(IF(D27="","",FLOOR(E26/F21,1)+1),"")</f>
        <v/>
      </c>
      <c r="G27" s="30">
        <f>IFERROR(IF(D27="","",CEILING(E27/F21,1)),"")</f>
        <v/>
      </c>
      <c r="H27" s="30">
        <f>IFERROR(IF(D27="","",TEXT('Getting Started'!B7+(F27-1)*7,"MMM D")),"")</f>
        <v/>
      </c>
      <c r="I27" s="30">
        <f>IFERROR(IF(D27="","",TEXT('Getting Started'!B7+(G27)*7,"MMM D")),"")</f>
        <v/>
      </c>
      <c r="J27" s="34" t="n"/>
    </row>
    <row r="28" ht="18" customHeight="1">
      <c r="A28" s="33" t="n">
        <v>5</v>
      </c>
      <c r="B28" s="27" t="n"/>
      <c r="D28" s="34" t="n"/>
      <c r="E28" s="30">
        <f>IFERROR(SUM(D24:D28),"")</f>
        <v/>
      </c>
      <c r="F28" s="30">
        <f>IFERROR(IF(D28="","",FLOOR(E27/F21,1)+1),"")</f>
        <v/>
      </c>
      <c r="G28" s="30">
        <f>IFERROR(IF(D28="","",CEILING(E28/F21,1)),"")</f>
        <v/>
      </c>
      <c r="H28" s="30">
        <f>IFERROR(IF(D28="","",TEXT('Getting Started'!B7+(F28-1)*7,"MMM D")),"")</f>
        <v/>
      </c>
      <c r="I28" s="30">
        <f>IFERROR(IF(D28="","",TEXT('Getting Started'!B7+(G28)*7,"MMM D")),"")</f>
        <v/>
      </c>
      <c r="J28" s="34" t="n"/>
    </row>
    <row r="29" ht="18" customHeight="1">
      <c r="A29" s="33" t="n">
        <v>6</v>
      </c>
      <c r="B29" s="35" t="n"/>
      <c r="D29" s="36" t="n"/>
      <c r="E29" s="30">
        <f>IFERROR(SUM(D24:D29),"")</f>
        <v/>
      </c>
      <c r="F29" s="30">
        <f>IFERROR(IF(D29="","",FLOOR(E28/F21,1)+1),"")</f>
        <v/>
      </c>
      <c r="G29" s="30">
        <f>IFERROR(IF(D29="","",CEILING(E29/F21,1)),"")</f>
        <v/>
      </c>
      <c r="H29" s="30">
        <f>IFERROR(IF(D29="","",TEXT('Getting Started'!B7+(F29-1)*7,"MMM D")),"")</f>
        <v/>
      </c>
      <c r="I29" s="30">
        <f>IFERROR(IF(D29="","",TEXT('Getting Started'!B7+(G29)*7,"MMM D")),"")</f>
        <v/>
      </c>
      <c r="J29" s="34" t="n"/>
    </row>
    <row r="30" ht="20" customHeight="1">
      <c r="A30" s="39" t="inlineStr">
        <is>
          <t>Notes:</t>
        </is>
      </c>
      <c r="B30" s="37" t="n"/>
    </row>
    <row r="31" ht="24" customHeight="1">
      <c r="A31" s="40" t="inlineStr">
        <is>
          <t xml:space="preserve">  ENGLISH / LANGUAGE ARTS</t>
        </is>
      </c>
    </row>
    <row r="32" ht="20" customHeight="1">
      <c r="A32" s="41" t="inlineStr">
        <is>
          <t>Curriculum / Title:</t>
        </is>
      </c>
      <c r="B32" s="27" t="n"/>
      <c r="F32" s="41" t="inlineStr">
        <is>
          <t>Unit type:</t>
        </is>
      </c>
      <c r="G32" s="27" t="inlineStr">
        <is>
          <t>pages</t>
        </is>
      </c>
      <c r="I32" s="28" t="inlineStr">
        <is>
          <t>← type: pages, lessons, chapters…</t>
        </is>
      </c>
      <c r="J32" s="29" t="n"/>
    </row>
    <row r="33" ht="22" customHeight="1">
      <c r="A33" s="41" t="inlineStr">
        <is>
          <t>Total Units:</t>
        </is>
      </c>
      <c r="B33" s="27" t="n"/>
      <c r="C33" s="41" t="inlineStr">
        <is>
          <t>School Weeks:</t>
        </is>
      </c>
      <c r="D33" s="30">
        <f>'Getting Started'!B9</f>
        <v/>
      </c>
      <c r="E33" s="41" t="inlineStr">
        <is>
          <t>Units / Week:</t>
        </is>
      </c>
      <c r="F33" s="12">
        <f>IFERROR(IF(B33="","",ROUND(B33/D33,1)),"")</f>
        <v/>
      </c>
      <c r="G33" s="41" t="inlineStr">
        <is>
          <t>Units / Day:</t>
        </is>
      </c>
      <c r="H33" s="12">
        <f>IFERROR(IF(F33="","",ROUND(F33/'Getting Started'!B10,1)),"")</f>
        <v/>
      </c>
      <c r="I33" s="41" t="inlineStr">
        <is>
          <t>Est. End Date:</t>
        </is>
      </c>
      <c r="J33" s="12">
        <f>IFERROR(IF(B33="","",TEXT('Getting Started'!B7+(B33/'Getting Started'!B10),"MMM D, YYYY")),"")</f>
        <v/>
      </c>
    </row>
    <row r="34" ht="18" customHeight="1">
      <c r="A34" s="31" t="inlineStr">
        <is>
          <t xml:space="preserve">  Optional: Component / Volume Breakdown  (fill in if curriculum has multiple books or parts)</t>
        </is>
      </c>
    </row>
    <row r="35" ht="18" customHeight="1">
      <c r="A35" s="32" t="inlineStr">
        <is>
          <t>#</t>
        </is>
      </c>
      <c r="B35" s="32" t="inlineStr">
        <is>
          <t>Component / Book Title</t>
        </is>
      </c>
      <c r="C35" s="29" t="n"/>
      <c r="D35" s="32" t="inlineStr">
        <is>
          <t>Total Units
in Component</t>
        </is>
      </c>
      <c r="E35" s="32" t="inlineStr">
        <is>
          <t>Cumulative
Units</t>
        </is>
      </c>
      <c r="F35" s="32" t="inlineStr">
        <is>
          <t>Start
Week</t>
        </is>
      </c>
      <c r="G35" s="32" t="inlineStr">
        <is>
          <t>End
Week</t>
        </is>
      </c>
      <c r="H35" s="32" t="inlineStr">
        <is>
          <t>Start
Date</t>
        </is>
      </c>
      <c r="I35" s="32" t="inlineStr">
        <is>
          <t>End
Date</t>
        </is>
      </c>
      <c r="J35" s="32" t="inlineStr">
        <is>
          <t>Complete?</t>
        </is>
      </c>
    </row>
    <row r="36" ht="18" customHeight="1">
      <c r="A36" s="33" t="n">
        <v>1</v>
      </c>
      <c r="B36" s="27" t="n"/>
      <c r="D36" s="34" t="n"/>
      <c r="E36" s="30">
        <f>IFERROR(SUM(D36:D36),"")</f>
        <v/>
      </c>
      <c r="F36" s="30">
        <f>IF(D36="","",1)</f>
        <v/>
      </c>
      <c r="G36" s="30">
        <f>IFERROR(IF(D36="","",CEILING(E36/F33,1)),"")</f>
        <v/>
      </c>
      <c r="H36" s="30">
        <f>IFERROR(IF(D36="","",TEXT('Getting Started'!B7+(F36-1)*7,"MMM D")),"")</f>
        <v/>
      </c>
      <c r="I36" s="30">
        <f>IFERROR(IF(D36="","",TEXT('Getting Started'!B7+(G36)*7,"MMM D")),"")</f>
        <v/>
      </c>
      <c r="J36" s="34" t="n"/>
    </row>
    <row r="37" ht="18" customHeight="1">
      <c r="A37" s="33" t="n">
        <v>2</v>
      </c>
      <c r="B37" s="35" t="n"/>
      <c r="D37" s="36" t="n"/>
      <c r="E37" s="30">
        <f>IFERROR(SUM(D36:D37),"")</f>
        <v/>
      </c>
      <c r="F37" s="30">
        <f>IFERROR(IF(D37="","",FLOOR(E36/F33,1)+1),"")</f>
        <v/>
      </c>
      <c r="G37" s="30">
        <f>IFERROR(IF(D37="","",CEILING(E37/F33,1)),"")</f>
        <v/>
      </c>
      <c r="H37" s="30">
        <f>IFERROR(IF(D37="","",TEXT('Getting Started'!B7+(F37-1)*7,"MMM D")),"")</f>
        <v/>
      </c>
      <c r="I37" s="30">
        <f>IFERROR(IF(D37="","",TEXT('Getting Started'!B7+(G37)*7,"MMM D")),"")</f>
        <v/>
      </c>
      <c r="J37" s="34" t="n"/>
    </row>
    <row r="38" ht="18" customHeight="1">
      <c r="A38" s="33" t="n">
        <v>3</v>
      </c>
      <c r="B38" s="27" t="n"/>
      <c r="D38" s="34" t="n"/>
      <c r="E38" s="30">
        <f>IFERROR(SUM(D36:D38),"")</f>
        <v/>
      </c>
      <c r="F38" s="30">
        <f>IFERROR(IF(D38="","",FLOOR(E37/F33,1)+1),"")</f>
        <v/>
      </c>
      <c r="G38" s="30">
        <f>IFERROR(IF(D38="","",CEILING(E38/F33,1)),"")</f>
        <v/>
      </c>
      <c r="H38" s="30">
        <f>IFERROR(IF(D38="","",TEXT('Getting Started'!B7+(F38-1)*7,"MMM D")),"")</f>
        <v/>
      </c>
      <c r="I38" s="30">
        <f>IFERROR(IF(D38="","",TEXT('Getting Started'!B7+(G38)*7,"MMM D")),"")</f>
        <v/>
      </c>
      <c r="J38" s="34" t="n"/>
    </row>
    <row r="39" ht="18" customHeight="1">
      <c r="A39" s="33" t="n">
        <v>4</v>
      </c>
      <c r="B39" s="35" t="n"/>
      <c r="D39" s="36" t="n"/>
      <c r="E39" s="30">
        <f>IFERROR(SUM(D36:D39),"")</f>
        <v/>
      </c>
      <c r="F39" s="30">
        <f>IFERROR(IF(D39="","",FLOOR(E38/F33,1)+1),"")</f>
        <v/>
      </c>
      <c r="G39" s="30">
        <f>IFERROR(IF(D39="","",CEILING(E39/F33,1)),"")</f>
        <v/>
      </c>
      <c r="H39" s="30">
        <f>IFERROR(IF(D39="","",TEXT('Getting Started'!B7+(F39-1)*7,"MMM D")),"")</f>
        <v/>
      </c>
      <c r="I39" s="30">
        <f>IFERROR(IF(D39="","",TEXT('Getting Started'!B7+(G39)*7,"MMM D")),"")</f>
        <v/>
      </c>
      <c r="J39" s="34" t="n"/>
    </row>
    <row r="40" ht="18" customHeight="1">
      <c r="A40" s="33" t="n">
        <v>5</v>
      </c>
      <c r="B40" s="27" t="n"/>
      <c r="D40" s="34" t="n"/>
      <c r="E40" s="30">
        <f>IFERROR(SUM(D36:D40),"")</f>
        <v/>
      </c>
      <c r="F40" s="30">
        <f>IFERROR(IF(D40="","",FLOOR(E39/F33,1)+1),"")</f>
        <v/>
      </c>
      <c r="G40" s="30">
        <f>IFERROR(IF(D40="","",CEILING(E40/F33,1)),"")</f>
        <v/>
      </c>
      <c r="H40" s="30">
        <f>IFERROR(IF(D40="","",TEXT('Getting Started'!B7+(F40-1)*7,"MMM D")),"")</f>
        <v/>
      </c>
      <c r="I40" s="30">
        <f>IFERROR(IF(D40="","",TEXT('Getting Started'!B7+(G40)*7,"MMM D")),"")</f>
        <v/>
      </c>
      <c r="J40" s="34" t="n"/>
    </row>
    <row r="41" ht="18" customHeight="1">
      <c r="A41" s="33" t="n">
        <v>6</v>
      </c>
      <c r="B41" s="35" t="n"/>
      <c r="D41" s="36" t="n"/>
      <c r="E41" s="30">
        <f>IFERROR(SUM(D36:D41),"")</f>
        <v/>
      </c>
      <c r="F41" s="30">
        <f>IFERROR(IF(D41="","",FLOOR(E40/F33,1)+1),"")</f>
        <v/>
      </c>
      <c r="G41" s="30">
        <f>IFERROR(IF(D41="","",CEILING(E41/F33,1)),"")</f>
        <v/>
      </c>
      <c r="H41" s="30">
        <f>IFERROR(IF(D41="","",TEXT('Getting Started'!B7+(F41-1)*7,"MMM D")),"")</f>
        <v/>
      </c>
      <c r="I41" s="30">
        <f>IFERROR(IF(D41="","",TEXT('Getting Started'!B7+(G41)*7,"MMM D")),"")</f>
        <v/>
      </c>
      <c r="J41" s="34" t="n"/>
    </row>
    <row r="42" ht="20" customHeight="1">
      <c r="A42" s="41" t="inlineStr">
        <is>
          <t>Notes:</t>
        </is>
      </c>
      <c r="B42" s="37" t="n"/>
    </row>
    <row r="43" ht="24" customHeight="1">
      <c r="A43" s="42" t="inlineStr">
        <is>
          <t xml:space="preserve">  READING</t>
        </is>
      </c>
    </row>
    <row r="44" ht="20" customHeight="1">
      <c r="A44" s="43" t="inlineStr">
        <is>
          <t>Curriculum / Title:</t>
        </is>
      </c>
      <c r="B44" s="27" t="n"/>
      <c r="F44" s="43" t="inlineStr">
        <is>
          <t>Unit type:</t>
        </is>
      </c>
      <c r="G44" s="27" t="inlineStr">
        <is>
          <t>pages</t>
        </is>
      </c>
      <c r="I44" s="28" t="inlineStr">
        <is>
          <t>← type: pages, lessons, chapters…</t>
        </is>
      </c>
      <c r="J44" s="29" t="n"/>
    </row>
    <row r="45" ht="22" customHeight="1">
      <c r="A45" s="43" t="inlineStr">
        <is>
          <t>Total Units:</t>
        </is>
      </c>
      <c r="B45" s="27" t="n"/>
      <c r="C45" s="43" t="inlineStr">
        <is>
          <t>School Weeks:</t>
        </is>
      </c>
      <c r="D45" s="30">
        <f>'Getting Started'!B9</f>
        <v/>
      </c>
      <c r="E45" s="43" t="inlineStr">
        <is>
          <t>Units / Week:</t>
        </is>
      </c>
      <c r="F45" s="12">
        <f>IFERROR(IF(B45="","",ROUND(B45/D45,1)),"")</f>
        <v/>
      </c>
      <c r="G45" s="43" t="inlineStr">
        <is>
          <t>Units / Day:</t>
        </is>
      </c>
      <c r="H45" s="12">
        <f>IFERROR(IF(F45="","",ROUND(F45/'Getting Started'!B10,1)),"")</f>
        <v/>
      </c>
      <c r="I45" s="43" t="inlineStr">
        <is>
          <t>Est. End Date:</t>
        </is>
      </c>
      <c r="J45" s="12">
        <f>IFERROR(IF(B45="","",TEXT('Getting Started'!B7+(B45/'Getting Started'!B10),"MMM D, YYYY")),"")</f>
        <v/>
      </c>
    </row>
    <row r="46" ht="18" customHeight="1">
      <c r="A46" s="31" t="inlineStr">
        <is>
          <t xml:space="preserve">  Optional: Component / Volume Breakdown  (fill in if curriculum has multiple books or parts)</t>
        </is>
      </c>
    </row>
    <row r="47" ht="18" customHeight="1">
      <c r="A47" s="32" t="inlineStr">
        <is>
          <t>#</t>
        </is>
      </c>
      <c r="B47" s="32" t="inlineStr">
        <is>
          <t>Component / Book Title</t>
        </is>
      </c>
      <c r="C47" s="29" t="n"/>
      <c r="D47" s="32" t="inlineStr">
        <is>
          <t>Total Units
in Component</t>
        </is>
      </c>
      <c r="E47" s="32" t="inlineStr">
        <is>
          <t>Cumulative
Units</t>
        </is>
      </c>
      <c r="F47" s="32" t="inlineStr">
        <is>
          <t>Start
Week</t>
        </is>
      </c>
      <c r="G47" s="32" t="inlineStr">
        <is>
          <t>End
Week</t>
        </is>
      </c>
      <c r="H47" s="32" t="inlineStr">
        <is>
          <t>Start
Date</t>
        </is>
      </c>
      <c r="I47" s="32" t="inlineStr">
        <is>
          <t>End
Date</t>
        </is>
      </c>
      <c r="J47" s="32" t="inlineStr">
        <is>
          <t>Complete?</t>
        </is>
      </c>
    </row>
    <row r="48" ht="18" customHeight="1">
      <c r="A48" s="33" t="n">
        <v>1</v>
      </c>
      <c r="B48" s="27" t="n"/>
      <c r="D48" s="34" t="n"/>
      <c r="E48" s="30">
        <f>IFERROR(SUM(D48:D48),"")</f>
        <v/>
      </c>
      <c r="F48" s="30">
        <f>IF(D48="","",1)</f>
        <v/>
      </c>
      <c r="G48" s="30">
        <f>IFERROR(IF(D48="","",CEILING(E48/F45,1)),"")</f>
        <v/>
      </c>
      <c r="H48" s="30">
        <f>IFERROR(IF(D48="","",TEXT('Getting Started'!B7+(F48-1)*7,"MMM D")),"")</f>
        <v/>
      </c>
      <c r="I48" s="30">
        <f>IFERROR(IF(D48="","",TEXT('Getting Started'!B7+(G48)*7,"MMM D")),"")</f>
        <v/>
      </c>
      <c r="J48" s="34" t="n"/>
    </row>
    <row r="49" ht="18" customHeight="1">
      <c r="A49" s="33" t="n">
        <v>2</v>
      </c>
      <c r="B49" s="35" t="n"/>
      <c r="D49" s="36" t="n"/>
      <c r="E49" s="30">
        <f>IFERROR(SUM(D48:D49),"")</f>
        <v/>
      </c>
      <c r="F49" s="30">
        <f>IFERROR(IF(D49="","",FLOOR(E48/F45,1)+1),"")</f>
        <v/>
      </c>
      <c r="G49" s="30">
        <f>IFERROR(IF(D49="","",CEILING(E49/F45,1)),"")</f>
        <v/>
      </c>
      <c r="H49" s="30">
        <f>IFERROR(IF(D49="","",TEXT('Getting Started'!B7+(F49-1)*7,"MMM D")),"")</f>
        <v/>
      </c>
      <c r="I49" s="30">
        <f>IFERROR(IF(D49="","",TEXT('Getting Started'!B7+(G49)*7,"MMM D")),"")</f>
        <v/>
      </c>
      <c r="J49" s="34" t="n"/>
    </row>
    <row r="50" ht="18" customHeight="1">
      <c r="A50" s="33" t="n">
        <v>3</v>
      </c>
      <c r="B50" s="27" t="n"/>
      <c r="D50" s="34" t="n"/>
      <c r="E50" s="30">
        <f>IFERROR(SUM(D48:D50),"")</f>
        <v/>
      </c>
      <c r="F50" s="30">
        <f>IFERROR(IF(D50="","",FLOOR(E49/F45,1)+1),"")</f>
        <v/>
      </c>
      <c r="G50" s="30">
        <f>IFERROR(IF(D50="","",CEILING(E50/F45,1)),"")</f>
        <v/>
      </c>
      <c r="H50" s="30">
        <f>IFERROR(IF(D50="","",TEXT('Getting Started'!B7+(F50-1)*7,"MMM D")),"")</f>
        <v/>
      </c>
      <c r="I50" s="30">
        <f>IFERROR(IF(D50="","",TEXT('Getting Started'!B7+(G50)*7,"MMM D")),"")</f>
        <v/>
      </c>
      <c r="J50" s="34" t="n"/>
    </row>
    <row r="51" ht="18" customHeight="1">
      <c r="A51" s="33" t="n">
        <v>4</v>
      </c>
      <c r="B51" s="35" t="n"/>
      <c r="D51" s="36" t="n"/>
      <c r="E51" s="30">
        <f>IFERROR(SUM(D48:D51),"")</f>
        <v/>
      </c>
      <c r="F51" s="30">
        <f>IFERROR(IF(D51="","",FLOOR(E50/F45,1)+1),"")</f>
        <v/>
      </c>
      <c r="G51" s="30">
        <f>IFERROR(IF(D51="","",CEILING(E51/F45,1)),"")</f>
        <v/>
      </c>
      <c r="H51" s="30">
        <f>IFERROR(IF(D51="","",TEXT('Getting Started'!B7+(F51-1)*7,"MMM D")),"")</f>
        <v/>
      </c>
      <c r="I51" s="30">
        <f>IFERROR(IF(D51="","",TEXT('Getting Started'!B7+(G51)*7,"MMM D")),"")</f>
        <v/>
      </c>
      <c r="J51" s="34" t="n"/>
    </row>
    <row r="52" ht="18" customHeight="1">
      <c r="A52" s="33" t="n">
        <v>5</v>
      </c>
      <c r="B52" s="27" t="n"/>
      <c r="D52" s="34" t="n"/>
      <c r="E52" s="30">
        <f>IFERROR(SUM(D48:D52),"")</f>
        <v/>
      </c>
      <c r="F52" s="30">
        <f>IFERROR(IF(D52="","",FLOOR(E51/F45,1)+1),"")</f>
        <v/>
      </c>
      <c r="G52" s="30">
        <f>IFERROR(IF(D52="","",CEILING(E52/F45,1)),"")</f>
        <v/>
      </c>
      <c r="H52" s="30">
        <f>IFERROR(IF(D52="","",TEXT('Getting Started'!B7+(F52-1)*7,"MMM D")),"")</f>
        <v/>
      </c>
      <c r="I52" s="30">
        <f>IFERROR(IF(D52="","",TEXT('Getting Started'!B7+(G52)*7,"MMM D")),"")</f>
        <v/>
      </c>
      <c r="J52" s="34" t="n"/>
    </row>
    <row r="53" ht="18" customHeight="1">
      <c r="A53" s="33" t="n">
        <v>6</v>
      </c>
      <c r="B53" s="35" t="n"/>
      <c r="D53" s="36" t="n"/>
      <c r="E53" s="30">
        <f>IFERROR(SUM(D48:D53),"")</f>
        <v/>
      </c>
      <c r="F53" s="30">
        <f>IFERROR(IF(D53="","",FLOOR(E52/F45,1)+1),"")</f>
        <v/>
      </c>
      <c r="G53" s="30">
        <f>IFERROR(IF(D53="","",CEILING(E53/F45,1)),"")</f>
        <v/>
      </c>
      <c r="H53" s="30">
        <f>IFERROR(IF(D53="","",TEXT('Getting Started'!B7+(F53-1)*7,"MMM D")),"")</f>
        <v/>
      </c>
      <c r="I53" s="30">
        <f>IFERROR(IF(D53="","",TEXT('Getting Started'!B7+(G53)*7,"MMM D")),"")</f>
        <v/>
      </c>
      <c r="J53" s="34" t="n"/>
    </row>
    <row r="54" ht="20" customHeight="1">
      <c r="A54" s="43" t="inlineStr">
        <is>
          <t>Notes:</t>
        </is>
      </c>
      <c r="B54" s="37" t="n"/>
    </row>
    <row r="55" ht="24" customHeight="1">
      <c r="A55" s="44" t="inlineStr">
        <is>
          <t xml:space="preserve">  WRITING / COMPOSITION</t>
        </is>
      </c>
    </row>
    <row r="56" ht="20" customHeight="1">
      <c r="A56" s="45" t="inlineStr">
        <is>
          <t>Curriculum / Title:</t>
        </is>
      </c>
      <c r="B56" s="27" t="n"/>
      <c r="F56" s="45" t="inlineStr">
        <is>
          <t>Unit type:</t>
        </is>
      </c>
      <c r="G56" s="27" t="inlineStr">
        <is>
          <t>pages</t>
        </is>
      </c>
      <c r="I56" s="28" t="inlineStr">
        <is>
          <t>← type: pages, lessons, chapters…</t>
        </is>
      </c>
      <c r="J56" s="29" t="n"/>
    </row>
    <row r="57" ht="22" customHeight="1">
      <c r="A57" s="45" t="inlineStr">
        <is>
          <t>Total Units:</t>
        </is>
      </c>
      <c r="B57" s="27" t="n"/>
      <c r="C57" s="45" t="inlineStr">
        <is>
          <t>School Weeks:</t>
        </is>
      </c>
      <c r="D57" s="30">
        <f>'Getting Started'!B9</f>
        <v/>
      </c>
      <c r="E57" s="45" t="inlineStr">
        <is>
          <t>Units / Week:</t>
        </is>
      </c>
      <c r="F57" s="12">
        <f>IFERROR(IF(B57="","",ROUND(B57/D57,1)),"")</f>
        <v/>
      </c>
      <c r="G57" s="45" t="inlineStr">
        <is>
          <t>Units / Day:</t>
        </is>
      </c>
      <c r="H57" s="12">
        <f>IFERROR(IF(F57="","",ROUND(F57/'Getting Started'!B10,1)),"")</f>
        <v/>
      </c>
      <c r="I57" s="45" t="inlineStr">
        <is>
          <t>Est. End Date:</t>
        </is>
      </c>
      <c r="J57" s="12">
        <f>IFERROR(IF(B57="","",TEXT('Getting Started'!B7+(B57/'Getting Started'!B10),"MMM D, YYYY")),"")</f>
        <v/>
      </c>
    </row>
    <row r="58" ht="18" customHeight="1">
      <c r="A58" s="31" t="inlineStr">
        <is>
          <t xml:space="preserve">  Optional: Component / Volume Breakdown  (fill in if curriculum has multiple books or parts)</t>
        </is>
      </c>
    </row>
    <row r="59" ht="18" customHeight="1">
      <c r="A59" s="32" t="inlineStr">
        <is>
          <t>#</t>
        </is>
      </c>
      <c r="B59" s="32" t="inlineStr">
        <is>
          <t>Component / Book Title</t>
        </is>
      </c>
      <c r="C59" s="29" t="n"/>
      <c r="D59" s="32" t="inlineStr">
        <is>
          <t>Total Units
in Component</t>
        </is>
      </c>
      <c r="E59" s="32" t="inlineStr">
        <is>
          <t>Cumulative
Units</t>
        </is>
      </c>
      <c r="F59" s="32" t="inlineStr">
        <is>
          <t>Start
Week</t>
        </is>
      </c>
      <c r="G59" s="32" t="inlineStr">
        <is>
          <t>End
Week</t>
        </is>
      </c>
      <c r="H59" s="32" t="inlineStr">
        <is>
          <t>Start
Date</t>
        </is>
      </c>
      <c r="I59" s="32" t="inlineStr">
        <is>
          <t>End
Date</t>
        </is>
      </c>
      <c r="J59" s="32" t="inlineStr">
        <is>
          <t>Complete?</t>
        </is>
      </c>
    </row>
    <row r="60" ht="18" customHeight="1">
      <c r="A60" s="33" t="n">
        <v>1</v>
      </c>
      <c r="B60" s="27" t="n"/>
      <c r="D60" s="34" t="n"/>
      <c r="E60" s="30">
        <f>IFERROR(SUM(D60:D60),"")</f>
        <v/>
      </c>
      <c r="F60" s="30">
        <f>IF(D60="","",1)</f>
        <v/>
      </c>
      <c r="G60" s="30">
        <f>IFERROR(IF(D60="","",CEILING(E60/F57,1)),"")</f>
        <v/>
      </c>
      <c r="H60" s="30">
        <f>IFERROR(IF(D60="","",TEXT('Getting Started'!B7+(F60-1)*7,"MMM D")),"")</f>
        <v/>
      </c>
      <c r="I60" s="30">
        <f>IFERROR(IF(D60="","",TEXT('Getting Started'!B7+(G60)*7,"MMM D")),"")</f>
        <v/>
      </c>
      <c r="J60" s="34" t="n"/>
    </row>
    <row r="61" ht="18" customHeight="1">
      <c r="A61" s="33" t="n">
        <v>2</v>
      </c>
      <c r="B61" s="35" t="n"/>
      <c r="D61" s="36" t="n"/>
      <c r="E61" s="30">
        <f>IFERROR(SUM(D60:D61),"")</f>
        <v/>
      </c>
      <c r="F61" s="30">
        <f>IFERROR(IF(D61="","",FLOOR(E60/F57,1)+1),"")</f>
        <v/>
      </c>
      <c r="G61" s="30">
        <f>IFERROR(IF(D61="","",CEILING(E61/F57,1)),"")</f>
        <v/>
      </c>
      <c r="H61" s="30">
        <f>IFERROR(IF(D61="","",TEXT('Getting Started'!B7+(F61-1)*7,"MMM D")),"")</f>
        <v/>
      </c>
      <c r="I61" s="30">
        <f>IFERROR(IF(D61="","",TEXT('Getting Started'!B7+(G61)*7,"MMM D")),"")</f>
        <v/>
      </c>
      <c r="J61" s="34" t="n"/>
    </row>
    <row r="62" ht="18" customHeight="1">
      <c r="A62" s="33" t="n">
        <v>3</v>
      </c>
      <c r="B62" s="27" t="n"/>
      <c r="D62" s="34" t="n"/>
      <c r="E62" s="30">
        <f>IFERROR(SUM(D60:D62),"")</f>
        <v/>
      </c>
      <c r="F62" s="30">
        <f>IFERROR(IF(D62="","",FLOOR(E61/F57,1)+1),"")</f>
        <v/>
      </c>
      <c r="G62" s="30">
        <f>IFERROR(IF(D62="","",CEILING(E62/F57,1)),"")</f>
        <v/>
      </c>
      <c r="H62" s="30">
        <f>IFERROR(IF(D62="","",TEXT('Getting Started'!B7+(F62-1)*7,"MMM D")),"")</f>
        <v/>
      </c>
      <c r="I62" s="30">
        <f>IFERROR(IF(D62="","",TEXT('Getting Started'!B7+(G62)*7,"MMM D")),"")</f>
        <v/>
      </c>
      <c r="J62" s="34" t="n"/>
    </row>
    <row r="63" ht="18" customHeight="1">
      <c r="A63" s="33" t="n">
        <v>4</v>
      </c>
      <c r="B63" s="35" t="n"/>
      <c r="D63" s="36" t="n"/>
      <c r="E63" s="30">
        <f>IFERROR(SUM(D60:D63),"")</f>
        <v/>
      </c>
      <c r="F63" s="30">
        <f>IFERROR(IF(D63="","",FLOOR(E62/F57,1)+1),"")</f>
        <v/>
      </c>
      <c r="G63" s="30">
        <f>IFERROR(IF(D63="","",CEILING(E63/F57,1)),"")</f>
        <v/>
      </c>
      <c r="H63" s="30">
        <f>IFERROR(IF(D63="","",TEXT('Getting Started'!B7+(F63-1)*7,"MMM D")),"")</f>
        <v/>
      </c>
      <c r="I63" s="30">
        <f>IFERROR(IF(D63="","",TEXT('Getting Started'!B7+(G63)*7,"MMM D")),"")</f>
        <v/>
      </c>
      <c r="J63" s="34" t="n"/>
    </row>
    <row r="64" ht="18" customHeight="1">
      <c r="A64" s="33" t="n">
        <v>5</v>
      </c>
      <c r="B64" s="27" t="n"/>
      <c r="D64" s="34" t="n"/>
      <c r="E64" s="30">
        <f>IFERROR(SUM(D60:D64),"")</f>
        <v/>
      </c>
      <c r="F64" s="30">
        <f>IFERROR(IF(D64="","",FLOOR(E63/F57,1)+1),"")</f>
        <v/>
      </c>
      <c r="G64" s="30">
        <f>IFERROR(IF(D64="","",CEILING(E64/F57,1)),"")</f>
        <v/>
      </c>
      <c r="H64" s="30">
        <f>IFERROR(IF(D64="","",TEXT('Getting Started'!B7+(F64-1)*7,"MMM D")),"")</f>
        <v/>
      </c>
      <c r="I64" s="30">
        <f>IFERROR(IF(D64="","",TEXT('Getting Started'!B7+(G64)*7,"MMM D")),"")</f>
        <v/>
      </c>
      <c r="J64" s="34" t="n"/>
    </row>
    <row r="65" ht="18" customHeight="1">
      <c r="A65" s="33" t="n">
        <v>6</v>
      </c>
      <c r="B65" s="35" t="n"/>
      <c r="D65" s="36" t="n"/>
      <c r="E65" s="30">
        <f>IFERROR(SUM(D60:D65),"")</f>
        <v/>
      </c>
      <c r="F65" s="30">
        <f>IFERROR(IF(D65="","",FLOOR(E64/F57,1)+1),"")</f>
        <v/>
      </c>
      <c r="G65" s="30">
        <f>IFERROR(IF(D65="","",CEILING(E65/F57,1)),"")</f>
        <v/>
      </c>
      <c r="H65" s="30">
        <f>IFERROR(IF(D65="","",TEXT('Getting Started'!B7+(F65-1)*7,"MMM D")),"")</f>
        <v/>
      </c>
      <c r="I65" s="30">
        <f>IFERROR(IF(D65="","",TEXT('Getting Started'!B7+(G65)*7,"MMM D")),"")</f>
        <v/>
      </c>
      <c r="J65" s="34" t="n"/>
    </row>
    <row r="66" ht="20" customHeight="1">
      <c r="A66" s="45" t="inlineStr">
        <is>
          <t>Notes:</t>
        </is>
      </c>
      <c r="B66" s="37" t="n"/>
    </row>
    <row r="67" ht="24" customHeight="1">
      <c r="A67" s="46" t="inlineStr">
        <is>
          <t xml:space="preserve">  SCIENCE</t>
        </is>
      </c>
    </row>
    <row r="68" ht="20" customHeight="1">
      <c r="A68" s="47" t="inlineStr">
        <is>
          <t>Curriculum / Title:</t>
        </is>
      </c>
      <c r="B68" s="27" t="n"/>
      <c r="F68" s="47" t="inlineStr">
        <is>
          <t>Unit type:</t>
        </is>
      </c>
      <c r="G68" s="27" t="inlineStr">
        <is>
          <t>pages</t>
        </is>
      </c>
      <c r="I68" s="28" t="inlineStr">
        <is>
          <t>← type: pages, lessons, chapters…</t>
        </is>
      </c>
      <c r="J68" s="29" t="n"/>
    </row>
    <row r="69" ht="22" customHeight="1">
      <c r="A69" s="47" t="inlineStr">
        <is>
          <t>Total Units:</t>
        </is>
      </c>
      <c r="B69" s="27" t="n"/>
      <c r="C69" s="47" t="inlineStr">
        <is>
          <t>School Weeks:</t>
        </is>
      </c>
      <c r="D69" s="30">
        <f>'Getting Started'!B9</f>
        <v/>
      </c>
      <c r="E69" s="47" t="inlineStr">
        <is>
          <t>Units / Week:</t>
        </is>
      </c>
      <c r="F69" s="12">
        <f>IFERROR(IF(B69="","",ROUND(B69/D69,1)),"")</f>
        <v/>
      </c>
      <c r="G69" s="47" t="inlineStr">
        <is>
          <t>Units / Day:</t>
        </is>
      </c>
      <c r="H69" s="12">
        <f>IFERROR(IF(F69="","",ROUND(F69/'Getting Started'!B10,1)),"")</f>
        <v/>
      </c>
      <c r="I69" s="47" t="inlineStr">
        <is>
          <t>Est. End Date:</t>
        </is>
      </c>
      <c r="J69" s="12">
        <f>IFERROR(IF(B69="","",TEXT('Getting Started'!B7+(B69/'Getting Started'!B10),"MMM D, YYYY")),"")</f>
        <v/>
      </c>
    </row>
    <row r="70" ht="18" customHeight="1">
      <c r="A70" s="31" t="inlineStr">
        <is>
          <t xml:space="preserve">  Optional: Component / Volume Breakdown  (fill in if curriculum has multiple books or parts)</t>
        </is>
      </c>
    </row>
    <row r="71" ht="18" customHeight="1">
      <c r="A71" s="32" t="inlineStr">
        <is>
          <t>#</t>
        </is>
      </c>
      <c r="B71" s="32" t="inlineStr">
        <is>
          <t>Component / Book Title</t>
        </is>
      </c>
      <c r="C71" s="29" t="n"/>
      <c r="D71" s="32" t="inlineStr">
        <is>
          <t>Total Units
in Component</t>
        </is>
      </c>
      <c r="E71" s="32" t="inlineStr">
        <is>
          <t>Cumulative
Units</t>
        </is>
      </c>
      <c r="F71" s="32" t="inlineStr">
        <is>
          <t>Start
Week</t>
        </is>
      </c>
      <c r="G71" s="32" t="inlineStr">
        <is>
          <t>End
Week</t>
        </is>
      </c>
      <c r="H71" s="32" t="inlineStr">
        <is>
          <t>Start
Date</t>
        </is>
      </c>
      <c r="I71" s="32" t="inlineStr">
        <is>
          <t>End
Date</t>
        </is>
      </c>
      <c r="J71" s="32" t="inlineStr">
        <is>
          <t>Complete?</t>
        </is>
      </c>
    </row>
    <row r="72" ht="18" customHeight="1">
      <c r="A72" s="33" t="n">
        <v>1</v>
      </c>
      <c r="B72" s="27" t="n"/>
      <c r="D72" s="34" t="n"/>
      <c r="E72" s="30">
        <f>IFERROR(SUM(D72:D72),"")</f>
        <v/>
      </c>
      <c r="F72" s="30">
        <f>IF(D72="","",1)</f>
        <v/>
      </c>
      <c r="G72" s="30">
        <f>IFERROR(IF(D72="","",CEILING(E72/F69,1)),"")</f>
        <v/>
      </c>
      <c r="H72" s="30">
        <f>IFERROR(IF(D72="","",TEXT('Getting Started'!B7+(F72-1)*7,"MMM D")),"")</f>
        <v/>
      </c>
      <c r="I72" s="30">
        <f>IFERROR(IF(D72="","",TEXT('Getting Started'!B7+(G72)*7,"MMM D")),"")</f>
        <v/>
      </c>
      <c r="J72" s="34" t="n"/>
    </row>
    <row r="73" ht="18" customHeight="1">
      <c r="A73" s="33" t="n">
        <v>2</v>
      </c>
      <c r="B73" s="35" t="n"/>
      <c r="D73" s="36" t="n"/>
      <c r="E73" s="30">
        <f>IFERROR(SUM(D72:D73),"")</f>
        <v/>
      </c>
      <c r="F73" s="30">
        <f>IFERROR(IF(D73="","",FLOOR(E72/F69,1)+1),"")</f>
        <v/>
      </c>
      <c r="G73" s="30">
        <f>IFERROR(IF(D73="","",CEILING(E73/F69,1)),"")</f>
        <v/>
      </c>
      <c r="H73" s="30">
        <f>IFERROR(IF(D73="","",TEXT('Getting Started'!B7+(F73-1)*7,"MMM D")),"")</f>
        <v/>
      </c>
      <c r="I73" s="30">
        <f>IFERROR(IF(D73="","",TEXT('Getting Started'!B7+(G73)*7,"MMM D")),"")</f>
        <v/>
      </c>
      <c r="J73" s="34" t="n"/>
    </row>
    <row r="74" ht="18" customHeight="1">
      <c r="A74" s="33" t="n">
        <v>3</v>
      </c>
      <c r="B74" s="27" t="n"/>
      <c r="D74" s="34" t="n"/>
      <c r="E74" s="30">
        <f>IFERROR(SUM(D72:D74),"")</f>
        <v/>
      </c>
      <c r="F74" s="30">
        <f>IFERROR(IF(D74="","",FLOOR(E73/F69,1)+1),"")</f>
        <v/>
      </c>
      <c r="G74" s="30">
        <f>IFERROR(IF(D74="","",CEILING(E74/F69,1)),"")</f>
        <v/>
      </c>
      <c r="H74" s="30">
        <f>IFERROR(IF(D74="","",TEXT('Getting Started'!B7+(F74-1)*7,"MMM D")),"")</f>
        <v/>
      </c>
      <c r="I74" s="30">
        <f>IFERROR(IF(D74="","",TEXT('Getting Started'!B7+(G74)*7,"MMM D")),"")</f>
        <v/>
      </c>
      <c r="J74" s="34" t="n"/>
    </row>
    <row r="75" ht="18" customHeight="1">
      <c r="A75" s="33" t="n">
        <v>4</v>
      </c>
      <c r="B75" s="35" t="n"/>
      <c r="D75" s="36" t="n"/>
      <c r="E75" s="30">
        <f>IFERROR(SUM(D72:D75),"")</f>
        <v/>
      </c>
      <c r="F75" s="30">
        <f>IFERROR(IF(D75="","",FLOOR(E74/F69,1)+1),"")</f>
        <v/>
      </c>
      <c r="G75" s="30">
        <f>IFERROR(IF(D75="","",CEILING(E75/F69,1)),"")</f>
        <v/>
      </c>
      <c r="H75" s="30">
        <f>IFERROR(IF(D75="","",TEXT('Getting Started'!B7+(F75-1)*7,"MMM D")),"")</f>
        <v/>
      </c>
      <c r="I75" s="30">
        <f>IFERROR(IF(D75="","",TEXT('Getting Started'!B7+(G75)*7,"MMM D")),"")</f>
        <v/>
      </c>
      <c r="J75" s="34" t="n"/>
    </row>
    <row r="76" ht="18" customHeight="1">
      <c r="A76" s="33" t="n">
        <v>5</v>
      </c>
      <c r="B76" s="27" t="n"/>
      <c r="D76" s="34" t="n"/>
      <c r="E76" s="30">
        <f>IFERROR(SUM(D72:D76),"")</f>
        <v/>
      </c>
      <c r="F76" s="30">
        <f>IFERROR(IF(D76="","",FLOOR(E75/F69,1)+1),"")</f>
        <v/>
      </c>
      <c r="G76" s="30">
        <f>IFERROR(IF(D76="","",CEILING(E76/F69,1)),"")</f>
        <v/>
      </c>
      <c r="H76" s="30">
        <f>IFERROR(IF(D76="","",TEXT('Getting Started'!B7+(F76-1)*7,"MMM D")),"")</f>
        <v/>
      </c>
      <c r="I76" s="30">
        <f>IFERROR(IF(D76="","",TEXT('Getting Started'!B7+(G76)*7,"MMM D")),"")</f>
        <v/>
      </c>
      <c r="J76" s="34" t="n"/>
    </row>
    <row r="77" ht="18" customHeight="1">
      <c r="A77" s="33" t="n">
        <v>6</v>
      </c>
      <c r="B77" s="35" t="n"/>
      <c r="D77" s="36" t="n"/>
      <c r="E77" s="30">
        <f>IFERROR(SUM(D72:D77),"")</f>
        <v/>
      </c>
      <c r="F77" s="30">
        <f>IFERROR(IF(D77="","",FLOOR(E76/F69,1)+1),"")</f>
        <v/>
      </c>
      <c r="G77" s="30">
        <f>IFERROR(IF(D77="","",CEILING(E77/F69,1)),"")</f>
        <v/>
      </c>
      <c r="H77" s="30">
        <f>IFERROR(IF(D77="","",TEXT('Getting Started'!B7+(F77-1)*7,"MMM D")),"")</f>
        <v/>
      </c>
      <c r="I77" s="30">
        <f>IFERROR(IF(D77="","",TEXT('Getting Started'!B7+(G77)*7,"MMM D")),"")</f>
        <v/>
      </c>
      <c r="J77" s="34" t="n"/>
    </row>
    <row r="78" ht="20" customHeight="1">
      <c r="A78" s="47" t="inlineStr">
        <is>
          <t>Notes:</t>
        </is>
      </c>
      <c r="B78" s="37" t="n"/>
    </row>
    <row r="79" ht="24" customHeight="1">
      <c r="A79" s="48" t="inlineStr">
        <is>
          <t xml:space="preserve">  SOCIAL STUDIES / HISTORY</t>
        </is>
      </c>
    </row>
    <row r="80" ht="20" customHeight="1">
      <c r="A80" s="49" t="inlineStr">
        <is>
          <t>Curriculum / Title:</t>
        </is>
      </c>
      <c r="B80" s="27" t="n"/>
      <c r="F80" s="49" t="inlineStr">
        <is>
          <t>Unit type:</t>
        </is>
      </c>
      <c r="G80" s="27" t="inlineStr">
        <is>
          <t>pages</t>
        </is>
      </c>
      <c r="I80" s="28" t="inlineStr">
        <is>
          <t>← type: pages, lessons, chapters…</t>
        </is>
      </c>
      <c r="J80" s="29" t="n"/>
    </row>
    <row r="81" ht="22" customHeight="1">
      <c r="A81" s="49" t="inlineStr">
        <is>
          <t>Total Units:</t>
        </is>
      </c>
      <c r="B81" s="27" t="n"/>
      <c r="C81" s="49" t="inlineStr">
        <is>
          <t>School Weeks:</t>
        </is>
      </c>
      <c r="D81" s="30">
        <f>'Getting Started'!B9</f>
        <v/>
      </c>
      <c r="E81" s="49" t="inlineStr">
        <is>
          <t>Units / Week:</t>
        </is>
      </c>
      <c r="F81" s="12">
        <f>IFERROR(IF(B81="","",ROUND(B81/D81,1)),"")</f>
        <v/>
      </c>
      <c r="G81" s="49" t="inlineStr">
        <is>
          <t>Units / Day:</t>
        </is>
      </c>
      <c r="H81" s="12">
        <f>IFERROR(IF(F81="","",ROUND(F81/'Getting Started'!B10,1)),"")</f>
        <v/>
      </c>
      <c r="I81" s="49" t="inlineStr">
        <is>
          <t>Est. End Date:</t>
        </is>
      </c>
      <c r="J81" s="12">
        <f>IFERROR(IF(B81="","",TEXT('Getting Started'!B7+(B81/'Getting Started'!B10),"MMM D, YYYY")),"")</f>
        <v/>
      </c>
    </row>
    <row r="82" ht="18" customHeight="1">
      <c r="A82" s="31" t="inlineStr">
        <is>
          <t xml:space="preserve">  Optional: Component / Volume Breakdown  (fill in if curriculum has multiple books or parts)</t>
        </is>
      </c>
    </row>
    <row r="83" ht="18" customHeight="1">
      <c r="A83" s="32" t="inlineStr">
        <is>
          <t>#</t>
        </is>
      </c>
      <c r="B83" s="32" t="inlineStr">
        <is>
          <t>Component / Book Title</t>
        </is>
      </c>
      <c r="C83" s="29" t="n"/>
      <c r="D83" s="32" t="inlineStr">
        <is>
          <t>Total Units
in Component</t>
        </is>
      </c>
      <c r="E83" s="32" t="inlineStr">
        <is>
          <t>Cumulative
Units</t>
        </is>
      </c>
      <c r="F83" s="32" t="inlineStr">
        <is>
          <t>Start
Week</t>
        </is>
      </c>
      <c r="G83" s="32" t="inlineStr">
        <is>
          <t>End
Week</t>
        </is>
      </c>
      <c r="H83" s="32" t="inlineStr">
        <is>
          <t>Start
Date</t>
        </is>
      </c>
      <c r="I83" s="32" t="inlineStr">
        <is>
          <t>End
Date</t>
        </is>
      </c>
      <c r="J83" s="32" t="inlineStr">
        <is>
          <t>Complete?</t>
        </is>
      </c>
    </row>
    <row r="84" ht="18" customHeight="1">
      <c r="A84" s="33" t="n">
        <v>1</v>
      </c>
      <c r="B84" s="27" t="n"/>
      <c r="D84" s="34" t="n"/>
      <c r="E84" s="30">
        <f>IFERROR(SUM(D84:D84),"")</f>
        <v/>
      </c>
      <c r="F84" s="30">
        <f>IF(D84="","",1)</f>
        <v/>
      </c>
      <c r="G84" s="30">
        <f>IFERROR(IF(D84="","",CEILING(E84/F81,1)),"")</f>
        <v/>
      </c>
      <c r="H84" s="30">
        <f>IFERROR(IF(D84="","",TEXT('Getting Started'!B7+(F84-1)*7,"MMM D")),"")</f>
        <v/>
      </c>
      <c r="I84" s="30">
        <f>IFERROR(IF(D84="","",TEXT('Getting Started'!B7+(G84)*7,"MMM D")),"")</f>
        <v/>
      </c>
      <c r="J84" s="34" t="n"/>
    </row>
    <row r="85" ht="18" customHeight="1">
      <c r="A85" s="33" t="n">
        <v>2</v>
      </c>
      <c r="B85" s="35" t="n"/>
      <c r="D85" s="36" t="n"/>
      <c r="E85" s="30">
        <f>IFERROR(SUM(D84:D85),"")</f>
        <v/>
      </c>
      <c r="F85" s="30">
        <f>IFERROR(IF(D85="","",FLOOR(E84/F81,1)+1),"")</f>
        <v/>
      </c>
      <c r="G85" s="30">
        <f>IFERROR(IF(D85="","",CEILING(E85/F81,1)),"")</f>
        <v/>
      </c>
      <c r="H85" s="30">
        <f>IFERROR(IF(D85="","",TEXT('Getting Started'!B7+(F85-1)*7,"MMM D")),"")</f>
        <v/>
      </c>
      <c r="I85" s="30">
        <f>IFERROR(IF(D85="","",TEXT('Getting Started'!B7+(G85)*7,"MMM D")),"")</f>
        <v/>
      </c>
      <c r="J85" s="34" t="n"/>
    </row>
    <row r="86" ht="18" customHeight="1">
      <c r="A86" s="33" t="n">
        <v>3</v>
      </c>
      <c r="B86" s="27" t="n"/>
      <c r="D86" s="34" t="n"/>
      <c r="E86" s="30">
        <f>IFERROR(SUM(D84:D86),"")</f>
        <v/>
      </c>
      <c r="F86" s="30">
        <f>IFERROR(IF(D86="","",FLOOR(E85/F81,1)+1),"")</f>
        <v/>
      </c>
      <c r="G86" s="30">
        <f>IFERROR(IF(D86="","",CEILING(E86/F81,1)),"")</f>
        <v/>
      </c>
      <c r="H86" s="30">
        <f>IFERROR(IF(D86="","",TEXT('Getting Started'!B7+(F86-1)*7,"MMM D")),"")</f>
        <v/>
      </c>
      <c r="I86" s="30">
        <f>IFERROR(IF(D86="","",TEXT('Getting Started'!B7+(G86)*7,"MMM D")),"")</f>
        <v/>
      </c>
      <c r="J86" s="34" t="n"/>
    </row>
    <row r="87" ht="18" customHeight="1">
      <c r="A87" s="33" t="n">
        <v>4</v>
      </c>
      <c r="B87" s="35" t="n"/>
      <c r="D87" s="36" t="n"/>
      <c r="E87" s="30">
        <f>IFERROR(SUM(D84:D87),"")</f>
        <v/>
      </c>
      <c r="F87" s="30">
        <f>IFERROR(IF(D87="","",FLOOR(E86/F81,1)+1),"")</f>
        <v/>
      </c>
      <c r="G87" s="30">
        <f>IFERROR(IF(D87="","",CEILING(E87/F81,1)),"")</f>
        <v/>
      </c>
      <c r="H87" s="30">
        <f>IFERROR(IF(D87="","",TEXT('Getting Started'!B7+(F87-1)*7,"MMM D")),"")</f>
        <v/>
      </c>
      <c r="I87" s="30">
        <f>IFERROR(IF(D87="","",TEXT('Getting Started'!B7+(G87)*7,"MMM D")),"")</f>
        <v/>
      </c>
      <c r="J87" s="34" t="n"/>
    </row>
    <row r="88" ht="18" customHeight="1">
      <c r="A88" s="33" t="n">
        <v>5</v>
      </c>
      <c r="B88" s="27" t="n"/>
      <c r="D88" s="34" t="n"/>
      <c r="E88" s="30">
        <f>IFERROR(SUM(D84:D88),"")</f>
        <v/>
      </c>
      <c r="F88" s="30">
        <f>IFERROR(IF(D88="","",FLOOR(E87/F81,1)+1),"")</f>
        <v/>
      </c>
      <c r="G88" s="30">
        <f>IFERROR(IF(D88="","",CEILING(E88/F81,1)),"")</f>
        <v/>
      </c>
      <c r="H88" s="30">
        <f>IFERROR(IF(D88="","",TEXT('Getting Started'!B7+(F88-1)*7,"MMM D")),"")</f>
        <v/>
      </c>
      <c r="I88" s="30">
        <f>IFERROR(IF(D88="","",TEXT('Getting Started'!B7+(G88)*7,"MMM D")),"")</f>
        <v/>
      </c>
      <c r="J88" s="34" t="n"/>
    </row>
    <row r="89" ht="18" customHeight="1">
      <c r="A89" s="33" t="n">
        <v>6</v>
      </c>
      <c r="B89" s="35" t="n"/>
      <c r="D89" s="36" t="n"/>
      <c r="E89" s="30">
        <f>IFERROR(SUM(D84:D89),"")</f>
        <v/>
      </c>
      <c r="F89" s="30">
        <f>IFERROR(IF(D89="","",FLOOR(E88/F81,1)+1),"")</f>
        <v/>
      </c>
      <c r="G89" s="30">
        <f>IFERROR(IF(D89="","",CEILING(E89/F81,1)),"")</f>
        <v/>
      </c>
      <c r="H89" s="30">
        <f>IFERROR(IF(D89="","",TEXT('Getting Started'!B7+(F89-1)*7,"MMM D")),"")</f>
        <v/>
      </c>
      <c r="I89" s="30">
        <f>IFERROR(IF(D89="","",TEXT('Getting Started'!B7+(G89)*7,"MMM D")),"")</f>
        <v/>
      </c>
      <c r="J89" s="34" t="n"/>
    </row>
    <row r="90" ht="20" customHeight="1">
      <c r="A90" s="49" t="inlineStr">
        <is>
          <t>Notes:</t>
        </is>
      </c>
      <c r="B90" s="37" t="n"/>
    </row>
    <row r="91" ht="24" customHeight="1">
      <c r="A91" s="50" t="inlineStr">
        <is>
          <t xml:space="preserve">  HEALTH</t>
        </is>
      </c>
    </row>
    <row r="92" ht="20" customHeight="1">
      <c r="A92" s="51" t="inlineStr">
        <is>
          <t>Curriculum / Title:</t>
        </is>
      </c>
      <c r="B92" s="27" t="n"/>
      <c r="F92" s="51" t="inlineStr">
        <is>
          <t>Unit type:</t>
        </is>
      </c>
      <c r="G92" s="27" t="inlineStr">
        <is>
          <t>pages</t>
        </is>
      </c>
      <c r="I92" s="28" t="inlineStr">
        <is>
          <t>← type: pages, lessons, chapters…</t>
        </is>
      </c>
      <c r="J92" s="29" t="n"/>
    </row>
    <row r="93" ht="22" customHeight="1">
      <c r="A93" s="51" t="inlineStr">
        <is>
          <t>Total Units:</t>
        </is>
      </c>
      <c r="B93" s="27" t="n"/>
      <c r="C93" s="51" t="inlineStr">
        <is>
          <t>School Weeks:</t>
        </is>
      </c>
      <c r="D93" s="30">
        <f>'Getting Started'!B9</f>
        <v/>
      </c>
      <c r="E93" s="51" t="inlineStr">
        <is>
          <t>Units / Week:</t>
        </is>
      </c>
      <c r="F93" s="12">
        <f>IFERROR(IF(B93="","",ROUND(B93/D93,1)),"")</f>
        <v/>
      </c>
      <c r="G93" s="51" t="inlineStr">
        <is>
          <t>Units / Day:</t>
        </is>
      </c>
      <c r="H93" s="12">
        <f>IFERROR(IF(F93="","",ROUND(F93/'Getting Started'!B10,1)),"")</f>
        <v/>
      </c>
      <c r="I93" s="51" t="inlineStr">
        <is>
          <t>Est. End Date:</t>
        </is>
      </c>
      <c r="J93" s="12">
        <f>IFERROR(IF(B93="","",TEXT('Getting Started'!B7+(B93/'Getting Started'!B10),"MMM D, YYYY")),"")</f>
        <v/>
      </c>
    </row>
    <row r="94" ht="18" customHeight="1">
      <c r="A94" s="31" t="inlineStr">
        <is>
          <t xml:space="preserve">  Optional: Component / Volume Breakdown  (fill in if curriculum has multiple books or parts)</t>
        </is>
      </c>
    </row>
    <row r="95" ht="18" customHeight="1">
      <c r="A95" s="32" t="inlineStr">
        <is>
          <t>#</t>
        </is>
      </c>
      <c r="B95" s="32" t="inlineStr">
        <is>
          <t>Component / Book Title</t>
        </is>
      </c>
      <c r="C95" s="29" t="n"/>
      <c r="D95" s="32" t="inlineStr">
        <is>
          <t>Total Units
in Component</t>
        </is>
      </c>
      <c r="E95" s="32" t="inlineStr">
        <is>
          <t>Cumulative
Units</t>
        </is>
      </c>
      <c r="F95" s="32" t="inlineStr">
        <is>
          <t>Start
Week</t>
        </is>
      </c>
      <c r="G95" s="32" t="inlineStr">
        <is>
          <t>End
Week</t>
        </is>
      </c>
      <c r="H95" s="32" t="inlineStr">
        <is>
          <t>Start
Date</t>
        </is>
      </c>
      <c r="I95" s="32" t="inlineStr">
        <is>
          <t>End
Date</t>
        </is>
      </c>
      <c r="J95" s="32" t="inlineStr">
        <is>
          <t>Complete?</t>
        </is>
      </c>
    </row>
    <row r="96" ht="18" customHeight="1">
      <c r="A96" s="33" t="n">
        <v>1</v>
      </c>
      <c r="B96" s="27" t="n"/>
      <c r="D96" s="34" t="n"/>
      <c r="E96" s="30">
        <f>IFERROR(SUM(D96:D96),"")</f>
        <v/>
      </c>
      <c r="F96" s="30">
        <f>IF(D96="","",1)</f>
        <v/>
      </c>
      <c r="G96" s="30">
        <f>IFERROR(IF(D96="","",CEILING(E96/F93,1)),"")</f>
        <v/>
      </c>
      <c r="H96" s="30">
        <f>IFERROR(IF(D96="","",TEXT('Getting Started'!B7+(F96-1)*7,"MMM D")),"")</f>
        <v/>
      </c>
      <c r="I96" s="30">
        <f>IFERROR(IF(D96="","",TEXT('Getting Started'!B7+(G96)*7,"MMM D")),"")</f>
        <v/>
      </c>
      <c r="J96" s="34" t="n"/>
    </row>
    <row r="97" ht="18" customHeight="1">
      <c r="A97" s="33" t="n">
        <v>2</v>
      </c>
      <c r="B97" s="35" t="n"/>
      <c r="D97" s="36" t="n"/>
      <c r="E97" s="30">
        <f>IFERROR(SUM(D96:D97),"")</f>
        <v/>
      </c>
      <c r="F97" s="30">
        <f>IFERROR(IF(D97="","",FLOOR(E96/F93,1)+1),"")</f>
        <v/>
      </c>
      <c r="G97" s="30">
        <f>IFERROR(IF(D97="","",CEILING(E97/F93,1)),"")</f>
        <v/>
      </c>
      <c r="H97" s="30">
        <f>IFERROR(IF(D97="","",TEXT('Getting Started'!B7+(F97-1)*7,"MMM D")),"")</f>
        <v/>
      </c>
      <c r="I97" s="30">
        <f>IFERROR(IF(D97="","",TEXT('Getting Started'!B7+(G97)*7,"MMM D")),"")</f>
        <v/>
      </c>
      <c r="J97" s="34" t="n"/>
    </row>
    <row r="98" ht="18" customHeight="1">
      <c r="A98" s="33" t="n">
        <v>3</v>
      </c>
      <c r="B98" s="27" t="n"/>
      <c r="D98" s="34" t="n"/>
      <c r="E98" s="30">
        <f>IFERROR(SUM(D96:D98),"")</f>
        <v/>
      </c>
      <c r="F98" s="30">
        <f>IFERROR(IF(D98="","",FLOOR(E97/F93,1)+1),"")</f>
        <v/>
      </c>
      <c r="G98" s="30">
        <f>IFERROR(IF(D98="","",CEILING(E98/F93,1)),"")</f>
        <v/>
      </c>
      <c r="H98" s="30">
        <f>IFERROR(IF(D98="","",TEXT('Getting Started'!B7+(F98-1)*7,"MMM D")),"")</f>
        <v/>
      </c>
      <c r="I98" s="30">
        <f>IFERROR(IF(D98="","",TEXT('Getting Started'!B7+(G98)*7,"MMM D")),"")</f>
        <v/>
      </c>
      <c r="J98" s="34" t="n"/>
    </row>
    <row r="99" ht="18" customHeight="1">
      <c r="A99" s="33" t="n">
        <v>4</v>
      </c>
      <c r="B99" s="35" t="n"/>
      <c r="D99" s="36" t="n"/>
      <c r="E99" s="30">
        <f>IFERROR(SUM(D96:D99),"")</f>
        <v/>
      </c>
      <c r="F99" s="30">
        <f>IFERROR(IF(D99="","",FLOOR(E98/F93,1)+1),"")</f>
        <v/>
      </c>
      <c r="G99" s="30">
        <f>IFERROR(IF(D99="","",CEILING(E99/F93,1)),"")</f>
        <v/>
      </c>
      <c r="H99" s="30">
        <f>IFERROR(IF(D99="","",TEXT('Getting Started'!B7+(F99-1)*7,"MMM D")),"")</f>
        <v/>
      </c>
      <c r="I99" s="30">
        <f>IFERROR(IF(D99="","",TEXT('Getting Started'!B7+(G99)*7,"MMM D")),"")</f>
        <v/>
      </c>
      <c r="J99" s="34" t="n"/>
    </row>
    <row r="100" ht="18" customHeight="1">
      <c r="A100" s="33" t="n">
        <v>5</v>
      </c>
      <c r="B100" s="27" t="n"/>
      <c r="D100" s="34" t="n"/>
      <c r="E100" s="30">
        <f>IFERROR(SUM(D96:D100),"")</f>
        <v/>
      </c>
      <c r="F100" s="30">
        <f>IFERROR(IF(D100="","",FLOOR(E99/F93,1)+1),"")</f>
        <v/>
      </c>
      <c r="G100" s="30">
        <f>IFERROR(IF(D100="","",CEILING(E100/F93,1)),"")</f>
        <v/>
      </c>
      <c r="H100" s="30">
        <f>IFERROR(IF(D100="","",TEXT('Getting Started'!B7+(F100-1)*7,"MMM D")),"")</f>
        <v/>
      </c>
      <c r="I100" s="30">
        <f>IFERROR(IF(D100="","",TEXT('Getting Started'!B7+(G100)*7,"MMM D")),"")</f>
        <v/>
      </c>
      <c r="J100" s="34" t="n"/>
    </row>
    <row r="101" ht="18" customHeight="1">
      <c r="A101" s="33" t="n">
        <v>6</v>
      </c>
      <c r="B101" s="35" t="n"/>
      <c r="D101" s="36" t="n"/>
      <c r="E101" s="30">
        <f>IFERROR(SUM(D96:D101),"")</f>
        <v/>
      </c>
      <c r="F101" s="30">
        <f>IFERROR(IF(D101="","",FLOOR(E100/F93,1)+1),"")</f>
        <v/>
      </c>
      <c r="G101" s="30">
        <f>IFERROR(IF(D101="","",CEILING(E101/F93,1)),"")</f>
        <v/>
      </c>
      <c r="H101" s="30">
        <f>IFERROR(IF(D101="","",TEXT('Getting Started'!B7+(F101-1)*7,"MMM D")),"")</f>
        <v/>
      </c>
      <c r="I101" s="30">
        <f>IFERROR(IF(D101="","",TEXT('Getting Started'!B7+(G101)*7,"MMM D")),"")</f>
        <v/>
      </c>
      <c r="J101" s="34" t="n"/>
    </row>
    <row r="102" ht="20" customHeight="1">
      <c r="A102" s="51" t="inlineStr">
        <is>
          <t>Notes:</t>
        </is>
      </c>
      <c r="B102" s="37" t="n"/>
    </row>
    <row r="103" ht="24" customHeight="1">
      <c r="A103" s="52" t="inlineStr">
        <is>
          <t xml:space="preserve">  PHYSICAL EDUCATION</t>
        </is>
      </c>
    </row>
    <row r="104" ht="20" customHeight="1">
      <c r="A104" s="53" t="inlineStr">
        <is>
          <t>Curriculum / Title:</t>
        </is>
      </c>
      <c r="B104" s="27" t="n"/>
      <c r="F104" s="53" t="inlineStr">
        <is>
          <t>Unit type:</t>
        </is>
      </c>
      <c r="G104" s="27" t="inlineStr">
        <is>
          <t>pages</t>
        </is>
      </c>
      <c r="I104" s="28" t="inlineStr">
        <is>
          <t>← type: pages, lessons, chapters…</t>
        </is>
      </c>
      <c r="J104" s="29" t="n"/>
    </row>
    <row r="105" ht="22" customHeight="1">
      <c r="A105" s="53" t="inlineStr">
        <is>
          <t>Total Units:</t>
        </is>
      </c>
      <c r="B105" s="27" t="n"/>
      <c r="C105" s="53" t="inlineStr">
        <is>
          <t>School Weeks:</t>
        </is>
      </c>
      <c r="D105" s="30">
        <f>'Getting Started'!B9</f>
        <v/>
      </c>
      <c r="E105" s="53" t="inlineStr">
        <is>
          <t>Units / Week:</t>
        </is>
      </c>
      <c r="F105" s="12">
        <f>IFERROR(IF(B105="","",ROUND(B105/D105,1)),"")</f>
        <v/>
      </c>
      <c r="G105" s="53" t="inlineStr">
        <is>
          <t>Units / Day:</t>
        </is>
      </c>
      <c r="H105" s="12">
        <f>IFERROR(IF(F105="","",ROUND(F105/'Getting Started'!B10,1)),"")</f>
        <v/>
      </c>
      <c r="I105" s="53" t="inlineStr">
        <is>
          <t>Est. End Date:</t>
        </is>
      </c>
      <c r="J105" s="12">
        <f>IFERROR(IF(B105="","",TEXT('Getting Started'!B7+(B105/'Getting Started'!B10),"MMM D, YYYY")),"")</f>
        <v/>
      </c>
    </row>
    <row r="106" ht="18" customHeight="1">
      <c r="A106" s="31" t="inlineStr">
        <is>
          <t xml:space="preserve">  Optional: Component / Volume Breakdown  (fill in if curriculum has multiple books or parts)</t>
        </is>
      </c>
    </row>
    <row r="107" ht="18" customHeight="1">
      <c r="A107" s="32" t="inlineStr">
        <is>
          <t>#</t>
        </is>
      </c>
      <c r="B107" s="32" t="inlineStr">
        <is>
          <t>Component / Book Title</t>
        </is>
      </c>
      <c r="C107" s="29" t="n"/>
      <c r="D107" s="32" t="inlineStr">
        <is>
          <t>Total Units
in Component</t>
        </is>
      </c>
      <c r="E107" s="32" t="inlineStr">
        <is>
          <t>Cumulative
Units</t>
        </is>
      </c>
      <c r="F107" s="32" t="inlineStr">
        <is>
          <t>Start
Week</t>
        </is>
      </c>
      <c r="G107" s="32" t="inlineStr">
        <is>
          <t>End
Week</t>
        </is>
      </c>
      <c r="H107" s="32" t="inlineStr">
        <is>
          <t>Start
Date</t>
        </is>
      </c>
      <c r="I107" s="32" t="inlineStr">
        <is>
          <t>End
Date</t>
        </is>
      </c>
      <c r="J107" s="32" t="inlineStr">
        <is>
          <t>Complete?</t>
        </is>
      </c>
    </row>
    <row r="108" ht="18" customHeight="1">
      <c r="A108" s="33" t="n">
        <v>1</v>
      </c>
      <c r="B108" s="27" t="n"/>
      <c r="D108" s="34" t="n"/>
      <c r="E108" s="30">
        <f>IFERROR(SUM(D108:D108),"")</f>
        <v/>
      </c>
      <c r="F108" s="30">
        <f>IF(D108="","",1)</f>
        <v/>
      </c>
      <c r="G108" s="30">
        <f>IFERROR(IF(D108="","",CEILING(E108/F105,1)),"")</f>
        <v/>
      </c>
      <c r="H108" s="30">
        <f>IFERROR(IF(D108="","",TEXT('Getting Started'!B7+(F108-1)*7,"MMM D")),"")</f>
        <v/>
      </c>
      <c r="I108" s="30">
        <f>IFERROR(IF(D108="","",TEXT('Getting Started'!B7+(G108)*7,"MMM D")),"")</f>
        <v/>
      </c>
      <c r="J108" s="34" t="n"/>
    </row>
    <row r="109" ht="18" customHeight="1">
      <c r="A109" s="33" t="n">
        <v>2</v>
      </c>
      <c r="B109" s="35" t="n"/>
      <c r="D109" s="36" t="n"/>
      <c r="E109" s="30">
        <f>IFERROR(SUM(D108:D109),"")</f>
        <v/>
      </c>
      <c r="F109" s="30">
        <f>IFERROR(IF(D109="","",FLOOR(E108/F105,1)+1),"")</f>
        <v/>
      </c>
      <c r="G109" s="30">
        <f>IFERROR(IF(D109="","",CEILING(E109/F105,1)),"")</f>
        <v/>
      </c>
      <c r="H109" s="30">
        <f>IFERROR(IF(D109="","",TEXT('Getting Started'!B7+(F109-1)*7,"MMM D")),"")</f>
        <v/>
      </c>
      <c r="I109" s="30">
        <f>IFERROR(IF(D109="","",TEXT('Getting Started'!B7+(G109)*7,"MMM D")),"")</f>
        <v/>
      </c>
      <c r="J109" s="34" t="n"/>
    </row>
    <row r="110" ht="18" customHeight="1">
      <c r="A110" s="33" t="n">
        <v>3</v>
      </c>
      <c r="B110" s="27" t="n"/>
      <c r="D110" s="34" t="n"/>
      <c r="E110" s="30">
        <f>IFERROR(SUM(D108:D110),"")</f>
        <v/>
      </c>
      <c r="F110" s="30">
        <f>IFERROR(IF(D110="","",FLOOR(E109/F105,1)+1),"")</f>
        <v/>
      </c>
      <c r="G110" s="30">
        <f>IFERROR(IF(D110="","",CEILING(E110/F105,1)),"")</f>
        <v/>
      </c>
      <c r="H110" s="30">
        <f>IFERROR(IF(D110="","",TEXT('Getting Started'!B7+(F110-1)*7,"MMM D")),"")</f>
        <v/>
      </c>
      <c r="I110" s="30">
        <f>IFERROR(IF(D110="","",TEXT('Getting Started'!B7+(G110)*7,"MMM D")),"")</f>
        <v/>
      </c>
      <c r="J110" s="34" t="n"/>
    </row>
    <row r="111" ht="18" customHeight="1">
      <c r="A111" s="33" t="n">
        <v>4</v>
      </c>
      <c r="B111" s="35" t="n"/>
      <c r="D111" s="36" t="n"/>
      <c r="E111" s="30">
        <f>IFERROR(SUM(D108:D111),"")</f>
        <v/>
      </c>
      <c r="F111" s="30">
        <f>IFERROR(IF(D111="","",FLOOR(E110/F105,1)+1),"")</f>
        <v/>
      </c>
      <c r="G111" s="30">
        <f>IFERROR(IF(D111="","",CEILING(E111/F105,1)),"")</f>
        <v/>
      </c>
      <c r="H111" s="30">
        <f>IFERROR(IF(D111="","",TEXT('Getting Started'!B7+(F111-1)*7,"MMM D")),"")</f>
        <v/>
      </c>
      <c r="I111" s="30">
        <f>IFERROR(IF(D111="","",TEXT('Getting Started'!B7+(G111)*7,"MMM D")),"")</f>
        <v/>
      </c>
      <c r="J111" s="34" t="n"/>
    </row>
    <row r="112" ht="18" customHeight="1">
      <c r="A112" s="33" t="n">
        <v>5</v>
      </c>
      <c r="B112" s="27" t="n"/>
      <c r="D112" s="34" t="n"/>
      <c r="E112" s="30">
        <f>IFERROR(SUM(D108:D112),"")</f>
        <v/>
      </c>
      <c r="F112" s="30">
        <f>IFERROR(IF(D112="","",FLOOR(E111/F105,1)+1),"")</f>
        <v/>
      </c>
      <c r="G112" s="30">
        <f>IFERROR(IF(D112="","",CEILING(E112/F105,1)),"")</f>
        <v/>
      </c>
      <c r="H112" s="30">
        <f>IFERROR(IF(D112="","",TEXT('Getting Started'!B7+(F112-1)*7,"MMM D")),"")</f>
        <v/>
      </c>
      <c r="I112" s="30">
        <f>IFERROR(IF(D112="","",TEXT('Getting Started'!B7+(G112)*7,"MMM D")),"")</f>
        <v/>
      </c>
      <c r="J112" s="34" t="n"/>
    </row>
    <row r="113" ht="18" customHeight="1">
      <c r="A113" s="33" t="n">
        <v>6</v>
      </c>
      <c r="B113" s="35" t="n"/>
      <c r="D113" s="36" t="n"/>
      <c r="E113" s="30">
        <f>IFERROR(SUM(D108:D113),"")</f>
        <v/>
      </c>
      <c r="F113" s="30">
        <f>IFERROR(IF(D113="","",FLOOR(E112/F105,1)+1),"")</f>
        <v/>
      </c>
      <c r="G113" s="30">
        <f>IFERROR(IF(D113="","",CEILING(E113/F105,1)),"")</f>
        <v/>
      </c>
      <c r="H113" s="30">
        <f>IFERROR(IF(D113="","",TEXT('Getting Started'!B7+(F113-1)*7,"MMM D")),"")</f>
        <v/>
      </c>
      <c r="I113" s="30">
        <f>IFERROR(IF(D113="","",TEXT('Getting Started'!B7+(G113)*7,"MMM D")),"")</f>
        <v/>
      </c>
      <c r="J113" s="34" t="n"/>
    </row>
    <row r="114" ht="20" customHeight="1">
      <c r="A114" s="53" t="inlineStr">
        <is>
          <t>Notes:</t>
        </is>
      </c>
      <c r="B114" s="37" t="n"/>
    </row>
    <row r="115" ht="24" customHeight="1">
      <c r="A115" s="54" t="inlineStr">
        <is>
          <t xml:space="preserve">  ART / MUSIC</t>
        </is>
      </c>
    </row>
    <row r="116" ht="20" customHeight="1">
      <c r="A116" s="55" t="inlineStr">
        <is>
          <t>Curriculum / Title:</t>
        </is>
      </c>
      <c r="B116" s="27" t="n"/>
      <c r="F116" s="55" t="inlineStr">
        <is>
          <t>Unit type:</t>
        </is>
      </c>
      <c r="G116" s="27" t="inlineStr">
        <is>
          <t>pages</t>
        </is>
      </c>
      <c r="I116" s="28" t="inlineStr">
        <is>
          <t>← type: pages, lessons, chapters…</t>
        </is>
      </c>
      <c r="J116" s="29" t="n"/>
    </row>
    <row r="117" ht="22" customHeight="1">
      <c r="A117" s="55" t="inlineStr">
        <is>
          <t>Total Units:</t>
        </is>
      </c>
      <c r="B117" s="27" t="n"/>
      <c r="C117" s="55" t="inlineStr">
        <is>
          <t>School Weeks:</t>
        </is>
      </c>
      <c r="D117" s="30">
        <f>'Getting Started'!B9</f>
        <v/>
      </c>
      <c r="E117" s="55" t="inlineStr">
        <is>
          <t>Units / Week:</t>
        </is>
      </c>
      <c r="F117" s="12">
        <f>IFERROR(IF(B117="","",ROUND(B117/D117,1)),"")</f>
        <v/>
      </c>
      <c r="G117" s="55" t="inlineStr">
        <is>
          <t>Units / Day:</t>
        </is>
      </c>
      <c r="H117" s="12">
        <f>IFERROR(IF(F117="","",ROUND(F117/'Getting Started'!B10,1)),"")</f>
        <v/>
      </c>
      <c r="I117" s="55" t="inlineStr">
        <is>
          <t>Est. End Date:</t>
        </is>
      </c>
      <c r="J117" s="12">
        <f>IFERROR(IF(B117="","",TEXT('Getting Started'!B7+(B117/'Getting Started'!B10),"MMM D, YYYY")),"")</f>
        <v/>
      </c>
    </row>
    <row r="118" ht="18" customHeight="1">
      <c r="A118" s="31" t="inlineStr">
        <is>
          <t xml:space="preserve">  Optional: Component / Volume Breakdown  (fill in if curriculum has multiple books or parts)</t>
        </is>
      </c>
    </row>
    <row r="119" ht="18" customHeight="1">
      <c r="A119" s="32" t="inlineStr">
        <is>
          <t>#</t>
        </is>
      </c>
      <c r="B119" s="32" t="inlineStr">
        <is>
          <t>Component / Book Title</t>
        </is>
      </c>
      <c r="C119" s="29" t="n"/>
      <c r="D119" s="32" t="inlineStr">
        <is>
          <t>Total Units
in Component</t>
        </is>
      </c>
      <c r="E119" s="32" t="inlineStr">
        <is>
          <t>Cumulative
Units</t>
        </is>
      </c>
      <c r="F119" s="32" t="inlineStr">
        <is>
          <t>Start
Week</t>
        </is>
      </c>
      <c r="G119" s="32" t="inlineStr">
        <is>
          <t>End
Week</t>
        </is>
      </c>
      <c r="H119" s="32" t="inlineStr">
        <is>
          <t>Start
Date</t>
        </is>
      </c>
      <c r="I119" s="32" t="inlineStr">
        <is>
          <t>End
Date</t>
        </is>
      </c>
      <c r="J119" s="32" t="inlineStr">
        <is>
          <t>Complete?</t>
        </is>
      </c>
    </row>
    <row r="120" ht="18" customHeight="1">
      <c r="A120" s="33" t="n">
        <v>1</v>
      </c>
      <c r="B120" s="27" t="n"/>
      <c r="D120" s="34" t="n"/>
      <c r="E120" s="30">
        <f>IFERROR(SUM(D120:D120),"")</f>
        <v/>
      </c>
      <c r="F120" s="30">
        <f>IF(D120="","",1)</f>
        <v/>
      </c>
      <c r="G120" s="30">
        <f>IFERROR(IF(D120="","",CEILING(E120/F117,1)),"")</f>
        <v/>
      </c>
      <c r="H120" s="30">
        <f>IFERROR(IF(D120="","",TEXT('Getting Started'!B7+(F120-1)*7,"MMM D")),"")</f>
        <v/>
      </c>
      <c r="I120" s="30">
        <f>IFERROR(IF(D120="","",TEXT('Getting Started'!B7+(G120)*7,"MMM D")),"")</f>
        <v/>
      </c>
      <c r="J120" s="34" t="n"/>
    </row>
    <row r="121" ht="18" customHeight="1">
      <c r="A121" s="33" t="n">
        <v>2</v>
      </c>
      <c r="B121" s="35" t="n"/>
      <c r="D121" s="36" t="n"/>
      <c r="E121" s="30">
        <f>IFERROR(SUM(D120:D121),"")</f>
        <v/>
      </c>
      <c r="F121" s="30">
        <f>IFERROR(IF(D121="","",FLOOR(E120/F117,1)+1),"")</f>
        <v/>
      </c>
      <c r="G121" s="30">
        <f>IFERROR(IF(D121="","",CEILING(E121/F117,1)),"")</f>
        <v/>
      </c>
      <c r="H121" s="30">
        <f>IFERROR(IF(D121="","",TEXT('Getting Started'!B7+(F121-1)*7,"MMM D")),"")</f>
        <v/>
      </c>
      <c r="I121" s="30">
        <f>IFERROR(IF(D121="","",TEXT('Getting Started'!B7+(G121)*7,"MMM D")),"")</f>
        <v/>
      </c>
      <c r="J121" s="34" t="n"/>
    </row>
    <row r="122" ht="18" customHeight="1">
      <c r="A122" s="33" t="n">
        <v>3</v>
      </c>
      <c r="B122" s="27" t="n"/>
      <c r="D122" s="34" t="n"/>
      <c r="E122" s="30">
        <f>IFERROR(SUM(D120:D122),"")</f>
        <v/>
      </c>
      <c r="F122" s="30">
        <f>IFERROR(IF(D122="","",FLOOR(E121/F117,1)+1),"")</f>
        <v/>
      </c>
      <c r="G122" s="30">
        <f>IFERROR(IF(D122="","",CEILING(E122/F117,1)),"")</f>
        <v/>
      </c>
      <c r="H122" s="30">
        <f>IFERROR(IF(D122="","",TEXT('Getting Started'!B7+(F122-1)*7,"MMM D")),"")</f>
        <v/>
      </c>
      <c r="I122" s="30">
        <f>IFERROR(IF(D122="","",TEXT('Getting Started'!B7+(G122)*7,"MMM D")),"")</f>
        <v/>
      </c>
      <c r="J122" s="34" t="n"/>
    </row>
    <row r="123" ht="18" customHeight="1">
      <c r="A123" s="33" t="n">
        <v>4</v>
      </c>
      <c r="B123" s="35" t="n"/>
      <c r="D123" s="36" t="n"/>
      <c r="E123" s="30">
        <f>IFERROR(SUM(D120:D123),"")</f>
        <v/>
      </c>
      <c r="F123" s="30">
        <f>IFERROR(IF(D123="","",FLOOR(E122/F117,1)+1),"")</f>
        <v/>
      </c>
      <c r="G123" s="30">
        <f>IFERROR(IF(D123="","",CEILING(E123/F117,1)),"")</f>
        <v/>
      </c>
      <c r="H123" s="30">
        <f>IFERROR(IF(D123="","",TEXT('Getting Started'!B7+(F123-1)*7,"MMM D")),"")</f>
        <v/>
      </c>
      <c r="I123" s="30">
        <f>IFERROR(IF(D123="","",TEXT('Getting Started'!B7+(G123)*7,"MMM D")),"")</f>
        <v/>
      </c>
      <c r="J123" s="34" t="n"/>
    </row>
    <row r="124" ht="18" customHeight="1">
      <c r="A124" s="33" t="n">
        <v>5</v>
      </c>
      <c r="B124" s="27" t="n"/>
      <c r="D124" s="34" t="n"/>
      <c r="E124" s="30">
        <f>IFERROR(SUM(D120:D124),"")</f>
        <v/>
      </c>
      <c r="F124" s="30">
        <f>IFERROR(IF(D124="","",FLOOR(E123/F117,1)+1),"")</f>
        <v/>
      </c>
      <c r="G124" s="30">
        <f>IFERROR(IF(D124="","",CEILING(E124/F117,1)),"")</f>
        <v/>
      </c>
      <c r="H124" s="30">
        <f>IFERROR(IF(D124="","",TEXT('Getting Started'!B7+(F124-1)*7,"MMM D")),"")</f>
        <v/>
      </c>
      <c r="I124" s="30">
        <f>IFERROR(IF(D124="","",TEXT('Getting Started'!B7+(G124)*7,"MMM D")),"")</f>
        <v/>
      </c>
      <c r="J124" s="34" t="n"/>
    </row>
    <row r="125" ht="18" customHeight="1">
      <c r="A125" s="33" t="n">
        <v>6</v>
      </c>
      <c r="B125" s="35" t="n"/>
      <c r="D125" s="36" t="n"/>
      <c r="E125" s="30">
        <f>IFERROR(SUM(D120:D125),"")</f>
        <v/>
      </c>
      <c r="F125" s="30">
        <f>IFERROR(IF(D125="","",FLOOR(E124/F117,1)+1),"")</f>
        <v/>
      </c>
      <c r="G125" s="30">
        <f>IFERROR(IF(D125="","",CEILING(E125/F117,1)),"")</f>
        <v/>
      </c>
      <c r="H125" s="30">
        <f>IFERROR(IF(D125="","",TEXT('Getting Started'!B7+(F125-1)*7,"MMM D")),"")</f>
        <v/>
      </c>
      <c r="I125" s="30">
        <f>IFERROR(IF(D125="","",TEXT('Getting Started'!B7+(G125)*7,"MMM D")),"")</f>
        <v/>
      </c>
      <c r="J125" s="34" t="n"/>
    </row>
    <row r="126" ht="20" customHeight="1">
      <c r="A126" s="55" t="inlineStr">
        <is>
          <t>Notes:</t>
        </is>
      </c>
      <c r="B126" s="37" t="n"/>
    </row>
  </sheetData>
  <mergeCells count="133">
    <mergeCell ref="B100:C100"/>
    <mergeCell ref="I104:J104"/>
    <mergeCell ref="B68:E68"/>
    <mergeCell ref="A91:J91"/>
    <mergeCell ref="A43:J43"/>
    <mergeCell ref="B12:C12"/>
    <mergeCell ref="B77:C77"/>
    <mergeCell ref="B78:J78"/>
    <mergeCell ref="A115:J115"/>
    <mergeCell ref="B86:C86"/>
    <mergeCell ref="B61:C61"/>
    <mergeCell ref="A34:J34"/>
    <mergeCell ref="B101:C101"/>
    <mergeCell ref="B14:C14"/>
    <mergeCell ref="B13:C13"/>
    <mergeCell ref="B38:C38"/>
    <mergeCell ref="G68:H68"/>
    <mergeCell ref="B112:C112"/>
    <mergeCell ref="B40:C40"/>
    <mergeCell ref="B49:C49"/>
    <mergeCell ref="I44:J44"/>
    <mergeCell ref="A118:J118"/>
    <mergeCell ref="G20:H20"/>
    <mergeCell ref="B24:C24"/>
    <mergeCell ref="B64:C64"/>
    <mergeCell ref="I20:J20"/>
    <mergeCell ref="B90:J90"/>
    <mergeCell ref="B51:C51"/>
    <mergeCell ref="B66:J66"/>
    <mergeCell ref="A55:J55"/>
    <mergeCell ref="B18:J18"/>
    <mergeCell ref="G44:H44"/>
    <mergeCell ref="B63:C63"/>
    <mergeCell ref="B26:C26"/>
    <mergeCell ref="B41:C41"/>
    <mergeCell ref="B35:C35"/>
    <mergeCell ref="B16:C16"/>
    <mergeCell ref="B25:C25"/>
    <mergeCell ref="A106:J106"/>
    <mergeCell ref="I80:J80"/>
    <mergeCell ref="A4:J4"/>
    <mergeCell ref="B104:E104"/>
    <mergeCell ref="B27:C27"/>
    <mergeCell ref="B32:E32"/>
    <mergeCell ref="A31:J31"/>
    <mergeCell ref="B11:C11"/>
    <mergeCell ref="A58:J58"/>
    <mergeCell ref="I32:J32"/>
    <mergeCell ref="A67:J67"/>
    <mergeCell ref="A82:J82"/>
    <mergeCell ref="B53:C53"/>
    <mergeCell ref="I56:J56"/>
    <mergeCell ref="B119:C119"/>
    <mergeCell ref="B29:C29"/>
    <mergeCell ref="B37:C37"/>
    <mergeCell ref="G104:H104"/>
    <mergeCell ref="A7:J7"/>
    <mergeCell ref="B84:C84"/>
    <mergeCell ref="I8:J8"/>
    <mergeCell ref="B54:J54"/>
    <mergeCell ref="B15:C15"/>
    <mergeCell ref="B95:C95"/>
    <mergeCell ref="B89:C89"/>
    <mergeCell ref="B116:E116"/>
    <mergeCell ref="A2:J2"/>
    <mergeCell ref="B97:C97"/>
    <mergeCell ref="B125:C125"/>
    <mergeCell ref="B72:C72"/>
    <mergeCell ref="A22:J22"/>
    <mergeCell ref="B42:J42"/>
    <mergeCell ref="B121:C121"/>
    <mergeCell ref="I116:J116"/>
    <mergeCell ref="B80:E80"/>
    <mergeCell ref="B122:C122"/>
    <mergeCell ref="B96:C96"/>
    <mergeCell ref="B71:C71"/>
    <mergeCell ref="B52:C52"/>
    <mergeCell ref="G116:H116"/>
    <mergeCell ref="B120:C120"/>
    <mergeCell ref="B98:C98"/>
    <mergeCell ref="B107:C107"/>
    <mergeCell ref="B60:C60"/>
    <mergeCell ref="B17:C17"/>
    <mergeCell ref="B88:C88"/>
    <mergeCell ref="B30:J30"/>
    <mergeCell ref="B56:E56"/>
    <mergeCell ref="A79:J79"/>
    <mergeCell ref="A70:J70"/>
    <mergeCell ref="B28:C28"/>
    <mergeCell ref="G80:H80"/>
    <mergeCell ref="B99:C99"/>
    <mergeCell ref="B108:C108"/>
    <mergeCell ref="B126:J126"/>
    <mergeCell ref="B83:C83"/>
    <mergeCell ref="B124:C124"/>
    <mergeCell ref="G32:H32"/>
    <mergeCell ref="B76:C76"/>
    <mergeCell ref="B44:E44"/>
    <mergeCell ref="B85:C85"/>
    <mergeCell ref="G56:H56"/>
    <mergeCell ref="B75:C75"/>
    <mergeCell ref="B109:C109"/>
    <mergeCell ref="B47:C47"/>
    <mergeCell ref="B62:C62"/>
    <mergeCell ref="B59:C59"/>
    <mergeCell ref="B92:E92"/>
    <mergeCell ref="B20:E20"/>
    <mergeCell ref="G8:H8"/>
    <mergeCell ref="A10:J10"/>
    <mergeCell ref="A19:J19"/>
    <mergeCell ref="B39:C39"/>
    <mergeCell ref="B48:C48"/>
    <mergeCell ref="B111:C111"/>
    <mergeCell ref="B23:C23"/>
    <mergeCell ref="B73:C73"/>
    <mergeCell ref="A1:J1"/>
    <mergeCell ref="B87:C87"/>
    <mergeCell ref="I68:J68"/>
    <mergeCell ref="A94:J94"/>
    <mergeCell ref="G92:H92"/>
    <mergeCell ref="A103:J103"/>
    <mergeCell ref="B114:J114"/>
    <mergeCell ref="I92:J92"/>
    <mergeCell ref="B65:C65"/>
    <mergeCell ref="B74:C74"/>
    <mergeCell ref="A46:J46"/>
    <mergeCell ref="B8:E8"/>
    <mergeCell ref="B123:C123"/>
    <mergeCell ref="B36:C36"/>
    <mergeCell ref="B102:J102"/>
    <mergeCell ref="B50:C50"/>
    <mergeCell ref="B110:C110"/>
    <mergeCell ref="B113:C11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22B21"/>
    <outlinePr summaryBelow="1" summaryRight="1"/>
    <pageSetUpPr/>
  </sheetPr>
  <dimension ref="A1:J126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44" customHeight="1">
      <c r="A1" s="21">
        <f>'Getting Started'!C17</f>
        <v/>
      </c>
    </row>
    <row r="2" ht="24" customHeight="1">
      <c r="A2" s="22">
        <f>IFERROR("Grade: "&amp;'Getting Started'!G17&amp;"   |   School Year: "&amp;'Getting Started'!C6&amp;"   |   "  &amp;TEXT('Getting Started'!B7,"MMM D, YYYY")&amp;"  –  "&amp;TEXT('Getting Started'!B8,"MMM D, YYYY"),"")</f>
        <v/>
      </c>
    </row>
    <row r="3" ht="8" customHeight="1"/>
    <row r="4" ht="22" customHeight="1">
      <c r="A4" s="23" t="inlineStr">
        <is>
          <t>SCHOOL YEAR OVERVIEW  (from Getting Started)</t>
        </is>
      </c>
    </row>
    <row r="5" ht="20" customHeight="1">
      <c r="B5" s="24" t="inlineStr">
        <is>
          <t>Start Date:</t>
        </is>
      </c>
      <c r="C5" s="12">
        <f>IF('Getting Started'!B7&lt;&gt;"",TEXT('Getting Started'!B7,"MMM D, YYYY"),"")</f>
        <v/>
      </c>
      <c r="D5" s="24" t="inlineStr">
        <is>
          <t>End Date:</t>
        </is>
      </c>
      <c r="E5" s="12">
        <f>IF('Getting Started'!B8&lt;&gt;"",TEXT('Getting Started'!B8,"MMM D, YYYY"),"")</f>
        <v/>
      </c>
      <c r="F5" s="24" t="inlineStr">
        <is>
          <t>Total Weeks:</t>
        </is>
      </c>
      <c r="G5" s="12">
        <f>'Getting Started'!B9</f>
        <v/>
      </c>
      <c r="H5" s="24" t="inlineStr">
        <is>
          <t>Days/Week:</t>
        </is>
      </c>
      <c r="I5" s="12">
        <f>'Getting Started'!B10</f>
        <v/>
      </c>
    </row>
    <row r="7" ht="24" customHeight="1">
      <c r="A7" s="25" t="inlineStr">
        <is>
          <t xml:space="preserve">  BIBLE</t>
        </is>
      </c>
    </row>
    <row r="8" ht="20" customHeight="1">
      <c r="A8" s="26" t="inlineStr">
        <is>
          <t>Curriculum / Title:</t>
        </is>
      </c>
      <c r="B8" s="27" t="n"/>
      <c r="F8" s="26" t="inlineStr">
        <is>
          <t>Unit type:</t>
        </is>
      </c>
      <c r="G8" s="27" t="inlineStr">
        <is>
          <t>pages</t>
        </is>
      </c>
      <c r="I8" s="28" t="inlineStr">
        <is>
          <t>← type: pages, lessons, chapters…</t>
        </is>
      </c>
      <c r="J8" s="29" t="n"/>
    </row>
    <row r="9" ht="22" customHeight="1">
      <c r="A9" s="26" t="inlineStr">
        <is>
          <t>Total Units:</t>
        </is>
      </c>
      <c r="B9" s="27" t="n"/>
      <c r="C9" s="26" t="inlineStr">
        <is>
          <t>School Weeks:</t>
        </is>
      </c>
      <c r="D9" s="30">
        <f>'Getting Started'!B9</f>
        <v/>
      </c>
      <c r="E9" s="26" t="inlineStr">
        <is>
          <t>Units / Week:</t>
        </is>
      </c>
      <c r="F9" s="12">
        <f>IFERROR(IF(B9="","",ROUND(B9/D9,1)),"")</f>
        <v/>
      </c>
      <c r="G9" s="26" t="inlineStr">
        <is>
          <t>Units / Day:</t>
        </is>
      </c>
      <c r="H9" s="12">
        <f>IFERROR(IF(F9="","",ROUND(F9/'Getting Started'!B10,1)),"")</f>
        <v/>
      </c>
      <c r="I9" s="26" t="inlineStr">
        <is>
          <t>Est. End Date:</t>
        </is>
      </c>
      <c r="J9" s="12">
        <f>IFERROR(IF(B9="","",TEXT('Getting Started'!B7+(B9/'Getting Started'!B10),"MMM D, YYYY")),"")</f>
        <v/>
      </c>
    </row>
    <row r="10" ht="18" customHeight="1">
      <c r="A10" s="31" t="inlineStr">
        <is>
          <t xml:space="preserve">  Optional: Component / Volume Breakdown  (fill in if curriculum has multiple books or parts)</t>
        </is>
      </c>
    </row>
    <row r="11" ht="18" customHeight="1">
      <c r="A11" s="32" t="inlineStr">
        <is>
          <t>#</t>
        </is>
      </c>
      <c r="B11" s="32" t="inlineStr">
        <is>
          <t>Component / Book Title</t>
        </is>
      </c>
      <c r="C11" s="29" t="n"/>
      <c r="D11" s="32" t="inlineStr">
        <is>
          <t>Total Units
in Component</t>
        </is>
      </c>
      <c r="E11" s="32" t="inlineStr">
        <is>
          <t>Cumulative
Units</t>
        </is>
      </c>
      <c r="F11" s="32" t="inlineStr">
        <is>
          <t>Start
Week</t>
        </is>
      </c>
      <c r="G11" s="32" t="inlineStr">
        <is>
          <t>End
Week</t>
        </is>
      </c>
      <c r="H11" s="32" t="inlineStr">
        <is>
          <t>Start
Date</t>
        </is>
      </c>
      <c r="I11" s="32" t="inlineStr">
        <is>
          <t>End
Date</t>
        </is>
      </c>
      <c r="J11" s="32" t="inlineStr">
        <is>
          <t>Complete?</t>
        </is>
      </c>
    </row>
    <row r="12" ht="18" customHeight="1">
      <c r="A12" s="33" t="n">
        <v>1</v>
      </c>
      <c r="B12" s="27" t="n"/>
      <c r="D12" s="34" t="n"/>
      <c r="E12" s="30">
        <f>IFERROR(SUM(D12:D12),"")</f>
        <v/>
      </c>
      <c r="F12" s="30">
        <f>IF(D12="","",1)</f>
        <v/>
      </c>
      <c r="G12" s="30">
        <f>IFERROR(IF(D12="","",CEILING(E12/F9,1)),"")</f>
        <v/>
      </c>
      <c r="H12" s="30">
        <f>IFERROR(IF(D12="","",TEXT('Getting Started'!B7+(F12-1)*7,"MMM D")),"")</f>
        <v/>
      </c>
      <c r="I12" s="30">
        <f>IFERROR(IF(D12="","",TEXT('Getting Started'!B7+(G12)*7,"MMM D")),"")</f>
        <v/>
      </c>
      <c r="J12" s="34" t="n"/>
    </row>
    <row r="13" ht="18" customHeight="1">
      <c r="A13" s="33" t="n">
        <v>2</v>
      </c>
      <c r="B13" s="35" t="n"/>
      <c r="D13" s="36" t="n"/>
      <c r="E13" s="30">
        <f>IFERROR(SUM(D12:D13),"")</f>
        <v/>
      </c>
      <c r="F13" s="30">
        <f>IFERROR(IF(D13="","",FLOOR(E12/F9,1)+1),"")</f>
        <v/>
      </c>
      <c r="G13" s="30">
        <f>IFERROR(IF(D13="","",CEILING(E13/F9,1)),"")</f>
        <v/>
      </c>
      <c r="H13" s="30">
        <f>IFERROR(IF(D13="","",TEXT('Getting Started'!B7+(F13-1)*7,"MMM D")),"")</f>
        <v/>
      </c>
      <c r="I13" s="30">
        <f>IFERROR(IF(D13="","",TEXT('Getting Started'!B7+(G13)*7,"MMM D")),"")</f>
        <v/>
      </c>
      <c r="J13" s="34" t="n"/>
    </row>
    <row r="14" ht="18" customHeight="1">
      <c r="A14" s="33" t="n">
        <v>3</v>
      </c>
      <c r="B14" s="27" t="n"/>
      <c r="D14" s="34" t="n"/>
      <c r="E14" s="30">
        <f>IFERROR(SUM(D12:D14),"")</f>
        <v/>
      </c>
      <c r="F14" s="30">
        <f>IFERROR(IF(D14="","",FLOOR(E13/F9,1)+1),"")</f>
        <v/>
      </c>
      <c r="G14" s="30">
        <f>IFERROR(IF(D14="","",CEILING(E14/F9,1)),"")</f>
        <v/>
      </c>
      <c r="H14" s="30">
        <f>IFERROR(IF(D14="","",TEXT('Getting Started'!B7+(F14-1)*7,"MMM D")),"")</f>
        <v/>
      </c>
      <c r="I14" s="30">
        <f>IFERROR(IF(D14="","",TEXT('Getting Started'!B7+(G14)*7,"MMM D")),"")</f>
        <v/>
      </c>
      <c r="J14" s="34" t="n"/>
    </row>
    <row r="15" ht="18" customHeight="1">
      <c r="A15" s="33" t="n">
        <v>4</v>
      </c>
      <c r="B15" s="35" t="n"/>
      <c r="D15" s="36" t="n"/>
      <c r="E15" s="30">
        <f>IFERROR(SUM(D12:D15),"")</f>
        <v/>
      </c>
      <c r="F15" s="30">
        <f>IFERROR(IF(D15="","",FLOOR(E14/F9,1)+1),"")</f>
        <v/>
      </c>
      <c r="G15" s="30">
        <f>IFERROR(IF(D15="","",CEILING(E15/F9,1)),"")</f>
        <v/>
      </c>
      <c r="H15" s="30">
        <f>IFERROR(IF(D15="","",TEXT('Getting Started'!B7+(F15-1)*7,"MMM D")),"")</f>
        <v/>
      </c>
      <c r="I15" s="30">
        <f>IFERROR(IF(D15="","",TEXT('Getting Started'!B7+(G15)*7,"MMM D")),"")</f>
        <v/>
      </c>
      <c r="J15" s="34" t="n"/>
    </row>
    <row r="16" ht="18" customHeight="1">
      <c r="A16" s="33" t="n">
        <v>5</v>
      </c>
      <c r="B16" s="27" t="n"/>
      <c r="D16" s="34" t="n"/>
      <c r="E16" s="30">
        <f>IFERROR(SUM(D12:D16),"")</f>
        <v/>
      </c>
      <c r="F16" s="30">
        <f>IFERROR(IF(D16="","",FLOOR(E15/F9,1)+1),"")</f>
        <v/>
      </c>
      <c r="G16" s="30">
        <f>IFERROR(IF(D16="","",CEILING(E16/F9,1)),"")</f>
        <v/>
      </c>
      <c r="H16" s="30">
        <f>IFERROR(IF(D16="","",TEXT('Getting Started'!B7+(F16-1)*7,"MMM D")),"")</f>
        <v/>
      </c>
      <c r="I16" s="30">
        <f>IFERROR(IF(D16="","",TEXT('Getting Started'!B7+(G16)*7,"MMM D")),"")</f>
        <v/>
      </c>
      <c r="J16" s="34" t="n"/>
    </row>
    <row r="17" ht="18" customHeight="1">
      <c r="A17" s="33" t="n">
        <v>6</v>
      </c>
      <c r="B17" s="35" t="n"/>
      <c r="D17" s="36" t="n"/>
      <c r="E17" s="30">
        <f>IFERROR(SUM(D12:D17),"")</f>
        <v/>
      </c>
      <c r="F17" s="30">
        <f>IFERROR(IF(D17="","",FLOOR(E16/F9,1)+1),"")</f>
        <v/>
      </c>
      <c r="G17" s="30">
        <f>IFERROR(IF(D17="","",CEILING(E17/F9,1)),"")</f>
        <v/>
      </c>
      <c r="H17" s="30">
        <f>IFERROR(IF(D17="","",TEXT('Getting Started'!B7+(F17-1)*7,"MMM D")),"")</f>
        <v/>
      </c>
      <c r="I17" s="30">
        <f>IFERROR(IF(D17="","",TEXT('Getting Started'!B7+(G17)*7,"MMM D")),"")</f>
        <v/>
      </c>
      <c r="J17" s="34" t="n"/>
    </row>
    <row r="18" ht="20" customHeight="1">
      <c r="A18" s="26" t="inlineStr">
        <is>
          <t>Notes:</t>
        </is>
      </c>
      <c r="B18" s="37" t="n"/>
    </row>
    <row r="19" ht="24" customHeight="1">
      <c r="A19" s="38" t="inlineStr">
        <is>
          <t xml:space="preserve">  MATH</t>
        </is>
      </c>
    </row>
    <row r="20" ht="20" customHeight="1">
      <c r="A20" s="39" t="inlineStr">
        <is>
          <t>Curriculum / Title:</t>
        </is>
      </c>
      <c r="B20" s="27" t="n"/>
      <c r="F20" s="39" t="inlineStr">
        <is>
          <t>Unit type:</t>
        </is>
      </c>
      <c r="G20" s="27" t="inlineStr">
        <is>
          <t>pages</t>
        </is>
      </c>
      <c r="I20" s="28" t="inlineStr">
        <is>
          <t>← type: pages, lessons, chapters…</t>
        </is>
      </c>
      <c r="J20" s="29" t="n"/>
    </row>
    <row r="21" ht="22" customHeight="1">
      <c r="A21" s="39" t="inlineStr">
        <is>
          <t>Total Units:</t>
        </is>
      </c>
      <c r="B21" s="27" t="n"/>
      <c r="C21" s="39" t="inlineStr">
        <is>
          <t>School Weeks:</t>
        </is>
      </c>
      <c r="D21" s="30">
        <f>'Getting Started'!B9</f>
        <v/>
      </c>
      <c r="E21" s="39" t="inlineStr">
        <is>
          <t>Units / Week:</t>
        </is>
      </c>
      <c r="F21" s="12">
        <f>IFERROR(IF(B21="","",ROUND(B21/D21,1)),"")</f>
        <v/>
      </c>
      <c r="G21" s="39" t="inlineStr">
        <is>
          <t>Units / Day:</t>
        </is>
      </c>
      <c r="H21" s="12">
        <f>IFERROR(IF(F21="","",ROUND(F21/'Getting Started'!B10,1)),"")</f>
        <v/>
      </c>
      <c r="I21" s="39" t="inlineStr">
        <is>
          <t>Est. End Date:</t>
        </is>
      </c>
      <c r="J21" s="12">
        <f>IFERROR(IF(B21="","",TEXT('Getting Started'!B7+(B21/'Getting Started'!B10),"MMM D, YYYY")),"")</f>
        <v/>
      </c>
    </row>
    <row r="22" ht="18" customHeight="1">
      <c r="A22" s="31" t="inlineStr">
        <is>
          <t xml:space="preserve">  Optional: Component / Volume Breakdown  (fill in if curriculum has multiple books or parts)</t>
        </is>
      </c>
    </row>
    <row r="23" ht="18" customHeight="1">
      <c r="A23" s="32" t="inlineStr">
        <is>
          <t>#</t>
        </is>
      </c>
      <c r="B23" s="32" t="inlineStr">
        <is>
          <t>Component / Book Title</t>
        </is>
      </c>
      <c r="C23" s="29" t="n"/>
      <c r="D23" s="32" t="inlineStr">
        <is>
          <t>Total Units
in Component</t>
        </is>
      </c>
      <c r="E23" s="32" t="inlineStr">
        <is>
          <t>Cumulative
Units</t>
        </is>
      </c>
      <c r="F23" s="32" t="inlineStr">
        <is>
          <t>Start
Week</t>
        </is>
      </c>
      <c r="G23" s="32" t="inlineStr">
        <is>
          <t>End
Week</t>
        </is>
      </c>
      <c r="H23" s="32" t="inlineStr">
        <is>
          <t>Start
Date</t>
        </is>
      </c>
      <c r="I23" s="32" t="inlineStr">
        <is>
          <t>End
Date</t>
        </is>
      </c>
      <c r="J23" s="32" t="inlineStr">
        <is>
          <t>Complete?</t>
        </is>
      </c>
    </row>
    <row r="24" ht="18" customHeight="1">
      <c r="A24" s="33" t="n">
        <v>1</v>
      </c>
      <c r="B24" s="27" t="n"/>
      <c r="D24" s="34" t="n"/>
      <c r="E24" s="30">
        <f>IFERROR(SUM(D24:D24),"")</f>
        <v/>
      </c>
      <c r="F24" s="30">
        <f>IF(D24="","",1)</f>
        <v/>
      </c>
      <c r="G24" s="30">
        <f>IFERROR(IF(D24="","",CEILING(E24/F21,1)),"")</f>
        <v/>
      </c>
      <c r="H24" s="30">
        <f>IFERROR(IF(D24="","",TEXT('Getting Started'!B7+(F24-1)*7,"MMM D")),"")</f>
        <v/>
      </c>
      <c r="I24" s="30">
        <f>IFERROR(IF(D24="","",TEXT('Getting Started'!B7+(G24)*7,"MMM D")),"")</f>
        <v/>
      </c>
      <c r="J24" s="34" t="n"/>
    </row>
    <row r="25" ht="18" customHeight="1">
      <c r="A25" s="33" t="n">
        <v>2</v>
      </c>
      <c r="B25" s="35" t="n"/>
      <c r="D25" s="36" t="n"/>
      <c r="E25" s="30">
        <f>IFERROR(SUM(D24:D25),"")</f>
        <v/>
      </c>
      <c r="F25" s="30">
        <f>IFERROR(IF(D25="","",FLOOR(E24/F21,1)+1),"")</f>
        <v/>
      </c>
      <c r="G25" s="30">
        <f>IFERROR(IF(D25="","",CEILING(E25/F21,1)),"")</f>
        <v/>
      </c>
      <c r="H25" s="30">
        <f>IFERROR(IF(D25="","",TEXT('Getting Started'!B7+(F25-1)*7,"MMM D")),"")</f>
        <v/>
      </c>
      <c r="I25" s="30">
        <f>IFERROR(IF(D25="","",TEXT('Getting Started'!B7+(G25)*7,"MMM D")),"")</f>
        <v/>
      </c>
      <c r="J25" s="34" t="n"/>
    </row>
    <row r="26" ht="18" customHeight="1">
      <c r="A26" s="33" t="n">
        <v>3</v>
      </c>
      <c r="B26" s="27" t="n"/>
      <c r="D26" s="34" t="n"/>
      <c r="E26" s="30">
        <f>IFERROR(SUM(D24:D26),"")</f>
        <v/>
      </c>
      <c r="F26" s="30">
        <f>IFERROR(IF(D26="","",FLOOR(E25/F21,1)+1),"")</f>
        <v/>
      </c>
      <c r="G26" s="30">
        <f>IFERROR(IF(D26="","",CEILING(E26/F21,1)),"")</f>
        <v/>
      </c>
      <c r="H26" s="30">
        <f>IFERROR(IF(D26="","",TEXT('Getting Started'!B7+(F26-1)*7,"MMM D")),"")</f>
        <v/>
      </c>
      <c r="I26" s="30">
        <f>IFERROR(IF(D26="","",TEXT('Getting Started'!B7+(G26)*7,"MMM D")),"")</f>
        <v/>
      </c>
      <c r="J26" s="34" t="n"/>
    </row>
    <row r="27" ht="18" customHeight="1">
      <c r="A27" s="33" t="n">
        <v>4</v>
      </c>
      <c r="B27" s="35" t="n"/>
      <c r="D27" s="36" t="n"/>
      <c r="E27" s="30">
        <f>IFERROR(SUM(D24:D27),"")</f>
        <v/>
      </c>
      <c r="F27" s="30">
        <f>IFERROR(IF(D27="","",FLOOR(E26/F21,1)+1),"")</f>
        <v/>
      </c>
      <c r="G27" s="30">
        <f>IFERROR(IF(D27="","",CEILING(E27/F21,1)),"")</f>
        <v/>
      </c>
      <c r="H27" s="30">
        <f>IFERROR(IF(D27="","",TEXT('Getting Started'!B7+(F27-1)*7,"MMM D")),"")</f>
        <v/>
      </c>
      <c r="I27" s="30">
        <f>IFERROR(IF(D27="","",TEXT('Getting Started'!B7+(G27)*7,"MMM D")),"")</f>
        <v/>
      </c>
      <c r="J27" s="34" t="n"/>
    </row>
    <row r="28" ht="18" customHeight="1">
      <c r="A28" s="33" t="n">
        <v>5</v>
      </c>
      <c r="B28" s="27" t="n"/>
      <c r="D28" s="34" t="n"/>
      <c r="E28" s="30">
        <f>IFERROR(SUM(D24:D28),"")</f>
        <v/>
      </c>
      <c r="F28" s="30">
        <f>IFERROR(IF(D28="","",FLOOR(E27/F21,1)+1),"")</f>
        <v/>
      </c>
      <c r="G28" s="30">
        <f>IFERROR(IF(D28="","",CEILING(E28/F21,1)),"")</f>
        <v/>
      </c>
      <c r="H28" s="30">
        <f>IFERROR(IF(D28="","",TEXT('Getting Started'!B7+(F28-1)*7,"MMM D")),"")</f>
        <v/>
      </c>
      <c r="I28" s="30">
        <f>IFERROR(IF(D28="","",TEXT('Getting Started'!B7+(G28)*7,"MMM D")),"")</f>
        <v/>
      </c>
      <c r="J28" s="34" t="n"/>
    </row>
    <row r="29" ht="18" customHeight="1">
      <c r="A29" s="33" t="n">
        <v>6</v>
      </c>
      <c r="B29" s="35" t="n"/>
      <c r="D29" s="36" t="n"/>
      <c r="E29" s="30">
        <f>IFERROR(SUM(D24:D29),"")</f>
        <v/>
      </c>
      <c r="F29" s="30">
        <f>IFERROR(IF(D29="","",FLOOR(E28/F21,1)+1),"")</f>
        <v/>
      </c>
      <c r="G29" s="30">
        <f>IFERROR(IF(D29="","",CEILING(E29/F21,1)),"")</f>
        <v/>
      </c>
      <c r="H29" s="30">
        <f>IFERROR(IF(D29="","",TEXT('Getting Started'!B7+(F29-1)*7,"MMM D")),"")</f>
        <v/>
      </c>
      <c r="I29" s="30">
        <f>IFERROR(IF(D29="","",TEXT('Getting Started'!B7+(G29)*7,"MMM D")),"")</f>
        <v/>
      </c>
      <c r="J29" s="34" t="n"/>
    </row>
    <row r="30" ht="20" customHeight="1">
      <c r="A30" s="39" t="inlineStr">
        <is>
          <t>Notes:</t>
        </is>
      </c>
      <c r="B30" s="37" t="n"/>
    </row>
    <row r="31" ht="24" customHeight="1">
      <c r="A31" s="40" t="inlineStr">
        <is>
          <t xml:space="preserve">  ENGLISH / LANGUAGE ARTS</t>
        </is>
      </c>
    </row>
    <row r="32" ht="20" customHeight="1">
      <c r="A32" s="41" t="inlineStr">
        <is>
          <t>Curriculum / Title:</t>
        </is>
      </c>
      <c r="B32" s="27" t="n"/>
      <c r="F32" s="41" t="inlineStr">
        <is>
          <t>Unit type:</t>
        </is>
      </c>
      <c r="G32" s="27" t="inlineStr">
        <is>
          <t>pages</t>
        </is>
      </c>
      <c r="I32" s="28" t="inlineStr">
        <is>
          <t>← type: pages, lessons, chapters…</t>
        </is>
      </c>
      <c r="J32" s="29" t="n"/>
    </row>
    <row r="33" ht="22" customHeight="1">
      <c r="A33" s="41" t="inlineStr">
        <is>
          <t>Total Units:</t>
        </is>
      </c>
      <c r="B33" s="27" t="n"/>
      <c r="C33" s="41" t="inlineStr">
        <is>
          <t>School Weeks:</t>
        </is>
      </c>
      <c r="D33" s="30">
        <f>'Getting Started'!B9</f>
        <v/>
      </c>
      <c r="E33" s="41" t="inlineStr">
        <is>
          <t>Units / Week:</t>
        </is>
      </c>
      <c r="F33" s="12">
        <f>IFERROR(IF(B33="","",ROUND(B33/D33,1)),"")</f>
        <v/>
      </c>
      <c r="G33" s="41" t="inlineStr">
        <is>
          <t>Units / Day:</t>
        </is>
      </c>
      <c r="H33" s="12">
        <f>IFERROR(IF(F33="","",ROUND(F33/'Getting Started'!B10,1)),"")</f>
        <v/>
      </c>
      <c r="I33" s="41" t="inlineStr">
        <is>
          <t>Est. End Date:</t>
        </is>
      </c>
      <c r="J33" s="12">
        <f>IFERROR(IF(B33="","",TEXT('Getting Started'!B7+(B33/'Getting Started'!B10),"MMM D, YYYY")),"")</f>
        <v/>
      </c>
    </row>
    <row r="34" ht="18" customHeight="1">
      <c r="A34" s="31" t="inlineStr">
        <is>
          <t xml:space="preserve">  Optional: Component / Volume Breakdown  (fill in if curriculum has multiple books or parts)</t>
        </is>
      </c>
    </row>
    <row r="35" ht="18" customHeight="1">
      <c r="A35" s="32" t="inlineStr">
        <is>
          <t>#</t>
        </is>
      </c>
      <c r="B35" s="32" t="inlineStr">
        <is>
          <t>Component / Book Title</t>
        </is>
      </c>
      <c r="C35" s="29" t="n"/>
      <c r="D35" s="32" t="inlineStr">
        <is>
          <t>Total Units
in Component</t>
        </is>
      </c>
      <c r="E35" s="32" t="inlineStr">
        <is>
          <t>Cumulative
Units</t>
        </is>
      </c>
      <c r="F35" s="32" t="inlineStr">
        <is>
          <t>Start
Week</t>
        </is>
      </c>
      <c r="G35" s="32" t="inlineStr">
        <is>
          <t>End
Week</t>
        </is>
      </c>
      <c r="H35" s="32" t="inlineStr">
        <is>
          <t>Start
Date</t>
        </is>
      </c>
      <c r="I35" s="32" t="inlineStr">
        <is>
          <t>End
Date</t>
        </is>
      </c>
      <c r="J35" s="32" t="inlineStr">
        <is>
          <t>Complete?</t>
        </is>
      </c>
    </row>
    <row r="36" ht="18" customHeight="1">
      <c r="A36" s="33" t="n">
        <v>1</v>
      </c>
      <c r="B36" s="27" t="n"/>
      <c r="D36" s="34" t="n"/>
      <c r="E36" s="30">
        <f>IFERROR(SUM(D36:D36),"")</f>
        <v/>
      </c>
      <c r="F36" s="30">
        <f>IF(D36="","",1)</f>
        <v/>
      </c>
      <c r="G36" s="30">
        <f>IFERROR(IF(D36="","",CEILING(E36/F33,1)),"")</f>
        <v/>
      </c>
      <c r="H36" s="30">
        <f>IFERROR(IF(D36="","",TEXT('Getting Started'!B7+(F36-1)*7,"MMM D")),"")</f>
        <v/>
      </c>
      <c r="I36" s="30">
        <f>IFERROR(IF(D36="","",TEXT('Getting Started'!B7+(G36)*7,"MMM D")),"")</f>
        <v/>
      </c>
      <c r="J36" s="34" t="n"/>
    </row>
    <row r="37" ht="18" customHeight="1">
      <c r="A37" s="33" t="n">
        <v>2</v>
      </c>
      <c r="B37" s="35" t="n"/>
      <c r="D37" s="36" t="n"/>
      <c r="E37" s="30">
        <f>IFERROR(SUM(D36:D37),"")</f>
        <v/>
      </c>
      <c r="F37" s="30">
        <f>IFERROR(IF(D37="","",FLOOR(E36/F33,1)+1),"")</f>
        <v/>
      </c>
      <c r="G37" s="30">
        <f>IFERROR(IF(D37="","",CEILING(E37/F33,1)),"")</f>
        <v/>
      </c>
      <c r="H37" s="30">
        <f>IFERROR(IF(D37="","",TEXT('Getting Started'!B7+(F37-1)*7,"MMM D")),"")</f>
        <v/>
      </c>
      <c r="I37" s="30">
        <f>IFERROR(IF(D37="","",TEXT('Getting Started'!B7+(G37)*7,"MMM D")),"")</f>
        <v/>
      </c>
      <c r="J37" s="34" t="n"/>
    </row>
    <row r="38" ht="18" customHeight="1">
      <c r="A38" s="33" t="n">
        <v>3</v>
      </c>
      <c r="B38" s="27" t="n"/>
      <c r="D38" s="34" t="n"/>
      <c r="E38" s="30">
        <f>IFERROR(SUM(D36:D38),"")</f>
        <v/>
      </c>
      <c r="F38" s="30">
        <f>IFERROR(IF(D38="","",FLOOR(E37/F33,1)+1),"")</f>
        <v/>
      </c>
      <c r="G38" s="30">
        <f>IFERROR(IF(D38="","",CEILING(E38/F33,1)),"")</f>
        <v/>
      </c>
      <c r="H38" s="30">
        <f>IFERROR(IF(D38="","",TEXT('Getting Started'!B7+(F38-1)*7,"MMM D")),"")</f>
        <v/>
      </c>
      <c r="I38" s="30">
        <f>IFERROR(IF(D38="","",TEXT('Getting Started'!B7+(G38)*7,"MMM D")),"")</f>
        <v/>
      </c>
      <c r="J38" s="34" t="n"/>
    </row>
    <row r="39" ht="18" customHeight="1">
      <c r="A39" s="33" t="n">
        <v>4</v>
      </c>
      <c r="B39" s="35" t="n"/>
      <c r="D39" s="36" t="n"/>
      <c r="E39" s="30">
        <f>IFERROR(SUM(D36:D39),"")</f>
        <v/>
      </c>
      <c r="F39" s="30">
        <f>IFERROR(IF(D39="","",FLOOR(E38/F33,1)+1),"")</f>
        <v/>
      </c>
      <c r="G39" s="30">
        <f>IFERROR(IF(D39="","",CEILING(E39/F33,1)),"")</f>
        <v/>
      </c>
      <c r="H39" s="30">
        <f>IFERROR(IF(D39="","",TEXT('Getting Started'!B7+(F39-1)*7,"MMM D")),"")</f>
        <v/>
      </c>
      <c r="I39" s="30">
        <f>IFERROR(IF(D39="","",TEXT('Getting Started'!B7+(G39)*7,"MMM D")),"")</f>
        <v/>
      </c>
      <c r="J39" s="34" t="n"/>
    </row>
    <row r="40" ht="18" customHeight="1">
      <c r="A40" s="33" t="n">
        <v>5</v>
      </c>
      <c r="B40" s="27" t="n"/>
      <c r="D40" s="34" t="n"/>
      <c r="E40" s="30">
        <f>IFERROR(SUM(D36:D40),"")</f>
        <v/>
      </c>
      <c r="F40" s="30">
        <f>IFERROR(IF(D40="","",FLOOR(E39/F33,1)+1),"")</f>
        <v/>
      </c>
      <c r="G40" s="30">
        <f>IFERROR(IF(D40="","",CEILING(E40/F33,1)),"")</f>
        <v/>
      </c>
      <c r="H40" s="30">
        <f>IFERROR(IF(D40="","",TEXT('Getting Started'!B7+(F40-1)*7,"MMM D")),"")</f>
        <v/>
      </c>
      <c r="I40" s="30">
        <f>IFERROR(IF(D40="","",TEXT('Getting Started'!B7+(G40)*7,"MMM D")),"")</f>
        <v/>
      </c>
      <c r="J40" s="34" t="n"/>
    </row>
    <row r="41" ht="18" customHeight="1">
      <c r="A41" s="33" t="n">
        <v>6</v>
      </c>
      <c r="B41" s="35" t="n"/>
      <c r="D41" s="36" t="n"/>
      <c r="E41" s="30">
        <f>IFERROR(SUM(D36:D41),"")</f>
        <v/>
      </c>
      <c r="F41" s="30">
        <f>IFERROR(IF(D41="","",FLOOR(E40/F33,1)+1),"")</f>
        <v/>
      </c>
      <c r="G41" s="30">
        <f>IFERROR(IF(D41="","",CEILING(E41/F33,1)),"")</f>
        <v/>
      </c>
      <c r="H41" s="30">
        <f>IFERROR(IF(D41="","",TEXT('Getting Started'!B7+(F41-1)*7,"MMM D")),"")</f>
        <v/>
      </c>
      <c r="I41" s="30">
        <f>IFERROR(IF(D41="","",TEXT('Getting Started'!B7+(G41)*7,"MMM D")),"")</f>
        <v/>
      </c>
      <c r="J41" s="34" t="n"/>
    </row>
    <row r="42" ht="20" customHeight="1">
      <c r="A42" s="41" t="inlineStr">
        <is>
          <t>Notes:</t>
        </is>
      </c>
      <c r="B42" s="37" t="n"/>
    </row>
    <row r="43" ht="24" customHeight="1">
      <c r="A43" s="42" t="inlineStr">
        <is>
          <t xml:space="preserve">  READING</t>
        </is>
      </c>
    </row>
    <row r="44" ht="20" customHeight="1">
      <c r="A44" s="43" t="inlineStr">
        <is>
          <t>Curriculum / Title:</t>
        </is>
      </c>
      <c r="B44" s="27" t="n"/>
      <c r="F44" s="43" t="inlineStr">
        <is>
          <t>Unit type:</t>
        </is>
      </c>
      <c r="G44" s="27" t="inlineStr">
        <is>
          <t>pages</t>
        </is>
      </c>
      <c r="I44" s="28" t="inlineStr">
        <is>
          <t>← type: pages, lessons, chapters…</t>
        </is>
      </c>
      <c r="J44" s="29" t="n"/>
    </row>
    <row r="45" ht="22" customHeight="1">
      <c r="A45" s="43" t="inlineStr">
        <is>
          <t>Total Units:</t>
        </is>
      </c>
      <c r="B45" s="27" t="n"/>
      <c r="C45" s="43" t="inlineStr">
        <is>
          <t>School Weeks:</t>
        </is>
      </c>
      <c r="D45" s="30">
        <f>'Getting Started'!B9</f>
        <v/>
      </c>
      <c r="E45" s="43" t="inlineStr">
        <is>
          <t>Units / Week:</t>
        </is>
      </c>
      <c r="F45" s="12">
        <f>IFERROR(IF(B45="","",ROUND(B45/D45,1)),"")</f>
        <v/>
      </c>
      <c r="G45" s="43" t="inlineStr">
        <is>
          <t>Units / Day:</t>
        </is>
      </c>
      <c r="H45" s="12">
        <f>IFERROR(IF(F45="","",ROUND(F45/'Getting Started'!B10,1)),"")</f>
        <v/>
      </c>
      <c r="I45" s="43" t="inlineStr">
        <is>
          <t>Est. End Date:</t>
        </is>
      </c>
      <c r="J45" s="12">
        <f>IFERROR(IF(B45="","",TEXT('Getting Started'!B7+(B45/'Getting Started'!B10),"MMM D, YYYY")),"")</f>
        <v/>
      </c>
    </row>
    <row r="46" ht="18" customHeight="1">
      <c r="A46" s="31" t="inlineStr">
        <is>
          <t xml:space="preserve">  Optional: Component / Volume Breakdown  (fill in if curriculum has multiple books or parts)</t>
        </is>
      </c>
    </row>
    <row r="47" ht="18" customHeight="1">
      <c r="A47" s="32" t="inlineStr">
        <is>
          <t>#</t>
        </is>
      </c>
      <c r="B47" s="32" t="inlineStr">
        <is>
          <t>Component / Book Title</t>
        </is>
      </c>
      <c r="C47" s="29" t="n"/>
      <c r="D47" s="32" t="inlineStr">
        <is>
          <t>Total Units
in Component</t>
        </is>
      </c>
      <c r="E47" s="32" t="inlineStr">
        <is>
          <t>Cumulative
Units</t>
        </is>
      </c>
      <c r="F47" s="32" t="inlineStr">
        <is>
          <t>Start
Week</t>
        </is>
      </c>
      <c r="G47" s="32" t="inlineStr">
        <is>
          <t>End
Week</t>
        </is>
      </c>
      <c r="H47" s="32" t="inlineStr">
        <is>
          <t>Start
Date</t>
        </is>
      </c>
      <c r="I47" s="32" t="inlineStr">
        <is>
          <t>End
Date</t>
        </is>
      </c>
      <c r="J47" s="32" t="inlineStr">
        <is>
          <t>Complete?</t>
        </is>
      </c>
    </row>
    <row r="48" ht="18" customHeight="1">
      <c r="A48" s="33" t="n">
        <v>1</v>
      </c>
      <c r="B48" s="27" t="n"/>
      <c r="D48" s="34" t="n"/>
      <c r="E48" s="30">
        <f>IFERROR(SUM(D48:D48),"")</f>
        <v/>
      </c>
      <c r="F48" s="30">
        <f>IF(D48="","",1)</f>
        <v/>
      </c>
      <c r="G48" s="30">
        <f>IFERROR(IF(D48="","",CEILING(E48/F45,1)),"")</f>
        <v/>
      </c>
      <c r="H48" s="30">
        <f>IFERROR(IF(D48="","",TEXT('Getting Started'!B7+(F48-1)*7,"MMM D")),"")</f>
        <v/>
      </c>
      <c r="I48" s="30">
        <f>IFERROR(IF(D48="","",TEXT('Getting Started'!B7+(G48)*7,"MMM D")),"")</f>
        <v/>
      </c>
      <c r="J48" s="34" t="n"/>
    </row>
    <row r="49" ht="18" customHeight="1">
      <c r="A49" s="33" t="n">
        <v>2</v>
      </c>
      <c r="B49" s="35" t="n"/>
      <c r="D49" s="36" t="n"/>
      <c r="E49" s="30">
        <f>IFERROR(SUM(D48:D49),"")</f>
        <v/>
      </c>
      <c r="F49" s="30">
        <f>IFERROR(IF(D49="","",FLOOR(E48/F45,1)+1),"")</f>
        <v/>
      </c>
      <c r="G49" s="30">
        <f>IFERROR(IF(D49="","",CEILING(E49/F45,1)),"")</f>
        <v/>
      </c>
      <c r="H49" s="30">
        <f>IFERROR(IF(D49="","",TEXT('Getting Started'!B7+(F49-1)*7,"MMM D")),"")</f>
        <v/>
      </c>
      <c r="I49" s="30">
        <f>IFERROR(IF(D49="","",TEXT('Getting Started'!B7+(G49)*7,"MMM D")),"")</f>
        <v/>
      </c>
      <c r="J49" s="34" t="n"/>
    </row>
    <row r="50" ht="18" customHeight="1">
      <c r="A50" s="33" t="n">
        <v>3</v>
      </c>
      <c r="B50" s="27" t="n"/>
      <c r="D50" s="34" t="n"/>
      <c r="E50" s="30">
        <f>IFERROR(SUM(D48:D50),"")</f>
        <v/>
      </c>
      <c r="F50" s="30">
        <f>IFERROR(IF(D50="","",FLOOR(E49/F45,1)+1),"")</f>
        <v/>
      </c>
      <c r="G50" s="30">
        <f>IFERROR(IF(D50="","",CEILING(E50/F45,1)),"")</f>
        <v/>
      </c>
      <c r="H50" s="30">
        <f>IFERROR(IF(D50="","",TEXT('Getting Started'!B7+(F50-1)*7,"MMM D")),"")</f>
        <v/>
      </c>
      <c r="I50" s="30">
        <f>IFERROR(IF(D50="","",TEXT('Getting Started'!B7+(G50)*7,"MMM D")),"")</f>
        <v/>
      </c>
      <c r="J50" s="34" t="n"/>
    </row>
    <row r="51" ht="18" customHeight="1">
      <c r="A51" s="33" t="n">
        <v>4</v>
      </c>
      <c r="B51" s="35" t="n"/>
      <c r="D51" s="36" t="n"/>
      <c r="E51" s="30">
        <f>IFERROR(SUM(D48:D51),"")</f>
        <v/>
      </c>
      <c r="F51" s="30">
        <f>IFERROR(IF(D51="","",FLOOR(E50/F45,1)+1),"")</f>
        <v/>
      </c>
      <c r="G51" s="30">
        <f>IFERROR(IF(D51="","",CEILING(E51/F45,1)),"")</f>
        <v/>
      </c>
      <c r="H51" s="30">
        <f>IFERROR(IF(D51="","",TEXT('Getting Started'!B7+(F51-1)*7,"MMM D")),"")</f>
        <v/>
      </c>
      <c r="I51" s="30">
        <f>IFERROR(IF(D51="","",TEXT('Getting Started'!B7+(G51)*7,"MMM D")),"")</f>
        <v/>
      </c>
      <c r="J51" s="34" t="n"/>
    </row>
    <row r="52" ht="18" customHeight="1">
      <c r="A52" s="33" t="n">
        <v>5</v>
      </c>
      <c r="B52" s="27" t="n"/>
      <c r="D52" s="34" t="n"/>
      <c r="E52" s="30">
        <f>IFERROR(SUM(D48:D52),"")</f>
        <v/>
      </c>
      <c r="F52" s="30">
        <f>IFERROR(IF(D52="","",FLOOR(E51/F45,1)+1),"")</f>
        <v/>
      </c>
      <c r="G52" s="30">
        <f>IFERROR(IF(D52="","",CEILING(E52/F45,1)),"")</f>
        <v/>
      </c>
      <c r="H52" s="30">
        <f>IFERROR(IF(D52="","",TEXT('Getting Started'!B7+(F52-1)*7,"MMM D")),"")</f>
        <v/>
      </c>
      <c r="I52" s="30">
        <f>IFERROR(IF(D52="","",TEXT('Getting Started'!B7+(G52)*7,"MMM D")),"")</f>
        <v/>
      </c>
      <c r="J52" s="34" t="n"/>
    </row>
    <row r="53" ht="18" customHeight="1">
      <c r="A53" s="33" t="n">
        <v>6</v>
      </c>
      <c r="B53" s="35" t="n"/>
      <c r="D53" s="36" t="n"/>
      <c r="E53" s="30">
        <f>IFERROR(SUM(D48:D53),"")</f>
        <v/>
      </c>
      <c r="F53" s="30">
        <f>IFERROR(IF(D53="","",FLOOR(E52/F45,1)+1),"")</f>
        <v/>
      </c>
      <c r="G53" s="30">
        <f>IFERROR(IF(D53="","",CEILING(E53/F45,1)),"")</f>
        <v/>
      </c>
      <c r="H53" s="30">
        <f>IFERROR(IF(D53="","",TEXT('Getting Started'!B7+(F53-1)*7,"MMM D")),"")</f>
        <v/>
      </c>
      <c r="I53" s="30">
        <f>IFERROR(IF(D53="","",TEXT('Getting Started'!B7+(G53)*7,"MMM D")),"")</f>
        <v/>
      </c>
      <c r="J53" s="34" t="n"/>
    </row>
    <row r="54" ht="20" customHeight="1">
      <c r="A54" s="43" t="inlineStr">
        <is>
          <t>Notes:</t>
        </is>
      </c>
      <c r="B54" s="37" t="n"/>
    </row>
    <row r="55" ht="24" customHeight="1">
      <c r="A55" s="44" t="inlineStr">
        <is>
          <t xml:space="preserve">  WRITING / COMPOSITION</t>
        </is>
      </c>
    </row>
    <row r="56" ht="20" customHeight="1">
      <c r="A56" s="45" t="inlineStr">
        <is>
          <t>Curriculum / Title:</t>
        </is>
      </c>
      <c r="B56" s="27" t="n"/>
      <c r="F56" s="45" t="inlineStr">
        <is>
          <t>Unit type:</t>
        </is>
      </c>
      <c r="G56" s="27" t="inlineStr">
        <is>
          <t>pages</t>
        </is>
      </c>
      <c r="I56" s="28" t="inlineStr">
        <is>
          <t>← type: pages, lessons, chapters…</t>
        </is>
      </c>
      <c r="J56" s="29" t="n"/>
    </row>
    <row r="57" ht="22" customHeight="1">
      <c r="A57" s="45" t="inlineStr">
        <is>
          <t>Total Units:</t>
        </is>
      </c>
      <c r="B57" s="27" t="n"/>
      <c r="C57" s="45" t="inlineStr">
        <is>
          <t>School Weeks:</t>
        </is>
      </c>
      <c r="D57" s="30">
        <f>'Getting Started'!B9</f>
        <v/>
      </c>
      <c r="E57" s="45" t="inlineStr">
        <is>
          <t>Units / Week:</t>
        </is>
      </c>
      <c r="F57" s="12">
        <f>IFERROR(IF(B57="","",ROUND(B57/D57,1)),"")</f>
        <v/>
      </c>
      <c r="G57" s="45" t="inlineStr">
        <is>
          <t>Units / Day:</t>
        </is>
      </c>
      <c r="H57" s="12">
        <f>IFERROR(IF(F57="","",ROUND(F57/'Getting Started'!B10,1)),"")</f>
        <v/>
      </c>
      <c r="I57" s="45" t="inlineStr">
        <is>
          <t>Est. End Date:</t>
        </is>
      </c>
      <c r="J57" s="12">
        <f>IFERROR(IF(B57="","",TEXT('Getting Started'!B7+(B57/'Getting Started'!B10),"MMM D, YYYY")),"")</f>
        <v/>
      </c>
    </row>
    <row r="58" ht="18" customHeight="1">
      <c r="A58" s="31" t="inlineStr">
        <is>
          <t xml:space="preserve">  Optional: Component / Volume Breakdown  (fill in if curriculum has multiple books or parts)</t>
        </is>
      </c>
    </row>
    <row r="59" ht="18" customHeight="1">
      <c r="A59" s="32" t="inlineStr">
        <is>
          <t>#</t>
        </is>
      </c>
      <c r="B59" s="32" t="inlineStr">
        <is>
          <t>Component / Book Title</t>
        </is>
      </c>
      <c r="C59" s="29" t="n"/>
      <c r="D59" s="32" t="inlineStr">
        <is>
          <t>Total Units
in Component</t>
        </is>
      </c>
      <c r="E59" s="32" t="inlineStr">
        <is>
          <t>Cumulative
Units</t>
        </is>
      </c>
      <c r="F59" s="32" t="inlineStr">
        <is>
          <t>Start
Week</t>
        </is>
      </c>
      <c r="G59" s="32" t="inlineStr">
        <is>
          <t>End
Week</t>
        </is>
      </c>
      <c r="H59" s="32" t="inlineStr">
        <is>
          <t>Start
Date</t>
        </is>
      </c>
      <c r="I59" s="32" t="inlineStr">
        <is>
          <t>End
Date</t>
        </is>
      </c>
      <c r="J59" s="32" t="inlineStr">
        <is>
          <t>Complete?</t>
        </is>
      </c>
    </row>
    <row r="60" ht="18" customHeight="1">
      <c r="A60" s="33" t="n">
        <v>1</v>
      </c>
      <c r="B60" s="27" t="n"/>
      <c r="D60" s="34" t="n"/>
      <c r="E60" s="30">
        <f>IFERROR(SUM(D60:D60),"")</f>
        <v/>
      </c>
      <c r="F60" s="30">
        <f>IF(D60="","",1)</f>
        <v/>
      </c>
      <c r="G60" s="30">
        <f>IFERROR(IF(D60="","",CEILING(E60/F57,1)),"")</f>
        <v/>
      </c>
      <c r="H60" s="30">
        <f>IFERROR(IF(D60="","",TEXT('Getting Started'!B7+(F60-1)*7,"MMM D")),"")</f>
        <v/>
      </c>
      <c r="I60" s="30">
        <f>IFERROR(IF(D60="","",TEXT('Getting Started'!B7+(G60)*7,"MMM D")),"")</f>
        <v/>
      </c>
      <c r="J60" s="34" t="n"/>
    </row>
    <row r="61" ht="18" customHeight="1">
      <c r="A61" s="33" t="n">
        <v>2</v>
      </c>
      <c r="B61" s="35" t="n"/>
      <c r="D61" s="36" t="n"/>
      <c r="E61" s="30">
        <f>IFERROR(SUM(D60:D61),"")</f>
        <v/>
      </c>
      <c r="F61" s="30">
        <f>IFERROR(IF(D61="","",FLOOR(E60/F57,1)+1),"")</f>
        <v/>
      </c>
      <c r="G61" s="30">
        <f>IFERROR(IF(D61="","",CEILING(E61/F57,1)),"")</f>
        <v/>
      </c>
      <c r="H61" s="30">
        <f>IFERROR(IF(D61="","",TEXT('Getting Started'!B7+(F61-1)*7,"MMM D")),"")</f>
        <v/>
      </c>
      <c r="I61" s="30">
        <f>IFERROR(IF(D61="","",TEXT('Getting Started'!B7+(G61)*7,"MMM D")),"")</f>
        <v/>
      </c>
      <c r="J61" s="34" t="n"/>
    </row>
    <row r="62" ht="18" customHeight="1">
      <c r="A62" s="33" t="n">
        <v>3</v>
      </c>
      <c r="B62" s="27" t="n"/>
      <c r="D62" s="34" t="n"/>
      <c r="E62" s="30">
        <f>IFERROR(SUM(D60:D62),"")</f>
        <v/>
      </c>
      <c r="F62" s="30">
        <f>IFERROR(IF(D62="","",FLOOR(E61/F57,1)+1),"")</f>
        <v/>
      </c>
      <c r="G62" s="30">
        <f>IFERROR(IF(D62="","",CEILING(E62/F57,1)),"")</f>
        <v/>
      </c>
      <c r="H62" s="30">
        <f>IFERROR(IF(D62="","",TEXT('Getting Started'!B7+(F62-1)*7,"MMM D")),"")</f>
        <v/>
      </c>
      <c r="I62" s="30">
        <f>IFERROR(IF(D62="","",TEXT('Getting Started'!B7+(G62)*7,"MMM D")),"")</f>
        <v/>
      </c>
      <c r="J62" s="34" t="n"/>
    </row>
    <row r="63" ht="18" customHeight="1">
      <c r="A63" s="33" t="n">
        <v>4</v>
      </c>
      <c r="B63" s="35" t="n"/>
      <c r="D63" s="36" t="n"/>
      <c r="E63" s="30">
        <f>IFERROR(SUM(D60:D63),"")</f>
        <v/>
      </c>
      <c r="F63" s="30">
        <f>IFERROR(IF(D63="","",FLOOR(E62/F57,1)+1),"")</f>
        <v/>
      </c>
      <c r="G63" s="30">
        <f>IFERROR(IF(D63="","",CEILING(E63/F57,1)),"")</f>
        <v/>
      </c>
      <c r="H63" s="30">
        <f>IFERROR(IF(D63="","",TEXT('Getting Started'!B7+(F63-1)*7,"MMM D")),"")</f>
        <v/>
      </c>
      <c r="I63" s="30">
        <f>IFERROR(IF(D63="","",TEXT('Getting Started'!B7+(G63)*7,"MMM D")),"")</f>
        <v/>
      </c>
      <c r="J63" s="34" t="n"/>
    </row>
    <row r="64" ht="18" customHeight="1">
      <c r="A64" s="33" t="n">
        <v>5</v>
      </c>
      <c r="B64" s="27" t="n"/>
      <c r="D64" s="34" t="n"/>
      <c r="E64" s="30">
        <f>IFERROR(SUM(D60:D64),"")</f>
        <v/>
      </c>
      <c r="F64" s="30">
        <f>IFERROR(IF(D64="","",FLOOR(E63/F57,1)+1),"")</f>
        <v/>
      </c>
      <c r="G64" s="30">
        <f>IFERROR(IF(D64="","",CEILING(E64/F57,1)),"")</f>
        <v/>
      </c>
      <c r="H64" s="30">
        <f>IFERROR(IF(D64="","",TEXT('Getting Started'!B7+(F64-1)*7,"MMM D")),"")</f>
        <v/>
      </c>
      <c r="I64" s="30">
        <f>IFERROR(IF(D64="","",TEXT('Getting Started'!B7+(G64)*7,"MMM D")),"")</f>
        <v/>
      </c>
      <c r="J64" s="34" t="n"/>
    </row>
    <row r="65" ht="18" customHeight="1">
      <c r="A65" s="33" t="n">
        <v>6</v>
      </c>
      <c r="B65" s="35" t="n"/>
      <c r="D65" s="36" t="n"/>
      <c r="E65" s="30">
        <f>IFERROR(SUM(D60:D65),"")</f>
        <v/>
      </c>
      <c r="F65" s="30">
        <f>IFERROR(IF(D65="","",FLOOR(E64/F57,1)+1),"")</f>
        <v/>
      </c>
      <c r="G65" s="30">
        <f>IFERROR(IF(D65="","",CEILING(E65/F57,1)),"")</f>
        <v/>
      </c>
      <c r="H65" s="30">
        <f>IFERROR(IF(D65="","",TEXT('Getting Started'!B7+(F65-1)*7,"MMM D")),"")</f>
        <v/>
      </c>
      <c r="I65" s="30">
        <f>IFERROR(IF(D65="","",TEXT('Getting Started'!B7+(G65)*7,"MMM D")),"")</f>
        <v/>
      </c>
      <c r="J65" s="34" t="n"/>
    </row>
    <row r="66" ht="20" customHeight="1">
      <c r="A66" s="45" t="inlineStr">
        <is>
          <t>Notes:</t>
        </is>
      </c>
      <c r="B66" s="37" t="n"/>
    </row>
    <row r="67" ht="24" customHeight="1">
      <c r="A67" s="46" t="inlineStr">
        <is>
          <t xml:space="preserve">  SCIENCE</t>
        </is>
      </c>
    </row>
    <row r="68" ht="20" customHeight="1">
      <c r="A68" s="47" t="inlineStr">
        <is>
          <t>Curriculum / Title:</t>
        </is>
      </c>
      <c r="B68" s="27" t="n"/>
      <c r="F68" s="47" t="inlineStr">
        <is>
          <t>Unit type:</t>
        </is>
      </c>
      <c r="G68" s="27" t="inlineStr">
        <is>
          <t>pages</t>
        </is>
      </c>
      <c r="I68" s="28" t="inlineStr">
        <is>
          <t>← type: pages, lessons, chapters…</t>
        </is>
      </c>
      <c r="J68" s="29" t="n"/>
    </row>
    <row r="69" ht="22" customHeight="1">
      <c r="A69" s="47" t="inlineStr">
        <is>
          <t>Total Units:</t>
        </is>
      </c>
      <c r="B69" s="27" t="n"/>
      <c r="C69" s="47" t="inlineStr">
        <is>
          <t>School Weeks:</t>
        </is>
      </c>
      <c r="D69" s="30">
        <f>'Getting Started'!B9</f>
        <v/>
      </c>
      <c r="E69" s="47" t="inlineStr">
        <is>
          <t>Units / Week:</t>
        </is>
      </c>
      <c r="F69" s="12">
        <f>IFERROR(IF(B69="","",ROUND(B69/D69,1)),"")</f>
        <v/>
      </c>
      <c r="G69" s="47" t="inlineStr">
        <is>
          <t>Units / Day:</t>
        </is>
      </c>
      <c r="H69" s="12">
        <f>IFERROR(IF(F69="","",ROUND(F69/'Getting Started'!B10,1)),"")</f>
        <v/>
      </c>
      <c r="I69" s="47" t="inlineStr">
        <is>
          <t>Est. End Date:</t>
        </is>
      </c>
      <c r="J69" s="12">
        <f>IFERROR(IF(B69="","",TEXT('Getting Started'!B7+(B69/'Getting Started'!B10),"MMM D, YYYY")),"")</f>
        <v/>
      </c>
    </row>
    <row r="70" ht="18" customHeight="1">
      <c r="A70" s="31" t="inlineStr">
        <is>
          <t xml:space="preserve">  Optional: Component / Volume Breakdown  (fill in if curriculum has multiple books or parts)</t>
        </is>
      </c>
    </row>
    <row r="71" ht="18" customHeight="1">
      <c r="A71" s="32" t="inlineStr">
        <is>
          <t>#</t>
        </is>
      </c>
      <c r="B71" s="32" t="inlineStr">
        <is>
          <t>Component / Book Title</t>
        </is>
      </c>
      <c r="C71" s="29" t="n"/>
      <c r="D71" s="32" t="inlineStr">
        <is>
          <t>Total Units
in Component</t>
        </is>
      </c>
      <c r="E71" s="32" t="inlineStr">
        <is>
          <t>Cumulative
Units</t>
        </is>
      </c>
      <c r="F71" s="32" t="inlineStr">
        <is>
          <t>Start
Week</t>
        </is>
      </c>
      <c r="G71" s="32" t="inlineStr">
        <is>
          <t>End
Week</t>
        </is>
      </c>
      <c r="H71" s="32" t="inlineStr">
        <is>
          <t>Start
Date</t>
        </is>
      </c>
      <c r="I71" s="32" t="inlineStr">
        <is>
          <t>End
Date</t>
        </is>
      </c>
      <c r="J71" s="32" t="inlineStr">
        <is>
          <t>Complete?</t>
        </is>
      </c>
    </row>
    <row r="72" ht="18" customHeight="1">
      <c r="A72" s="33" t="n">
        <v>1</v>
      </c>
      <c r="B72" s="27" t="n"/>
      <c r="D72" s="34" t="n"/>
      <c r="E72" s="30">
        <f>IFERROR(SUM(D72:D72),"")</f>
        <v/>
      </c>
      <c r="F72" s="30">
        <f>IF(D72="","",1)</f>
        <v/>
      </c>
      <c r="G72" s="30">
        <f>IFERROR(IF(D72="","",CEILING(E72/F69,1)),"")</f>
        <v/>
      </c>
      <c r="H72" s="30">
        <f>IFERROR(IF(D72="","",TEXT('Getting Started'!B7+(F72-1)*7,"MMM D")),"")</f>
        <v/>
      </c>
      <c r="I72" s="30">
        <f>IFERROR(IF(D72="","",TEXT('Getting Started'!B7+(G72)*7,"MMM D")),"")</f>
        <v/>
      </c>
      <c r="J72" s="34" t="n"/>
    </row>
    <row r="73" ht="18" customHeight="1">
      <c r="A73" s="33" t="n">
        <v>2</v>
      </c>
      <c r="B73" s="35" t="n"/>
      <c r="D73" s="36" t="n"/>
      <c r="E73" s="30">
        <f>IFERROR(SUM(D72:D73),"")</f>
        <v/>
      </c>
      <c r="F73" s="30">
        <f>IFERROR(IF(D73="","",FLOOR(E72/F69,1)+1),"")</f>
        <v/>
      </c>
      <c r="G73" s="30">
        <f>IFERROR(IF(D73="","",CEILING(E73/F69,1)),"")</f>
        <v/>
      </c>
      <c r="H73" s="30">
        <f>IFERROR(IF(D73="","",TEXT('Getting Started'!B7+(F73-1)*7,"MMM D")),"")</f>
        <v/>
      </c>
      <c r="I73" s="30">
        <f>IFERROR(IF(D73="","",TEXT('Getting Started'!B7+(G73)*7,"MMM D")),"")</f>
        <v/>
      </c>
      <c r="J73" s="34" t="n"/>
    </row>
    <row r="74" ht="18" customHeight="1">
      <c r="A74" s="33" t="n">
        <v>3</v>
      </c>
      <c r="B74" s="27" t="n"/>
      <c r="D74" s="34" t="n"/>
      <c r="E74" s="30">
        <f>IFERROR(SUM(D72:D74),"")</f>
        <v/>
      </c>
      <c r="F74" s="30">
        <f>IFERROR(IF(D74="","",FLOOR(E73/F69,1)+1),"")</f>
        <v/>
      </c>
      <c r="G74" s="30">
        <f>IFERROR(IF(D74="","",CEILING(E74/F69,1)),"")</f>
        <v/>
      </c>
      <c r="H74" s="30">
        <f>IFERROR(IF(D74="","",TEXT('Getting Started'!B7+(F74-1)*7,"MMM D")),"")</f>
        <v/>
      </c>
      <c r="I74" s="30">
        <f>IFERROR(IF(D74="","",TEXT('Getting Started'!B7+(G74)*7,"MMM D")),"")</f>
        <v/>
      </c>
      <c r="J74" s="34" t="n"/>
    </row>
    <row r="75" ht="18" customHeight="1">
      <c r="A75" s="33" t="n">
        <v>4</v>
      </c>
      <c r="B75" s="35" t="n"/>
      <c r="D75" s="36" t="n"/>
      <c r="E75" s="30">
        <f>IFERROR(SUM(D72:D75),"")</f>
        <v/>
      </c>
      <c r="F75" s="30">
        <f>IFERROR(IF(D75="","",FLOOR(E74/F69,1)+1),"")</f>
        <v/>
      </c>
      <c r="G75" s="30">
        <f>IFERROR(IF(D75="","",CEILING(E75/F69,1)),"")</f>
        <v/>
      </c>
      <c r="H75" s="30">
        <f>IFERROR(IF(D75="","",TEXT('Getting Started'!B7+(F75-1)*7,"MMM D")),"")</f>
        <v/>
      </c>
      <c r="I75" s="30">
        <f>IFERROR(IF(D75="","",TEXT('Getting Started'!B7+(G75)*7,"MMM D")),"")</f>
        <v/>
      </c>
      <c r="J75" s="34" t="n"/>
    </row>
    <row r="76" ht="18" customHeight="1">
      <c r="A76" s="33" t="n">
        <v>5</v>
      </c>
      <c r="B76" s="27" t="n"/>
      <c r="D76" s="34" t="n"/>
      <c r="E76" s="30">
        <f>IFERROR(SUM(D72:D76),"")</f>
        <v/>
      </c>
      <c r="F76" s="30">
        <f>IFERROR(IF(D76="","",FLOOR(E75/F69,1)+1),"")</f>
        <v/>
      </c>
      <c r="G76" s="30">
        <f>IFERROR(IF(D76="","",CEILING(E76/F69,1)),"")</f>
        <v/>
      </c>
      <c r="H76" s="30">
        <f>IFERROR(IF(D76="","",TEXT('Getting Started'!B7+(F76-1)*7,"MMM D")),"")</f>
        <v/>
      </c>
      <c r="I76" s="30">
        <f>IFERROR(IF(D76="","",TEXT('Getting Started'!B7+(G76)*7,"MMM D")),"")</f>
        <v/>
      </c>
      <c r="J76" s="34" t="n"/>
    </row>
    <row r="77" ht="18" customHeight="1">
      <c r="A77" s="33" t="n">
        <v>6</v>
      </c>
      <c r="B77" s="35" t="n"/>
      <c r="D77" s="36" t="n"/>
      <c r="E77" s="30">
        <f>IFERROR(SUM(D72:D77),"")</f>
        <v/>
      </c>
      <c r="F77" s="30">
        <f>IFERROR(IF(D77="","",FLOOR(E76/F69,1)+1),"")</f>
        <v/>
      </c>
      <c r="G77" s="30">
        <f>IFERROR(IF(D77="","",CEILING(E77/F69,1)),"")</f>
        <v/>
      </c>
      <c r="H77" s="30">
        <f>IFERROR(IF(D77="","",TEXT('Getting Started'!B7+(F77-1)*7,"MMM D")),"")</f>
        <v/>
      </c>
      <c r="I77" s="30">
        <f>IFERROR(IF(D77="","",TEXT('Getting Started'!B7+(G77)*7,"MMM D")),"")</f>
        <v/>
      </c>
      <c r="J77" s="34" t="n"/>
    </row>
    <row r="78" ht="20" customHeight="1">
      <c r="A78" s="47" t="inlineStr">
        <is>
          <t>Notes:</t>
        </is>
      </c>
      <c r="B78" s="37" t="n"/>
    </row>
    <row r="79" ht="24" customHeight="1">
      <c r="A79" s="48" t="inlineStr">
        <is>
          <t xml:space="preserve">  SOCIAL STUDIES / HISTORY</t>
        </is>
      </c>
    </row>
    <row r="80" ht="20" customHeight="1">
      <c r="A80" s="49" t="inlineStr">
        <is>
          <t>Curriculum / Title:</t>
        </is>
      </c>
      <c r="B80" s="27" t="n"/>
      <c r="F80" s="49" t="inlineStr">
        <is>
          <t>Unit type:</t>
        </is>
      </c>
      <c r="G80" s="27" t="inlineStr">
        <is>
          <t>pages</t>
        </is>
      </c>
      <c r="I80" s="28" t="inlineStr">
        <is>
          <t>← type: pages, lessons, chapters…</t>
        </is>
      </c>
      <c r="J80" s="29" t="n"/>
    </row>
    <row r="81" ht="22" customHeight="1">
      <c r="A81" s="49" t="inlineStr">
        <is>
          <t>Total Units:</t>
        </is>
      </c>
      <c r="B81" s="27" t="n"/>
      <c r="C81" s="49" t="inlineStr">
        <is>
          <t>School Weeks:</t>
        </is>
      </c>
      <c r="D81" s="30">
        <f>'Getting Started'!B9</f>
        <v/>
      </c>
      <c r="E81" s="49" t="inlineStr">
        <is>
          <t>Units / Week:</t>
        </is>
      </c>
      <c r="F81" s="12">
        <f>IFERROR(IF(B81="","",ROUND(B81/D81,1)),"")</f>
        <v/>
      </c>
      <c r="G81" s="49" t="inlineStr">
        <is>
          <t>Units / Day:</t>
        </is>
      </c>
      <c r="H81" s="12">
        <f>IFERROR(IF(F81="","",ROUND(F81/'Getting Started'!B10,1)),"")</f>
        <v/>
      </c>
      <c r="I81" s="49" t="inlineStr">
        <is>
          <t>Est. End Date:</t>
        </is>
      </c>
      <c r="J81" s="12">
        <f>IFERROR(IF(B81="","",TEXT('Getting Started'!B7+(B81/'Getting Started'!B10),"MMM D, YYYY")),"")</f>
        <v/>
      </c>
    </row>
    <row r="82" ht="18" customHeight="1">
      <c r="A82" s="31" t="inlineStr">
        <is>
          <t xml:space="preserve">  Optional: Component / Volume Breakdown  (fill in if curriculum has multiple books or parts)</t>
        </is>
      </c>
    </row>
    <row r="83" ht="18" customHeight="1">
      <c r="A83" s="32" t="inlineStr">
        <is>
          <t>#</t>
        </is>
      </c>
      <c r="B83" s="32" t="inlineStr">
        <is>
          <t>Component / Book Title</t>
        </is>
      </c>
      <c r="C83" s="29" t="n"/>
      <c r="D83" s="32" t="inlineStr">
        <is>
          <t>Total Units
in Component</t>
        </is>
      </c>
      <c r="E83" s="32" t="inlineStr">
        <is>
          <t>Cumulative
Units</t>
        </is>
      </c>
      <c r="F83" s="32" t="inlineStr">
        <is>
          <t>Start
Week</t>
        </is>
      </c>
      <c r="G83" s="32" t="inlineStr">
        <is>
          <t>End
Week</t>
        </is>
      </c>
      <c r="H83" s="32" t="inlineStr">
        <is>
          <t>Start
Date</t>
        </is>
      </c>
      <c r="I83" s="32" t="inlineStr">
        <is>
          <t>End
Date</t>
        </is>
      </c>
      <c r="J83" s="32" t="inlineStr">
        <is>
          <t>Complete?</t>
        </is>
      </c>
    </row>
    <row r="84" ht="18" customHeight="1">
      <c r="A84" s="33" t="n">
        <v>1</v>
      </c>
      <c r="B84" s="27" t="n"/>
      <c r="D84" s="34" t="n"/>
      <c r="E84" s="30">
        <f>IFERROR(SUM(D84:D84),"")</f>
        <v/>
      </c>
      <c r="F84" s="30">
        <f>IF(D84="","",1)</f>
        <v/>
      </c>
      <c r="G84" s="30">
        <f>IFERROR(IF(D84="","",CEILING(E84/F81,1)),"")</f>
        <v/>
      </c>
      <c r="H84" s="30">
        <f>IFERROR(IF(D84="","",TEXT('Getting Started'!B7+(F84-1)*7,"MMM D")),"")</f>
        <v/>
      </c>
      <c r="I84" s="30">
        <f>IFERROR(IF(D84="","",TEXT('Getting Started'!B7+(G84)*7,"MMM D")),"")</f>
        <v/>
      </c>
      <c r="J84" s="34" t="n"/>
    </row>
    <row r="85" ht="18" customHeight="1">
      <c r="A85" s="33" t="n">
        <v>2</v>
      </c>
      <c r="B85" s="35" t="n"/>
      <c r="D85" s="36" t="n"/>
      <c r="E85" s="30">
        <f>IFERROR(SUM(D84:D85),"")</f>
        <v/>
      </c>
      <c r="F85" s="30">
        <f>IFERROR(IF(D85="","",FLOOR(E84/F81,1)+1),"")</f>
        <v/>
      </c>
      <c r="G85" s="30">
        <f>IFERROR(IF(D85="","",CEILING(E85/F81,1)),"")</f>
        <v/>
      </c>
      <c r="H85" s="30">
        <f>IFERROR(IF(D85="","",TEXT('Getting Started'!B7+(F85-1)*7,"MMM D")),"")</f>
        <v/>
      </c>
      <c r="I85" s="30">
        <f>IFERROR(IF(D85="","",TEXT('Getting Started'!B7+(G85)*7,"MMM D")),"")</f>
        <v/>
      </c>
      <c r="J85" s="34" t="n"/>
    </row>
    <row r="86" ht="18" customHeight="1">
      <c r="A86" s="33" t="n">
        <v>3</v>
      </c>
      <c r="B86" s="27" t="n"/>
      <c r="D86" s="34" t="n"/>
      <c r="E86" s="30">
        <f>IFERROR(SUM(D84:D86),"")</f>
        <v/>
      </c>
      <c r="F86" s="30">
        <f>IFERROR(IF(D86="","",FLOOR(E85/F81,1)+1),"")</f>
        <v/>
      </c>
      <c r="G86" s="30">
        <f>IFERROR(IF(D86="","",CEILING(E86/F81,1)),"")</f>
        <v/>
      </c>
      <c r="H86" s="30">
        <f>IFERROR(IF(D86="","",TEXT('Getting Started'!B7+(F86-1)*7,"MMM D")),"")</f>
        <v/>
      </c>
      <c r="I86" s="30">
        <f>IFERROR(IF(D86="","",TEXT('Getting Started'!B7+(G86)*7,"MMM D")),"")</f>
        <v/>
      </c>
      <c r="J86" s="34" t="n"/>
    </row>
    <row r="87" ht="18" customHeight="1">
      <c r="A87" s="33" t="n">
        <v>4</v>
      </c>
      <c r="B87" s="35" t="n"/>
      <c r="D87" s="36" t="n"/>
      <c r="E87" s="30">
        <f>IFERROR(SUM(D84:D87),"")</f>
        <v/>
      </c>
      <c r="F87" s="30">
        <f>IFERROR(IF(D87="","",FLOOR(E86/F81,1)+1),"")</f>
        <v/>
      </c>
      <c r="G87" s="30">
        <f>IFERROR(IF(D87="","",CEILING(E87/F81,1)),"")</f>
        <v/>
      </c>
      <c r="H87" s="30">
        <f>IFERROR(IF(D87="","",TEXT('Getting Started'!B7+(F87-1)*7,"MMM D")),"")</f>
        <v/>
      </c>
      <c r="I87" s="30">
        <f>IFERROR(IF(D87="","",TEXT('Getting Started'!B7+(G87)*7,"MMM D")),"")</f>
        <v/>
      </c>
      <c r="J87" s="34" t="n"/>
    </row>
    <row r="88" ht="18" customHeight="1">
      <c r="A88" s="33" t="n">
        <v>5</v>
      </c>
      <c r="B88" s="27" t="n"/>
      <c r="D88" s="34" t="n"/>
      <c r="E88" s="30">
        <f>IFERROR(SUM(D84:D88),"")</f>
        <v/>
      </c>
      <c r="F88" s="30">
        <f>IFERROR(IF(D88="","",FLOOR(E87/F81,1)+1),"")</f>
        <v/>
      </c>
      <c r="G88" s="30">
        <f>IFERROR(IF(D88="","",CEILING(E88/F81,1)),"")</f>
        <v/>
      </c>
      <c r="H88" s="30">
        <f>IFERROR(IF(D88="","",TEXT('Getting Started'!B7+(F88-1)*7,"MMM D")),"")</f>
        <v/>
      </c>
      <c r="I88" s="30">
        <f>IFERROR(IF(D88="","",TEXT('Getting Started'!B7+(G88)*7,"MMM D")),"")</f>
        <v/>
      </c>
      <c r="J88" s="34" t="n"/>
    </row>
    <row r="89" ht="18" customHeight="1">
      <c r="A89" s="33" t="n">
        <v>6</v>
      </c>
      <c r="B89" s="35" t="n"/>
      <c r="D89" s="36" t="n"/>
      <c r="E89" s="30">
        <f>IFERROR(SUM(D84:D89),"")</f>
        <v/>
      </c>
      <c r="F89" s="30">
        <f>IFERROR(IF(D89="","",FLOOR(E88/F81,1)+1),"")</f>
        <v/>
      </c>
      <c r="G89" s="30">
        <f>IFERROR(IF(D89="","",CEILING(E89/F81,1)),"")</f>
        <v/>
      </c>
      <c r="H89" s="30">
        <f>IFERROR(IF(D89="","",TEXT('Getting Started'!B7+(F89-1)*7,"MMM D")),"")</f>
        <v/>
      </c>
      <c r="I89" s="30">
        <f>IFERROR(IF(D89="","",TEXT('Getting Started'!B7+(G89)*7,"MMM D")),"")</f>
        <v/>
      </c>
      <c r="J89" s="34" t="n"/>
    </row>
    <row r="90" ht="20" customHeight="1">
      <c r="A90" s="49" t="inlineStr">
        <is>
          <t>Notes:</t>
        </is>
      </c>
      <c r="B90" s="37" t="n"/>
    </row>
    <row r="91" ht="24" customHeight="1">
      <c r="A91" s="50" t="inlineStr">
        <is>
          <t xml:space="preserve">  HEALTH</t>
        </is>
      </c>
    </row>
    <row r="92" ht="20" customHeight="1">
      <c r="A92" s="51" t="inlineStr">
        <is>
          <t>Curriculum / Title:</t>
        </is>
      </c>
      <c r="B92" s="27" t="n"/>
      <c r="F92" s="51" t="inlineStr">
        <is>
          <t>Unit type:</t>
        </is>
      </c>
      <c r="G92" s="27" t="inlineStr">
        <is>
          <t>pages</t>
        </is>
      </c>
      <c r="I92" s="28" t="inlineStr">
        <is>
          <t>← type: pages, lessons, chapters…</t>
        </is>
      </c>
      <c r="J92" s="29" t="n"/>
    </row>
    <row r="93" ht="22" customHeight="1">
      <c r="A93" s="51" t="inlineStr">
        <is>
          <t>Total Units:</t>
        </is>
      </c>
      <c r="B93" s="27" t="n"/>
      <c r="C93" s="51" t="inlineStr">
        <is>
          <t>School Weeks:</t>
        </is>
      </c>
      <c r="D93" s="30">
        <f>'Getting Started'!B9</f>
        <v/>
      </c>
      <c r="E93" s="51" t="inlineStr">
        <is>
          <t>Units / Week:</t>
        </is>
      </c>
      <c r="F93" s="12">
        <f>IFERROR(IF(B93="","",ROUND(B93/D93,1)),"")</f>
        <v/>
      </c>
      <c r="G93" s="51" t="inlineStr">
        <is>
          <t>Units / Day:</t>
        </is>
      </c>
      <c r="H93" s="12">
        <f>IFERROR(IF(F93="","",ROUND(F93/'Getting Started'!B10,1)),"")</f>
        <v/>
      </c>
      <c r="I93" s="51" t="inlineStr">
        <is>
          <t>Est. End Date:</t>
        </is>
      </c>
      <c r="J93" s="12">
        <f>IFERROR(IF(B93="","",TEXT('Getting Started'!B7+(B93/'Getting Started'!B10),"MMM D, YYYY")),"")</f>
        <v/>
      </c>
    </row>
    <row r="94" ht="18" customHeight="1">
      <c r="A94" s="31" t="inlineStr">
        <is>
          <t xml:space="preserve">  Optional: Component / Volume Breakdown  (fill in if curriculum has multiple books or parts)</t>
        </is>
      </c>
    </row>
    <row r="95" ht="18" customHeight="1">
      <c r="A95" s="32" t="inlineStr">
        <is>
          <t>#</t>
        </is>
      </c>
      <c r="B95" s="32" t="inlineStr">
        <is>
          <t>Component / Book Title</t>
        </is>
      </c>
      <c r="C95" s="29" t="n"/>
      <c r="D95" s="32" t="inlineStr">
        <is>
          <t>Total Units
in Component</t>
        </is>
      </c>
      <c r="E95" s="32" t="inlineStr">
        <is>
          <t>Cumulative
Units</t>
        </is>
      </c>
      <c r="F95" s="32" t="inlineStr">
        <is>
          <t>Start
Week</t>
        </is>
      </c>
      <c r="G95" s="32" t="inlineStr">
        <is>
          <t>End
Week</t>
        </is>
      </c>
      <c r="H95" s="32" t="inlineStr">
        <is>
          <t>Start
Date</t>
        </is>
      </c>
      <c r="I95" s="32" t="inlineStr">
        <is>
          <t>End
Date</t>
        </is>
      </c>
      <c r="J95" s="32" t="inlineStr">
        <is>
          <t>Complete?</t>
        </is>
      </c>
    </row>
    <row r="96" ht="18" customHeight="1">
      <c r="A96" s="33" t="n">
        <v>1</v>
      </c>
      <c r="B96" s="27" t="n"/>
      <c r="D96" s="34" t="n"/>
      <c r="E96" s="30">
        <f>IFERROR(SUM(D96:D96),"")</f>
        <v/>
      </c>
      <c r="F96" s="30">
        <f>IF(D96="","",1)</f>
        <v/>
      </c>
      <c r="G96" s="30">
        <f>IFERROR(IF(D96="","",CEILING(E96/F93,1)),"")</f>
        <v/>
      </c>
      <c r="H96" s="30">
        <f>IFERROR(IF(D96="","",TEXT('Getting Started'!B7+(F96-1)*7,"MMM D")),"")</f>
        <v/>
      </c>
      <c r="I96" s="30">
        <f>IFERROR(IF(D96="","",TEXT('Getting Started'!B7+(G96)*7,"MMM D")),"")</f>
        <v/>
      </c>
      <c r="J96" s="34" t="n"/>
    </row>
    <row r="97" ht="18" customHeight="1">
      <c r="A97" s="33" t="n">
        <v>2</v>
      </c>
      <c r="B97" s="35" t="n"/>
      <c r="D97" s="36" t="n"/>
      <c r="E97" s="30">
        <f>IFERROR(SUM(D96:D97),"")</f>
        <v/>
      </c>
      <c r="F97" s="30">
        <f>IFERROR(IF(D97="","",FLOOR(E96/F93,1)+1),"")</f>
        <v/>
      </c>
      <c r="G97" s="30">
        <f>IFERROR(IF(D97="","",CEILING(E97/F93,1)),"")</f>
        <v/>
      </c>
      <c r="H97" s="30">
        <f>IFERROR(IF(D97="","",TEXT('Getting Started'!B7+(F97-1)*7,"MMM D")),"")</f>
        <v/>
      </c>
      <c r="I97" s="30">
        <f>IFERROR(IF(D97="","",TEXT('Getting Started'!B7+(G97)*7,"MMM D")),"")</f>
        <v/>
      </c>
      <c r="J97" s="34" t="n"/>
    </row>
    <row r="98" ht="18" customHeight="1">
      <c r="A98" s="33" t="n">
        <v>3</v>
      </c>
      <c r="B98" s="27" t="n"/>
      <c r="D98" s="34" t="n"/>
      <c r="E98" s="30">
        <f>IFERROR(SUM(D96:D98),"")</f>
        <v/>
      </c>
      <c r="F98" s="30">
        <f>IFERROR(IF(D98="","",FLOOR(E97/F93,1)+1),"")</f>
        <v/>
      </c>
      <c r="G98" s="30">
        <f>IFERROR(IF(D98="","",CEILING(E98/F93,1)),"")</f>
        <v/>
      </c>
      <c r="H98" s="30">
        <f>IFERROR(IF(D98="","",TEXT('Getting Started'!B7+(F98-1)*7,"MMM D")),"")</f>
        <v/>
      </c>
      <c r="I98" s="30">
        <f>IFERROR(IF(D98="","",TEXT('Getting Started'!B7+(G98)*7,"MMM D")),"")</f>
        <v/>
      </c>
      <c r="J98" s="34" t="n"/>
    </row>
    <row r="99" ht="18" customHeight="1">
      <c r="A99" s="33" t="n">
        <v>4</v>
      </c>
      <c r="B99" s="35" t="n"/>
      <c r="D99" s="36" t="n"/>
      <c r="E99" s="30">
        <f>IFERROR(SUM(D96:D99),"")</f>
        <v/>
      </c>
      <c r="F99" s="30">
        <f>IFERROR(IF(D99="","",FLOOR(E98/F93,1)+1),"")</f>
        <v/>
      </c>
      <c r="G99" s="30">
        <f>IFERROR(IF(D99="","",CEILING(E99/F93,1)),"")</f>
        <v/>
      </c>
      <c r="H99" s="30">
        <f>IFERROR(IF(D99="","",TEXT('Getting Started'!B7+(F99-1)*7,"MMM D")),"")</f>
        <v/>
      </c>
      <c r="I99" s="30">
        <f>IFERROR(IF(D99="","",TEXT('Getting Started'!B7+(G99)*7,"MMM D")),"")</f>
        <v/>
      </c>
      <c r="J99" s="34" t="n"/>
    </row>
    <row r="100" ht="18" customHeight="1">
      <c r="A100" s="33" t="n">
        <v>5</v>
      </c>
      <c r="B100" s="27" t="n"/>
      <c r="D100" s="34" t="n"/>
      <c r="E100" s="30">
        <f>IFERROR(SUM(D96:D100),"")</f>
        <v/>
      </c>
      <c r="F100" s="30">
        <f>IFERROR(IF(D100="","",FLOOR(E99/F93,1)+1),"")</f>
        <v/>
      </c>
      <c r="G100" s="30">
        <f>IFERROR(IF(D100="","",CEILING(E100/F93,1)),"")</f>
        <v/>
      </c>
      <c r="H100" s="30">
        <f>IFERROR(IF(D100="","",TEXT('Getting Started'!B7+(F100-1)*7,"MMM D")),"")</f>
        <v/>
      </c>
      <c r="I100" s="30">
        <f>IFERROR(IF(D100="","",TEXT('Getting Started'!B7+(G100)*7,"MMM D")),"")</f>
        <v/>
      </c>
      <c r="J100" s="34" t="n"/>
    </row>
    <row r="101" ht="18" customHeight="1">
      <c r="A101" s="33" t="n">
        <v>6</v>
      </c>
      <c r="B101" s="35" t="n"/>
      <c r="D101" s="36" t="n"/>
      <c r="E101" s="30">
        <f>IFERROR(SUM(D96:D101),"")</f>
        <v/>
      </c>
      <c r="F101" s="30">
        <f>IFERROR(IF(D101="","",FLOOR(E100/F93,1)+1),"")</f>
        <v/>
      </c>
      <c r="G101" s="30">
        <f>IFERROR(IF(D101="","",CEILING(E101/F93,1)),"")</f>
        <v/>
      </c>
      <c r="H101" s="30">
        <f>IFERROR(IF(D101="","",TEXT('Getting Started'!B7+(F101-1)*7,"MMM D")),"")</f>
        <v/>
      </c>
      <c r="I101" s="30">
        <f>IFERROR(IF(D101="","",TEXT('Getting Started'!B7+(G101)*7,"MMM D")),"")</f>
        <v/>
      </c>
      <c r="J101" s="34" t="n"/>
    </row>
    <row r="102" ht="20" customHeight="1">
      <c r="A102" s="51" t="inlineStr">
        <is>
          <t>Notes:</t>
        </is>
      </c>
      <c r="B102" s="37" t="n"/>
    </row>
    <row r="103" ht="24" customHeight="1">
      <c r="A103" s="52" t="inlineStr">
        <is>
          <t xml:space="preserve">  PHYSICAL EDUCATION</t>
        </is>
      </c>
    </row>
    <row r="104" ht="20" customHeight="1">
      <c r="A104" s="53" t="inlineStr">
        <is>
          <t>Curriculum / Title:</t>
        </is>
      </c>
      <c r="B104" s="27" t="n"/>
      <c r="F104" s="53" t="inlineStr">
        <is>
          <t>Unit type:</t>
        </is>
      </c>
      <c r="G104" s="27" t="inlineStr">
        <is>
          <t>pages</t>
        </is>
      </c>
      <c r="I104" s="28" t="inlineStr">
        <is>
          <t>← type: pages, lessons, chapters…</t>
        </is>
      </c>
      <c r="J104" s="29" t="n"/>
    </row>
    <row r="105" ht="22" customHeight="1">
      <c r="A105" s="53" t="inlineStr">
        <is>
          <t>Total Units:</t>
        </is>
      </c>
      <c r="B105" s="27" t="n"/>
      <c r="C105" s="53" t="inlineStr">
        <is>
          <t>School Weeks:</t>
        </is>
      </c>
      <c r="D105" s="30">
        <f>'Getting Started'!B9</f>
        <v/>
      </c>
      <c r="E105" s="53" t="inlineStr">
        <is>
          <t>Units / Week:</t>
        </is>
      </c>
      <c r="F105" s="12">
        <f>IFERROR(IF(B105="","",ROUND(B105/D105,1)),"")</f>
        <v/>
      </c>
      <c r="G105" s="53" t="inlineStr">
        <is>
          <t>Units / Day:</t>
        </is>
      </c>
      <c r="H105" s="12">
        <f>IFERROR(IF(F105="","",ROUND(F105/'Getting Started'!B10,1)),"")</f>
        <v/>
      </c>
      <c r="I105" s="53" t="inlineStr">
        <is>
          <t>Est. End Date:</t>
        </is>
      </c>
      <c r="J105" s="12">
        <f>IFERROR(IF(B105="","",TEXT('Getting Started'!B7+(B105/'Getting Started'!B10),"MMM D, YYYY")),"")</f>
        <v/>
      </c>
    </row>
    <row r="106" ht="18" customHeight="1">
      <c r="A106" s="31" t="inlineStr">
        <is>
          <t xml:space="preserve">  Optional: Component / Volume Breakdown  (fill in if curriculum has multiple books or parts)</t>
        </is>
      </c>
    </row>
    <row r="107" ht="18" customHeight="1">
      <c r="A107" s="32" t="inlineStr">
        <is>
          <t>#</t>
        </is>
      </c>
      <c r="B107" s="32" t="inlineStr">
        <is>
          <t>Component / Book Title</t>
        </is>
      </c>
      <c r="C107" s="29" t="n"/>
      <c r="D107" s="32" t="inlineStr">
        <is>
          <t>Total Units
in Component</t>
        </is>
      </c>
      <c r="E107" s="32" t="inlineStr">
        <is>
          <t>Cumulative
Units</t>
        </is>
      </c>
      <c r="F107" s="32" t="inlineStr">
        <is>
          <t>Start
Week</t>
        </is>
      </c>
      <c r="G107" s="32" t="inlineStr">
        <is>
          <t>End
Week</t>
        </is>
      </c>
      <c r="H107" s="32" t="inlineStr">
        <is>
          <t>Start
Date</t>
        </is>
      </c>
      <c r="I107" s="32" t="inlineStr">
        <is>
          <t>End
Date</t>
        </is>
      </c>
      <c r="J107" s="32" t="inlineStr">
        <is>
          <t>Complete?</t>
        </is>
      </c>
    </row>
    <row r="108" ht="18" customHeight="1">
      <c r="A108" s="33" t="n">
        <v>1</v>
      </c>
      <c r="B108" s="27" t="n"/>
      <c r="D108" s="34" t="n"/>
      <c r="E108" s="30">
        <f>IFERROR(SUM(D108:D108),"")</f>
        <v/>
      </c>
      <c r="F108" s="30">
        <f>IF(D108="","",1)</f>
        <v/>
      </c>
      <c r="G108" s="30">
        <f>IFERROR(IF(D108="","",CEILING(E108/F105,1)),"")</f>
        <v/>
      </c>
      <c r="H108" s="30">
        <f>IFERROR(IF(D108="","",TEXT('Getting Started'!B7+(F108-1)*7,"MMM D")),"")</f>
        <v/>
      </c>
      <c r="I108" s="30">
        <f>IFERROR(IF(D108="","",TEXT('Getting Started'!B7+(G108)*7,"MMM D")),"")</f>
        <v/>
      </c>
      <c r="J108" s="34" t="n"/>
    </row>
    <row r="109" ht="18" customHeight="1">
      <c r="A109" s="33" t="n">
        <v>2</v>
      </c>
      <c r="B109" s="35" t="n"/>
      <c r="D109" s="36" t="n"/>
      <c r="E109" s="30">
        <f>IFERROR(SUM(D108:D109),"")</f>
        <v/>
      </c>
      <c r="F109" s="30">
        <f>IFERROR(IF(D109="","",FLOOR(E108/F105,1)+1),"")</f>
        <v/>
      </c>
      <c r="G109" s="30">
        <f>IFERROR(IF(D109="","",CEILING(E109/F105,1)),"")</f>
        <v/>
      </c>
      <c r="H109" s="30">
        <f>IFERROR(IF(D109="","",TEXT('Getting Started'!B7+(F109-1)*7,"MMM D")),"")</f>
        <v/>
      </c>
      <c r="I109" s="30">
        <f>IFERROR(IF(D109="","",TEXT('Getting Started'!B7+(G109)*7,"MMM D")),"")</f>
        <v/>
      </c>
      <c r="J109" s="34" t="n"/>
    </row>
    <row r="110" ht="18" customHeight="1">
      <c r="A110" s="33" t="n">
        <v>3</v>
      </c>
      <c r="B110" s="27" t="n"/>
      <c r="D110" s="34" t="n"/>
      <c r="E110" s="30">
        <f>IFERROR(SUM(D108:D110),"")</f>
        <v/>
      </c>
      <c r="F110" s="30">
        <f>IFERROR(IF(D110="","",FLOOR(E109/F105,1)+1),"")</f>
        <v/>
      </c>
      <c r="G110" s="30">
        <f>IFERROR(IF(D110="","",CEILING(E110/F105,1)),"")</f>
        <v/>
      </c>
      <c r="H110" s="30">
        <f>IFERROR(IF(D110="","",TEXT('Getting Started'!B7+(F110-1)*7,"MMM D")),"")</f>
        <v/>
      </c>
      <c r="I110" s="30">
        <f>IFERROR(IF(D110="","",TEXT('Getting Started'!B7+(G110)*7,"MMM D")),"")</f>
        <v/>
      </c>
      <c r="J110" s="34" t="n"/>
    </row>
    <row r="111" ht="18" customHeight="1">
      <c r="A111" s="33" t="n">
        <v>4</v>
      </c>
      <c r="B111" s="35" t="n"/>
      <c r="D111" s="36" t="n"/>
      <c r="E111" s="30">
        <f>IFERROR(SUM(D108:D111),"")</f>
        <v/>
      </c>
      <c r="F111" s="30">
        <f>IFERROR(IF(D111="","",FLOOR(E110/F105,1)+1),"")</f>
        <v/>
      </c>
      <c r="G111" s="30">
        <f>IFERROR(IF(D111="","",CEILING(E111/F105,1)),"")</f>
        <v/>
      </c>
      <c r="H111" s="30">
        <f>IFERROR(IF(D111="","",TEXT('Getting Started'!B7+(F111-1)*7,"MMM D")),"")</f>
        <v/>
      </c>
      <c r="I111" s="30">
        <f>IFERROR(IF(D111="","",TEXT('Getting Started'!B7+(G111)*7,"MMM D")),"")</f>
        <v/>
      </c>
      <c r="J111" s="34" t="n"/>
    </row>
    <row r="112" ht="18" customHeight="1">
      <c r="A112" s="33" t="n">
        <v>5</v>
      </c>
      <c r="B112" s="27" t="n"/>
      <c r="D112" s="34" t="n"/>
      <c r="E112" s="30">
        <f>IFERROR(SUM(D108:D112),"")</f>
        <v/>
      </c>
      <c r="F112" s="30">
        <f>IFERROR(IF(D112="","",FLOOR(E111/F105,1)+1),"")</f>
        <v/>
      </c>
      <c r="G112" s="30">
        <f>IFERROR(IF(D112="","",CEILING(E112/F105,1)),"")</f>
        <v/>
      </c>
      <c r="H112" s="30">
        <f>IFERROR(IF(D112="","",TEXT('Getting Started'!B7+(F112-1)*7,"MMM D")),"")</f>
        <v/>
      </c>
      <c r="I112" s="30">
        <f>IFERROR(IF(D112="","",TEXT('Getting Started'!B7+(G112)*7,"MMM D")),"")</f>
        <v/>
      </c>
      <c r="J112" s="34" t="n"/>
    </row>
    <row r="113" ht="18" customHeight="1">
      <c r="A113" s="33" t="n">
        <v>6</v>
      </c>
      <c r="B113" s="35" t="n"/>
      <c r="D113" s="36" t="n"/>
      <c r="E113" s="30">
        <f>IFERROR(SUM(D108:D113),"")</f>
        <v/>
      </c>
      <c r="F113" s="30">
        <f>IFERROR(IF(D113="","",FLOOR(E112/F105,1)+1),"")</f>
        <v/>
      </c>
      <c r="G113" s="30">
        <f>IFERROR(IF(D113="","",CEILING(E113/F105,1)),"")</f>
        <v/>
      </c>
      <c r="H113" s="30">
        <f>IFERROR(IF(D113="","",TEXT('Getting Started'!B7+(F113-1)*7,"MMM D")),"")</f>
        <v/>
      </c>
      <c r="I113" s="30">
        <f>IFERROR(IF(D113="","",TEXT('Getting Started'!B7+(G113)*7,"MMM D")),"")</f>
        <v/>
      </c>
      <c r="J113" s="34" t="n"/>
    </row>
    <row r="114" ht="20" customHeight="1">
      <c r="A114" s="53" t="inlineStr">
        <is>
          <t>Notes:</t>
        </is>
      </c>
      <c r="B114" s="37" t="n"/>
    </row>
    <row r="115" ht="24" customHeight="1">
      <c r="A115" s="54" t="inlineStr">
        <is>
          <t xml:space="preserve">  ART / MUSIC</t>
        </is>
      </c>
    </row>
    <row r="116" ht="20" customHeight="1">
      <c r="A116" s="55" t="inlineStr">
        <is>
          <t>Curriculum / Title:</t>
        </is>
      </c>
      <c r="B116" s="27" t="n"/>
      <c r="F116" s="55" t="inlineStr">
        <is>
          <t>Unit type:</t>
        </is>
      </c>
      <c r="G116" s="27" t="inlineStr">
        <is>
          <t>pages</t>
        </is>
      </c>
      <c r="I116" s="28" t="inlineStr">
        <is>
          <t>← type: pages, lessons, chapters…</t>
        </is>
      </c>
      <c r="J116" s="29" t="n"/>
    </row>
    <row r="117" ht="22" customHeight="1">
      <c r="A117" s="55" t="inlineStr">
        <is>
          <t>Total Units:</t>
        </is>
      </c>
      <c r="B117" s="27" t="n"/>
      <c r="C117" s="55" t="inlineStr">
        <is>
          <t>School Weeks:</t>
        </is>
      </c>
      <c r="D117" s="30">
        <f>'Getting Started'!B9</f>
        <v/>
      </c>
      <c r="E117" s="55" t="inlineStr">
        <is>
          <t>Units / Week:</t>
        </is>
      </c>
      <c r="F117" s="12">
        <f>IFERROR(IF(B117="","",ROUND(B117/D117,1)),"")</f>
        <v/>
      </c>
      <c r="G117" s="55" t="inlineStr">
        <is>
          <t>Units / Day:</t>
        </is>
      </c>
      <c r="H117" s="12">
        <f>IFERROR(IF(F117="","",ROUND(F117/'Getting Started'!B10,1)),"")</f>
        <v/>
      </c>
      <c r="I117" s="55" t="inlineStr">
        <is>
          <t>Est. End Date:</t>
        </is>
      </c>
      <c r="J117" s="12">
        <f>IFERROR(IF(B117="","",TEXT('Getting Started'!B7+(B117/'Getting Started'!B10),"MMM D, YYYY")),"")</f>
        <v/>
      </c>
    </row>
    <row r="118" ht="18" customHeight="1">
      <c r="A118" s="31" t="inlineStr">
        <is>
          <t xml:space="preserve">  Optional: Component / Volume Breakdown  (fill in if curriculum has multiple books or parts)</t>
        </is>
      </c>
    </row>
    <row r="119" ht="18" customHeight="1">
      <c r="A119" s="32" t="inlineStr">
        <is>
          <t>#</t>
        </is>
      </c>
      <c r="B119" s="32" t="inlineStr">
        <is>
          <t>Component / Book Title</t>
        </is>
      </c>
      <c r="C119" s="29" t="n"/>
      <c r="D119" s="32" t="inlineStr">
        <is>
          <t>Total Units
in Component</t>
        </is>
      </c>
      <c r="E119" s="32" t="inlineStr">
        <is>
          <t>Cumulative
Units</t>
        </is>
      </c>
      <c r="F119" s="32" t="inlineStr">
        <is>
          <t>Start
Week</t>
        </is>
      </c>
      <c r="G119" s="32" t="inlineStr">
        <is>
          <t>End
Week</t>
        </is>
      </c>
      <c r="H119" s="32" t="inlineStr">
        <is>
          <t>Start
Date</t>
        </is>
      </c>
      <c r="I119" s="32" t="inlineStr">
        <is>
          <t>End
Date</t>
        </is>
      </c>
      <c r="J119" s="32" t="inlineStr">
        <is>
          <t>Complete?</t>
        </is>
      </c>
    </row>
    <row r="120" ht="18" customHeight="1">
      <c r="A120" s="33" t="n">
        <v>1</v>
      </c>
      <c r="B120" s="27" t="n"/>
      <c r="D120" s="34" t="n"/>
      <c r="E120" s="30">
        <f>IFERROR(SUM(D120:D120),"")</f>
        <v/>
      </c>
      <c r="F120" s="30">
        <f>IF(D120="","",1)</f>
        <v/>
      </c>
      <c r="G120" s="30">
        <f>IFERROR(IF(D120="","",CEILING(E120/F117,1)),"")</f>
        <v/>
      </c>
      <c r="H120" s="30">
        <f>IFERROR(IF(D120="","",TEXT('Getting Started'!B7+(F120-1)*7,"MMM D")),"")</f>
        <v/>
      </c>
      <c r="I120" s="30">
        <f>IFERROR(IF(D120="","",TEXT('Getting Started'!B7+(G120)*7,"MMM D")),"")</f>
        <v/>
      </c>
      <c r="J120" s="34" t="n"/>
    </row>
    <row r="121" ht="18" customHeight="1">
      <c r="A121" s="33" t="n">
        <v>2</v>
      </c>
      <c r="B121" s="35" t="n"/>
      <c r="D121" s="36" t="n"/>
      <c r="E121" s="30">
        <f>IFERROR(SUM(D120:D121),"")</f>
        <v/>
      </c>
      <c r="F121" s="30">
        <f>IFERROR(IF(D121="","",FLOOR(E120/F117,1)+1),"")</f>
        <v/>
      </c>
      <c r="G121" s="30">
        <f>IFERROR(IF(D121="","",CEILING(E121/F117,1)),"")</f>
        <v/>
      </c>
      <c r="H121" s="30">
        <f>IFERROR(IF(D121="","",TEXT('Getting Started'!B7+(F121-1)*7,"MMM D")),"")</f>
        <v/>
      </c>
      <c r="I121" s="30">
        <f>IFERROR(IF(D121="","",TEXT('Getting Started'!B7+(G121)*7,"MMM D")),"")</f>
        <v/>
      </c>
      <c r="J121" s="34" t="n"/>
    </row>
    <row r="122" ht="18" customHeight="1">
      <c r="A122" s="33" t="n">
        <v>3</v>
      </c>
      <c r="B122" s="27" t="n"/>
      <c r="D122" s="34" t="n"/>
      <c r="E122" s="30">
        <f>IFERROR(SUM(D120:D122),"")</f>
        <v/>
      </c>
      <c r="F122" s="30">
        <f>IFERROR(IF(D122="","",FLOOR(E121/F117,1)+1),"")</f>
        <v/>
      </c>
      <c r="G122" s="30">
        <f>IFERROR(IF(D122="","",CEILING(E122/F117,1)),"")</f>
        <v/>
      </c>
      <c r="H122" s="30">
        <f>IFERROR(IF(D122="","",TEXT('Getting Started'!B7+(F122-1)*7,"MMM D")),"")</f>
        <v/>
      </c>
      <c r="I122" s="30">
        <f>IFERROR(IF(D122="","",TEXT('Getting Started'!B7+(G122)*7,"MMM D")),"")</f>
        <v/>
      </c>
      <c r="J122" s="34" t="n"/>
    </row>
    <row r="123" ht="18" customHeight="1">
      <c r="A123" s="33" t="n">
        <v>4</v>
      </c>
      <c r="B123" s="35" t="n"/>
      <c r="D123" s="36" t="n"/>
      <c r="E123" s="30">
        <f>IFERROR(SUM(D120:D123),"")</f>
        <v/>
      </c>
      <c r="F123" s="30">
        <f>IFERROR(IF(D123="","",FLOOR(E122/F117,1)+1),"")</f>
        <v/>
      </c>
      <c r="G123" s="30">
        <f>IFERROR(IF(D123="","",CEILING(E123/F117,1)),"")</f>
        <v/>
      </c>
      <c r="H123" s="30">
        <f>IFERROR(IF(D123="","",TEXT('Getting Started'!B7+(F123-1)*7,"MMM D")),"")</f>
        <v/>
      </c>
      <c r="I123" s="30">
        <f>IFERROR(IF(D123="","",TEXT('Getting Started'!B7+(G123)*7,"MMM D")),"")</f>
        <v/>
      </c>
      <c r="J123" s="34" t="n"/>
    </row>
    <row r="124" ht="18" customHeight="1">
      <c r="A124" s="33" t="n">
        <v>5</v>
      </c>
      <c r="B124" s="27" t="n"/>
      <c r="D124" s="34" t="n"/>
      <c r="E124" s="30">
        <f>IFERROR(SUM(D120:D124),"")</f>
        <v/>
      </c>
      <c r="F124" s="30">
        <f>IFERROR(IF(D124="","",FLOOR(E123/F117,1)+1),"")</f>
        <v/>
      </c>
      <c r="G124" s="30">
        <f>IFERROR(IF(D124="","",CEILING(E124/F117,1)),"")</f>
        <v/>
      </c>
      <c r="H124" s="30">
        <f>IFERROR(IF(D124="","",TEXT('Getting Started'!B7+(F124-1)*7,"MMM D")),"")</f>
        <v/>
      </c>
      <c r="I124" s="30">
        <f>IFERROR(IF(D124="","",TEXT('Getting Started'!B7+(G124)*7,"MMM D")),"")</f>
        <v/>
      </c>
      <c r="J124" s="34" t="n"/>
    </row>
    <row r="125" ht="18" customHeight="1">
      <c r="A125" s="33" t="n">
        <v>6</v>
      </c>
      <c r="B125" s="35" t="n"/>
      <c r="D125" s="36" t="n"/>
      <c r="E125" s="30">
        <f>IFERROR(SUM(D120:D125),"")</f>
        <v/>
      </c>
      <c r="F125" s="30">
        <f>IFERROR(IF(D125="","",FLOOR(E124/F117,1)+1),"")</f>
        <v/>
      </c>
      <c r="G125" s="30">
        <f>IFERROR(IF(D125="","",CEILING(E125/F117,1)),"")</f>
        <v/>
      </c>
      <c r="H125" s="30">
        <f>IFERROR(IF(D125="","",TEXT('Getting Started'!B7+(F125-1)*7,"MMM D")),"")</f>
        <v/>
      </c>
      <c r="I125" s="30">
        <f>IFERROR(IF(D125="","",TEXT('Getting Started'!B7+(G125)*7,"MMM D")),"")</f>
        <v/>
      </c>
      <c r="J125" s="34" t="n"/>
    </row>
    <row r="126" ht="20" customHeight="1">
      <c r="A126" s="55" t="inlineStr">
        <is>
          <t>Notes:</t>
        </is>
      </c>
      <c r="B126" s="37" t="n"/>
    </row>
  </sheetData>
  <mergeCells count="133">
    <mergeCell ref="B100:C100"/>
    <mergeCell ref="I104:J104"/>
    <mergeCell ref="B68:E68"/>
    <mergeCell ref="A91:J91"/>
    <mergeCell ref="A43:J43"/>
    <mergeCell ref="B12:C12"/>
    <mergeCell ref="B77:C77"/>
    <mergeCell ref="B78:J78"/>
    <mergeCell ref="A115:J115"/>
    <mergeCell ref="B86:C86"/>
    <mergeCell ref="B61:C61"/>
    <mergeCell ref="A34:J34"/>
    <mergeCell ref="B101:C101"/>
    <mergeCell ref="B14:C14"/>
    <mergeCell ref="B13:C13"/>
    <mergeCell ref="B38:C38"/>
    <mergeCell ref="G68:H68"/>
    <mergeCell ref="B112:C112"/>
    <mergeCell ref="B40:C40"/>
    <mergeCell ref="B49:C49"/>
    <mergeCell ref="I44:J44"/>
    <mergeCell ref="A118:J118"/>
    <mergeCell ref="G20:H20"/>
    <mergeCell ref="B24:C24"/>
    <mergeCell ref="B64:C64"/>
    <mergeCell ref="I20:J20"/>
    <mergeCell ref="B90:J90"/>
    <mergeCell ref="B51:C51"/>
    <mergeCell ref="B66:J66"/>
    <mergeCell ref="A55:J55"/>
    <mergeCell ref="B18:J18"/>
    <mergeCell ref="G44:H44"/>
    <mergeCell ref="B63:C63"/>
    <mergeCell ref="B26:C26"/>
    <mergeCell ref="B41:C41"/>
    <mergeCell ref="B35:C35"/>
    <mergeCell ref="B16:C16"/>
    <mergeCell ref="B25:C25"/>
    <mergeCell ref="A106:J106"/>
    <mergeCell ref="I80:J80"/>
    <mergeCell ref="A4:J4"/>
    <mergeCell ref="B104:E104"/>
    <mergeCell ref="B27:C27"/>
    <mergeCell ref="B32:E32"/>
    <mergeCell ref="A31:J31"/>
    <mergeCell ref="B11:C11"/>
    <mergeCell ref="A58:J58"/>
    <mergeCell ref="I32:J32"/>
    <mergeCell ref="A67:J67"/>
    <mergeCell ref="A82:J82"/>
    <mergeCell ref="B53:C53"/>
    <mergeCell ref="I56:J56"/>
    <mergeCell ref="B119:C119"/>
    <mergeCell ref="B29:C29"/>
    <mergeCell ref="B37:C37"/>
    <mergeCell ref="G104:H104"/>
    <mergeCell ref="A7:J7"/>
    <mergeCell ref="B84:C84"/>
    <mergeCell ref="I8:J8"/>
    <mergeCell ref="B54:J54"/>
    <mergeCell ref="B15:C15"/>
    <mergeCell ref="B95:C95"/>
    <mergeCell ref="B89:C89"/>
    <mergeCell ref="B116:E116"/>
    <mergeCell ref="A2:J2"/>
    <mergeCell ref="B97:C97"/>
    <mergeCell ref="B125:C125"/>
    <mergeCell ref="B72:C72"/>
    <mergeCell ref="A22:J22"/>
    <mergeCell ref="B42:J42"/>
    <mergeCell ref="B121:C121"/>
    <mergeCell ref="I116:J116"/>
    <mergeCell ref="B80:E80"/>
    <mergeCell ref="B122:C122"/>
    <mergeCell ref="B96:C96"/>
    <mergeCell ref="B71:C71"/>
    <mergeCell ref="B52:C52"/>
    <mergeCell ref="G116:H116"/>
    <mergeCell ref="B120:C120"/>
    <mergeCell ref="B98:C98"/>
    <mergeCell ref="B107:C107"/>
    <mergeCell ref="B60:C60"/>
    <mergeCell ref="B17:C17"/>
    <mergeCell ref="B88:C88"/>
    <mergeCell ref="B30:J30"/>
    <mergeCell ref="B56:E56"/>
    <mergeCell ref="A79:J79"/>
    <mergeCell ref="A70:J70"/>
    <mergeCell ref="B28:C28"/>
    <mergeCell ref="G80:H80"/>
    <mergeCell ref="B99:C99"/>
    <mergeCell ref="B108:C108"/>
    <mergeCell ref="B126:J126"/>
    <mergeCell ref="B83:C83"/>
    <mergeCell ref="B124:C124"/>
    <mergeCell ref="G32:H32"/>
    <mergeCell ref="B76:C76"/>
    <mergeCell ref="B44:E44"/>
    <mergeCell ref="B85:C85"/>
    <mergeCell ref="G56:H56"/>
    <mergeCell ref="B75:C75"/>
    <mergeCell ref="B109:C109"/>
    <mergeCell ref="B47:C47"/>
    <mergeCell ref="B62:C62"/>
    <mergeCell ref="B59:C59"/>
    <mergeCell ref="B92:E92"/>
    <mergeCell ref="B20:E20"/>
    <mergeCell ref="G8:H8"/>
    <mergeCell ref="A10:J10"/>
    <mergeCell ref="A19:J19"/>
    <mergeCell ref="B39:C39"/>
    <mergeCell ref="B48:C48"/>
    <mergeCell ref="B111:C111"/>
    <mergeCell ref="B23:C23"/>
    <mergeCell ref="B73:C73"/>
    <mergeCell ref="A1:J1"/>
    <mergeCell ref="B87:C87"/>
    <mergeCell ref="I68:J68"/>
    <mergeCell ref="A94:J94"/>
    <mergeCell ref="G92:H92"/>
    <mergeCell ref="A103:J103"/>
    <mergeCell ref="B114:J114"/>
    <mergeCell ref="I92:J92"/>
    <mergeCell ref="B65:C65"/>
    <mergeCell ref="B74:C74"/>
    <mergeCell ref="A46:J46"/>
    <mergeCell ref="B8:E8"/>
    <mergeCell ref="B123:C123"/>
    <mergeCell ref="B36:C36"/>
    <mergeCell ref="B102:J102"/>
    <mergeCell ref="B50:C50"/>
    <mergeCell ref="B110:C110"/>
    <mergeCell ref="B113:C1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84212"/>
    <outlinePr summaryBelow="1" summaryRight="1"/>
    <pageSetUpPr/>
  </sheetPr>
  <dimension ref="A1:J126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44" customHeight="1">
      <c r="A1" s="21">
        <f>'Getting Started'!C18</f>
        <v/>
      </c>
    </row>
    <row r="2" ht="24" customHeight="1">
      <c r="A2" s="22">
        <f>IFERROR("Grade: "&amp;'Getting Started'!G18&amp;"   |   School Year: "&amp;'Getting Started'!C6&amp;"   |   "  &amp;TEXT('Getting Started'!B7,"MMM D, YYYY")&amp;"  –  "&amp;TEXT('Getting Started'!B8,"MMM D, YYYY"),"")</f>
        <v/>
      </c>
    </row>
    <row r="3" ht="8" customHeight="1"/>
    <row r="4" ht="22" customHeight="1">
      <c r="A4" s="23" t="inlineStr">
        <is>
          <t>SCHOOL YEAR OVERVIEW  (from Getting Started)</t>
        </is>
      </c>
    </row>
    <row r="5" ht="20" customHeight="1">
      <c r="B5" s="24" t="inlineStr">
        <is>
          <t>Start Date:</t>
        </is>
      </c>
      <c r="C5" s="12">
        <f>IF('Getting Started'!B7&lt;&gt;"",TEXT('Getting Started'!B7,"MMM D, YYYY"),"")</f>
        <v/>
      </c>
      <c r="D5" s="24" t="inlineStr">
        <is>
          <t>End Date:</t>
        </is>
      </c>
      <c r="E5" s="12">
        <f>IF('Getting Started'!B8&lt;&gt;"",TEXT('Getting Started'!B8,"MMM D, YYYY"),"")</f>
        <v/>
      </c>
      <c r="F5" s="24" t="inlineStr">
        <is>
          <t>Total Weeks:</t>
        </is>
      </c>
      <c r="G5" s="12">
        <f>'Getting Started'!B9</f>
        <v/>
      </c>
      <c r="H5" s="24" t="inlineStr">
        <is>
          <t>Days/Week:</t>
        </is>
      </c>
      <c r="I5" s="12">
        <f>'Getting Started'!B10</f>
        <v/>
      </c>
    </row>
    <row r="7" ht="24" customHeight="1">
      <c r="A7" s="25" t="inlineStr">
        <is>
          <t xml:space="preserve">  BIBLE</t>
        </is>
      </c>
    </row>
    <row r="8" ht="20" customHeight="1">
      <c r="A8" s="26" t="inlineStr">
        <is>
          <t>Curriculum / Title:</t>
        </is>
      </c>
      <c r="B8" s="27" t="n"/>
      <c r="F8" s="26" t="inlineStr">
        <is>
          <t>Unit type:</t>
        </is>
      </c>
      <c r="G8" s="27" t="inlineStr">
        <is>
          <t>pages</t>
        </is>
      </c>
      <c r="I8" s="28" t="inlineStr">
        <is>
          <t>← type: pages, lessons, chapters…</t>
        </is>
      </c>
      <c r="J8" s="29" t="n"/>
    </row>
    <row r="9" ht="22" customHeight="1">
      <c r="A9" s="26" t="inlineStr">
        <is>
          <t>Total Units:</t>
        </is>
      </c>
      <c r="B9" s="27" t="n"/>
      <c r="C9" s="26" t="inlineStr">
        <is>
          <t>School Weeks:</t>
        </is>
      </c>
      <c r="D9" s="30">
        <f>'Getting Started'!B9</f>
        <v/>
      </c>
      <c r="E9" s="26" t="inlineStr">
        <is>
          <t>Units / Week:</t>
        </is>
      </c>
      <c r="F9" s="12">
        <f>IFERROR(IF(B9="","",ROUND(B9/D9,1)),"")</f>
        <v/>
      </c>
      <c r="G9" s="26" t="inlineStr">
        <is>
          <t>Units / Day:</t>
        </is>
      </c>
      <c r="H9" s="12">
        <f>IFERROR(IF(F9="","",ROUND(F9/'Getting Started'!B10,1)),"")</f>
        <v/>
      </c>
      <c r="I9" s="26" t="inlineStr">
        <is>
          <t>Est. End Date:</t>
        </is>
      </c>
      <c r="J9" s="12">
        <f>IFERROR(IF(B9="","",TEXT('Getting Started'!B7+(B9/'Getting Started'!B10),"MMM D, YYYY")),"")</f>
        <v/>
      </c>
    </row>
    <row r="10" ht="18" customHeight="1">
      <c r="A10" s="31" t="inlineStr">
        <is>
          <t xml:space="preserve">  Optional: Component / Volume Breakdown  (fill in if curriculum has multiple books or parts)</t>
        </is>
      </c>
    </row>
    <row r="11" ht="18" customHeight="1">
      <c r="A11" s="32" t="inlineStr">
        <is>
          <t>#</t>
        </is>
      </c>
      <c r="B11" s="32" t="inlineStr">
        <is>
          <t>Component / Book Title</t>
        </is>
      </c>
      <c r="C11" s="29" t="n"/>
      <c r="D11" s="32" t="inlineStr">
        <is>
          <t>Total Units
in Component</t>
        </is>
      </c>
      <c r="E11" s="32" t="inlineStr">
        <is>
          <t>Cumulative
Units</t>
        </is>
      </c>
      <c r="F11" s="32" t="inlineStr">
        <is>
          <t>Start
Week</t>
        </is>
      </c>
      <c r="G11" s="32" t="inlineStr">
        <is>
          <t>End
Week</t>
        </is>
      </c>
      <c r="H11" s="32" t="inlineStr">
        <is>
          <t>Start
Date</t>
        </is>
      </c>
      <c r="I11" s="32" t="inlineStr">
        <is>
          <t>End
Date</t>
        </is>
      </c>
      <c r="J11" s="32" t="inlineStr">
        <is>
          <t>Complete?</t>
        </is>
      </c>
    </row>
    <row r="12" ht="18" customHeight="1">
      <c r="A12" s="33" t="n">
        <v>1</v>
      </c>
      <c r="B12" s="27" t="n"/>
      <c r="D12" s="34" t="n"/>
      <c r="E12" s="30">
        <f>IFERROR(SUM(D12:D12),"")</f>
        <v/>
      </c>
      <c r="F12" s="30">
        <f>IF(D12="","",1)</f>
        <v/>
      </c>
      <c r="G12" s="30">
        <f>IFERROR(IF(D12="","",CEILING(E12/F9,1)),"")</f>
        <v/>
      </c>
      <c r="H12" s="30">
        <f>IFERROR(IF(D12="","",TEXT('Getting Started'!B7+(F12-1)*7,"MMM D")),"")</f>
        <v/>
      </c>
      <c r="I12" s="30">
        <f>IFERROR(IF(D12="","",TEXT('Getting Started'!B7+(G12)*7,"MMM D")),"")</f>
        <v/>
      </c>
      <c r="J12" s="34" t="n"/>
    </row>
    <row r="13" ht="18" customHeight="1">
      <c r="A13" s="33" t="n">
        <v>2</v>
      </c>
      <c r="B13" s="35" t="n"/>
      <c r="D13" s="36" t="n"/>
      <c r="E13" s="30">
        <f>IFERROR(SUM(D12:D13),"")</f>
        <v/>
      </c>
      <c r="F13" s="30">
        <f>IFERROR(IF(D13="","",FLOOR(E12/F9,1)+1),"")</f>
        <v/>
      </c>
      <c r="G13" s="30">
        <f>IFERROR(IF(D13="","",CEILING(E13/F9,1)),"")</f>
        <v/>
      </c>
      <c r="H13" s="30">
        <f>IFERROR(IF(D13="","",TEXT('Getting Started'!B7+(F13-1)*7,"MMM D")),"")</f>
        <v/>
      </c>
      <c r="I13" s="30">
        <f>IFERROR(IF(D13="","",TEXT('Getting Started'!B7+(G13)*7,"MMM D")),"")</f>
        <v/>
      </c>
      <c r="J13" s="34" t="n"/>
    </row>
    <row r="14" ht="18" customHeight="1">
      <c r="A14" s="33" t="n">
        <v>3</v>
      </c>
      <c r="B14" s="27" t="n"/>
      <c r="D14" s="34" t="n"/>
      <c r="E14" s="30">
        <f>IFERROR(SUM(D12:D14),"")</f>
        <v/>
      </c>
      <c r="F14" s="30">
        <f>IFERROR(IF(D14="","",FLOOR(E13/F9,1)+1),"")</f>
        <v/>
      </c>
      <c r="G14" s="30">
        <f>IFERROR(IF(D14="","",CEILING(E14/F9,1)),"")</f>
        <v/>
      </c>
      <c r="H14" s="30">
        <f>IFERROR(IF(D14="","",TEXT('Getting Started'!B7+(F14-1)*7,"MMM D")),"")</f>
        <v/>
      </c>
      <c r="I14" s="30">
        <f>IFERROR(IF(D14="","",TEXT('Getting Started'!B7+(G14)*7,"MMM D")),"")</f>
        <v/>
      </c>
      <c r="J14" s="34" t="n"/>
    </row>
    <row r="15" ht="18" customHeight="1">
      <c r="A15" s="33" t="n">
        <v>4</v>
      </c>
      <c r="B15" s="35" t="n"/>
      <c r="D15" s="36" t="n"/>
      <c r="E15" s="30">
        <f>IFERROR(SUM(D12:D15),"")</f>
        <v/>
      </c>
      <c r="F15" s="30">
        <f>IFERROR(IF(D15="","",FLOOR(E14/F9,1)+1),"")</f>
        <v/>
      </c>
      <c r="G15" s="30">
        <f>IFERROR(IF(D15="","",CEILING(E15/F9,1)),"")</f>
        <v/>
      </c>
      <c r="H15" s="30">
        <f>IFERROR(IF(D15="","",TEXT('Getting Started'!B7+(F15-1)*7,"MMM D")),"")</f>
        <v/>
      </c>
      <c r="I15" s="30">
        <f>IFERROR(IF(D15="","",TEXT('Getting Started'!B7+(G15)*7,"MMM D")),"")</f>
        <v/>
      </c>
      <c r="J15" s="34" t="n"/>
    </row>
    <row r="16" ht="18" customHeight="1">
      <c r="A16" s="33" t="n">
        <v>5</v>
      </c>
      <c r="B16" s="27" t="n"/>
      <c r="D16" s="34" t="n"/>
      <c r="E16" s="30">
        <f>IFERROR(SUM(D12:D16),"")</f>
        <v/>
      </c>
      <c r="F16" s="30">
        <f>IFERROR(IF(D16="","",FLOOR(E15/F9,1)+1),"")</f>
        <v/>
      </c>
      <c r="G16" s="30">
        <f>IFERROR(IF(D16="","",CEILING(E16/F9,1)),"")</f>
        <v/>
      </c>
      <c r="H16" s="30">
        <f>IFERROR(IF(D16="","",TEXT('Getting Started'!B7+(F16-1)*7,"MMM D")),"")</f>
        <v/>
      </c>
      <c r="I16" s="30">
        <f>IFERROR(IF(D16="","",TEXT('Getting Started'!B7+(G16)*7,"MMM D")),"")</f>
        <v/>
      </c>
      <c r="J16" s="34" t="n"/>
    </row>
    <row r="17" ht="18" customHeight="1">
      <c r="A17" s="33" t="n">
        <v>6</v>
      </c>
      <c r="B17" s="35" t="n"/>
      <c r="D17" s="36" t="n"/>
      <c r="E17" s="30">
        <f>IFERROR(SUM(D12:D17),"")</f>
        <v/>
      </c>
      <c r="F17" s="30">
        <f>IFERROR(IF(D17="","",FLOOR(E16/F9,1)+1),"")</f>
        <v/>
      </c>
      <c r="G17" s="30">
        <f>IFERROR(IF(D17="","",CEILING(E17/F9,1)),"")</f>
        <v/>
      </c>
      <c r="H17" s="30">
        <f>IFERROR(IF(D17="","",TEXT('Getting Started'!B7+(F17-1)*7,"MMM D")),"")</f>
        <v/>
      </c>
      <c r="I17" s="30">
        <f>IFERROR(IF(D17="","",TEXT('Getting Started'!B7+(G17)*7,"MMM D")),"")</f>
        <v/>
      </c>
      <c r="J17" s="34" t="n"/>
    </row>
    <row r="18" ht="20" customHeight="1">
      <c r="A18" s="26" t="inlineStr">
        <is>
          <t>Notes:</t>
        </is>
      </c>
      <c r="B18" s="37" t="n"/>
    </row>
    <row r="19" ht="24" customHeight="1">
      <c r="A19" s="38" t="inlineStr">
        <is>
          <t xml:space="preserve">  MATH</t>
        </is>
      </c>
    </row>
    <row r="20" ht="20" customHeight="1">
      <c r="A20" s="39" t="inlineStr">
        <is>
          <t>Curriculum / Title:</t>
        </is>
      </c>
      <c r="B20" s="27" t="n"/>
      <c r="F20" s="39" t="inlineStr">
        <is>
          <t>Unit type:</t>
        </is>
      </c>
      <c r="G20" s="27" t="inlineStr">
        <is>
          <t>pages</t>
        </is>
      </c>
      <c r="I20" s="28" t="inlineStr">
        <is>
          <t>← type: pages, lessons, chapters…</t>
        </is>
      </c>
      <c r="J20" s="29" t="n"/>
    </row>
    <row r="21" ht="22" customHeight="1">
      <c r="A21" s="39" t="inlineStr">
        <is>
          <t>Total Units:</t>
        </is>
      </c>
      <c r="B21" s="27" t="n"/>
      <c r="C21" s="39" t="inlineStr">
        <is>
          <t>School Weeks:</t>
        </is>
      </c>
      <c r="D21" s="30">
        <f>'Getting Started'!B9</f>
        <v/>
      </c>
      <c r="E21" s="39" t="inlineStr">
        <is>
          <t>Units / Week:</t>
        </is>
      </c>
      <c r="F21" s="12">
        <f>IFERROR(IF(B21="","",ROUND(B21/D21,1)),"")</f>
        <v/>
      </c>
      <c r="G21" s="39" t="inlineStr">
        <is>
          <t>Units / Day:</t>
        </is>
      </c>
      <c r="H21" s="12">
        <f>IFERROR(IF(F21="","",ROUND(F21/'Getting Started'!B10,1)),"")</f>
        <v/>
      </c>
      <c r="I21" s="39" t="inlineStr">
        <is>
          <t>Est. End Date:</t>
        </is>
      </c>
      <c r="J21" s="12">
        <f>IFERROR(IF(B21="","",TEXT('Getting Started'!B7+(B21/'Getting Started'!B10),"MMM D, YYYY")),"")</f>
        <v/>
      </c>
    </row>
    <row r="22" ht="18" customHeight="1">
      <c r="A22" s="31" t="inlineStr">
        <is>
          <t xml:space="preserve">  Optional: Component / Volume Breakdown  (fill in if curriculum has multiple books or parts)</t>
        </is>
      </c>
    </row>
    <row r="23" ht="18" customHeight="1">
      <c r="A23" s="32" t="inlineStr">
        <is>
          <t>#</t>
        </is>
      </c>
      <c r="B23" s="32" t="inlineStr">
        <is>
          <t>Component / Book Title</t>
        </is>
      </c>
      <c r="C23" s="29" t="n"/>
      <c r="D23" s="32" t="inlineStr">
        <is>
          <t>Total Units
in Component</t>
        </is>
      </c>
      <c r="E23" s="32" t="inlineStr">
        <is>
          <t>Cumulative
Units</t>
        </is>
      </c>
      <c r="F23" s="32" t="inlineStr">
        <is>
          <t>Start
Week</t>
        </is>
      </c>
      <c r="G23" s="32" t="inlineStr">
        <is>
          <t>End
Week</t>
        </is>
      </c>
      <c r="H23" s="32" t="inlineStr">
        <is>
          <t>Start
Date</t>
        </is>
      </c>
      <c r="I23" s="32" t="inlineStr">
        <is>
          <t>End
Date</t>
        </is>
      </c>
      <c r="J23" s="32" t="inlineStr">
        <is>
          <t>Complete?</t>
        </is>
      </c>
    </row>
    <row r="24" ht="18" customHeight="1">
      <c r="A24" s="33" t="n">
        <v>1</v>
      </c>
      <c r="B24" s="27" t="n"/>
      <c r="D24" s="34" t="n"/>
      <c r="E24" s="30">
        <f>IFERROR(SUM(D24:D24),"")</f>
        <v/>
      </c>
      <c r="F24" s="30">
        <f>IF(D24="","",1)</f>
        <v/>
      </c>
      <c r="G24" s="30">
        <f>IFERROR(IF(D24="","",CEILING(E24/F21,1)),"")</f>
        <v/>
      </c>
      <c r="H24" s="30">
        <f>IFERROR(IF(D24="","",TEXT('Getting Started'!B7+(F24-1)*7,"MMM D")),"")</f>
        <v/>
      </c>
      <c r="I24" s="30">
        <f>IFERROR(IF(D24="","",TEXT('Getting Started'!B7+(G24)*7,"MMM D")),"")</f>
        <v/>
      </c>
      <c r="J24" s="34" t="n"/>
    </row>
    <row r="25" ht="18" customHeight="1">
      <c r="A25" s="33" t="n">
        <v>2</v>
      </c>
      <c r="B25" s="35" t="n"/>
      <c r="D25" s="36" t="n"/>
      <c r="E25" s="30">
        <f>IFERROR(SUM(D24:D25),"")</f>
        <v/>
      </c>
      <c r="F25" s="30">
        <f>IFERROR(IF(D25="","",FLOOR(E24/F21,1)+1),"")</f>
        <v/>
      </c>
      <c r="G25" s="30">
        <f>IFERROR(IF(D25="","",CEILING(E25/F21,1)),"")</f>
        <v/>
      </c>
      <c r="H25" s="30">
        <f>IFERROR(IF(D25="","",TEXT('Getting Started'!B7+(F25-1)*7,"MMM D")),"")</f>
        <v/>
      </c>
      <c r="I25" s="30">
        <f>IFERROR(IF(D25="","",TEXT('Getting Started'!B7+(G25)*7,"MMM D")),"")</f>
        <v/>
      </c>
      <c r="J25" s="34" t="n"/>
    </row>
    <row r="26" ht="18" customHeight="1">
      <c r="A26" s="33" t="n">
        <v>3</v>
      </c>
      <c r="B26" s="27" t="n"/>
      <c r="D26" s="34" t="n"/>
      <c r="E26" s="30">
        <f>IFERROR(SUM(D24:D26),"")</f>
        <v/>
      </c>
      <c r="F26" s="30">
        <f>IFERROR(IF(D26="","",FLOOR(E25/F21,1)+1),"")</f>
        <v/>
      </c>
      <c r="G26" s="30">
        <f>IFERROR(IF(D26="","",CEILING(E26/F21,1)),"")</f>
        <v/>
      </c>
      <c r="H26" s="30">
        <f>IFERROR(IF(D26="","",TEXT('Getting Started'!B7+(F26-1)*7,"MMM D")),"")</f>
        <v/>
      </c>
      <c r="I26" s="30">
        <f>IFERROR(IF(D26="","",TEXT('Getting Started'!B7+(G26)*7,"MMM D")),"")</f>
        <v/>
      </c>
      <c r="J26" s="34" t="n"/>
    </row>
    <row r="27" ht="18" customHeight="1">
      <c r="A27" s="33" t="n">
        <v>4</v>
      </c>
      <c r="B27" s="35" t="n"/>
      <c r="D27" s="36" t="n"/>
      <c r="E27" s="30">
        <f>IFERROR(SUM(D24:D27),"")</f>
        <v/>
      </c>
      <c r="F27" s="30">
        <f>IFERROR(IF(D27="","",FLOOR(E26/F21,1)+1),"")</f>
        <v/>
      </c>
      <c r="G27" s="30">
        <f>IFERROR(IF(D27="","",CEILING(E27/F21,1)),"")</f>
        <v/>
      </c>
      <c r="H27" s="30">
        <f>IFERROR(IF(D27="","",TEXT('Getting Started'!B7+(F27-1)*7,"MMM D")),"")</f>
        <v/>
      </c>
      <c r="I27" s="30">
        <f>IFERROR(IF(D27="","",TEXT('Getting Started'!B7+(G27)*7,"MMM D")),"")</f>
        <v/>
      </c>
      <c r="J27" s="34" t="n"/>
    </row>
    <row r="28" ht="18" customHeight="1">
      <c r="A28" s="33" t="n">
        <v>5</v>
      </c>
      <c r="B28" s="27" t="n"/>
      <c r="D28" s="34" t="n"/>
      <c r="E28" s="30">
        <f>IFERROR(SUM(D24:D28),"")</f>
        <v/>
      </c>
      <c r="F28" s="30">
        <f>IFERROR(IF(D28="","",FLOOR(E27/F21,1)+1),"")</f>
        <v/>
      </c>
      <c r="G28" s="30">
        <f>IFERROR(IF(D28="","",CEILING(E28/F21,1)),"")</f>
        <v/>
      </c>
      <c r="H28" s="30">
        <f>IFERROR(IF(D28="","",TEXT('Getting Started'!B7+(F28-1)*7,"MMM D")),"")</f>
        <v/>
      </c>
      <c r="I28" s="30">
        <f>IFERROR(IF(D28="","",TEXT('Getting Started'!B7+(G28)*7,"MMM D")),"")</f>
        <v/>
      </c>
      <c r="J28" s="34" t="n"/>
    </row>
    <row r="29" ht="18" customHeight="1">
      <c r="A29" s="33" t="n">
        <v>6</v>
      </c>
      <c r="B29" s="35" t="n"/>
      <c r="D29" s="36" t="n"/>
      <c r="E29" s="30">
        <f>IFERROR(SUM(D24:D29),"")</f>
        <v/>
      </c>
      <c r="F29" s="30">
        <f>IFERROR(IF(D29="","",FLOOR(E28/F21,1)+1),"")</f>
        <v/>
      </c>
      <c r="G29" s="30">
        <f>IFERROR(IF(D29="","",CEILING(E29/F21,1)),"")</f>
        <v/>
      </c>
      <c r="H29" s="30">
        <f>IFERROR(IF(D29="","",TEXT('Getting Started'!B7+(F29-1)*7,"MMM D")),"")</f>
        <v/>
      </c>
      <c r="I29" s="30">
        <f>IFERROR(IF(D29="","",TEXT('Getting Started'!B7+(G29)*7,"MMM D")),"")</f>
        <v/>
      </c>
      <c r="J29" s="34" t="n"/>
    </row>
    <row r="30" ht="20" customHeight="1">
      <c r="A30" s="39" t="inlineStr">
        <is>
          <t>Notes:</t>
        </is>
      </c>
      <c r="B30" s="37" t="n"/>
    </row>
    <row r="31" ht="24" customHeight="1">
      <c r="A31" s="40" t="inlineStr">
        <is>
          <t xml:space="preserve">  ENGLISH / LANGUAGE ARTS</t>
        </is>
      </c>
    </row>
    <row r="32" ht="20" customHeight="1">
      <c r="A32" s="41" t="inlineStr">
        <is>
          <t>Curriculum / Title:</t>
        </is>
      </c>
      <c r="B32" s="27" t="n"/>
      <c r="F32" s="41" t="inlineStr">
        <is>
          <t>Unit type:</t>
        </is>
      </c>
      <c r="G32" s="27" t="inlineStr">
        <is>
          <t>pages</t>
        </is>
      </c>
      <c r="I32" s="28" t="inlineStr">
        <is>
          <t>← type: pages, lessons, chapters…</t>
        </is>
      </c>
      <c r="J32" s="29" t="n"/>
    </row>
    <row r="33" ht="22" customHeight="1">
      <c r="A33" s="41" t="inlineStr">
        <is>
          <t>Total Units:</t>
        </is>
      </c>
      <c r="B33" s="27" t="n"/>
      <c r="C33" s="41" t="inlineStr">
        <is>
          <t>School Weeks:</t>
        </is>
      </c>
      <c r="D33" s="30">
        <f>'Getting Started'!B9</f>
        <v/>
      </c>
      <c r="E33" s="41" t="inlineStr">
        <is>
          <t>Units / Week:</t>
        </is>
      </c>
      <c r="F33" s="12">
        <f>IFERROR(IF(B33="","",ROUND(B33/D33,1)),"")</f>
        <v/>
      </c>
      <c r="G33" s="41" t="inlineStr">
        <is>
          <t>Units / Day:</t>
        </is>
      </c>
      <c r="H33" s="12">
        <f>IFERROR(IF(F33="","",ROUND(F33/'Getting Started'!B10,1)),"")</f>
        <v/>
      </c>
      <c r="I33" s="41" t="inlineStr">
        <is>
          <t>Est. End Date:</t>
        </is>
      </c>
      <c r="J33" s="12">
        <f>IFERROR(IF(B33="","",TEXT('Getting Started'!B7+(B33/'Getting Started'!B10),"MMM D, YYYY")),"")</f>
        <v/>
      </c>
    </row>
    <row r="34" ht="18" customHeight="1">
      <c r="A34" s="31" t="inlineStr">
        <is>
          <t xml:space="preserve">  Optional: Component / Volume Breakdown  (fill in if curriculum has multiple books or parts)</t>
        </is>
      </c>
    </row>
    <row r="35" ht="18" customHeight="1">
      <c r="A35" s="32" t="inlineStr">
        <is>
          <t>#</t>
        </is>
      </c>
      <c r="B35" s="32" t="inlineStr">
        <is>
          <t>Component / Book Title</t>
        </is>
      </c>
      <c r="C35" s="29" t="n"/>
      <c r="D35" s="32" t="inlineStr">
        <is>
          <t>Total Units
in Component</t>
        </is>
      </c>
      <c r="E35" s="32" t="inlineStr">
        <is>
          <t>Cumulative
Units</t>
        </is>
      </c>
      <c r="F35" s="32" t="inlineStr">
        <is>
          <t>Start
Week</t>
        </is>
      </c>
      <c r="G35" s="32" t="inlineStr">
        <is>
          <t>End
Week</t>
        </is>
      </c>
      <c r="H35" s="32" t="inlineStr">
        <is>
          <t>Start
Date</t>
        </is>
      </c>
      <c r="I35" s="32" t="inlineStr">
        <is>
          <t>End
Date</t>
        </is>
      </c>
      <c r="J35" s="32" t="inlineStr">
        <is>
          <t>Complete?</t>
        </is>
      </c>
    </row>
    <row r="36" ht="18" customHeight="1">
      <c r="A36" s="33" t="n">
        <v>1</v>
      </c>
      <c r="B36" s="27" t="n"/>
      <c r="D36" s="34" t="n"/>
      <c r="E36" s="30">
        <f>IFERROR(SUM(D36:D36),"")</f>
        <v/>
      </c>
      <c r="F36" s="30">
        <f>IF(D36="","",1)</f>
        <v/>
      </c>
      <c r="G36" s="30">
        <f>IFERROR(IF(D36="","",CEILING(E36/F33,1)),"")</f>
        <v/>
      </c>
      <c r="H36" s="30">
        <f>IFERROR(IF(D36="","",TEXT('Getting Started'!B7+(F36-1)*7,"MMM D")),"")</f>
        <v/>
      </c>
      <c r="I36" s="30">
        <f>IFERROR(IF(D36="","",TEXT('Getting Started'!B7+(G36)*7,"MMM D")),"")</f>
        <v/>
      </c>
      <c r="J36" s="34" t="n"/>
    </row>
    <row r="37" ht="18" customHeight="1">
      <c r="A37" s="33" t="n">
        <v>2</v>
      </c>
      <c r="B37" s="35" t="n"/>
      <c r="D37" s="36" t="n"/>
      <c r="E37" s="30">
        <f>IFERROR(SUM(D36:D37),"")</f>
        <v/>
      </c>
      <c r="F37" s="30">
        <f>IFERROR(IF(D37="","",FLOOR(E36/F33,1)+1),"")</f>
        <v/>
      </c>
      <c r="G37" s="30">
        <f>IFERROR(IF(D37="","",CEILING(E37/F33,1)),"")</f>
        <v/>
      </c>
      <c r="H37" s="30">
        <f>IFERROR(IF(D37="","",TEXT('Getting Started'!B7+(F37-1)*7,"MMM D")),"")</f>
        <v/>
      </c>
      <c r="I37" s="30">
        <f>IFERROR(IF(D37="","",TEXT('Getting Started'!B7+(G37)*7,"MMM D")),"")</f>
        <v/>
      </c>
      <c r="J37" s="34" t="n"/>
    </row>
    <row r="38" ht="18" customHeight="1">
      <c r="A38" s="33" t="n">
        <v>3</v>
      </c>
      <c r="B38" s="27" t="n"/>
      <c r="D38" s="34" t="n"/>
      <c r="E38" s="30">
        <f>IFERROR(SUM(D36:D38),"")</f>
        <v/>
      </c>
      <c r="F38" s="30">
        <f>IFERROR(IF(D38="","",FLOOR(E37/F33,1)+1),"")</f>
        <v/>
      </c>
      <c r="G38" s="30">
        <f>IFERROR(IF(D38="","",CEILING(E38/F33,1)),"")</f>
        <v/>
      </c>
      <c r="H38" s="30">
        <f>IFERROR(IF(D38="","",TEXT('Getting Started'!B7+(F38-1)*7,"MMM D")),"")</f>
        <v/>
      </c>
      <c r="I38" s="30">
        <f>IFERROR(IF(D38="","",TEXT('Getting Started'!B7+(G38)*7,"MMM D")),"")</f>
        <v/>
      </c>
      <c r="J38" s="34" t="n"/>
    </row>
    <row r="39" ht="18" customHeight="1">
      <c r="A39" s="33" t="n">
        <v>4</v>
      </c>
      <c r="B39" s="35" t="n"/>
      <c r="D39" s="36" t="n"/>
      <c r="E39" s="30">
        <f>IFERROR(SUM(D36:D39),"")</f>
        <v/>
      </c>
      <c r="F39" s="30">
        <f>IFERROR(IF(D39="","",FLOOR(E38/F33,1)+1),"")</f>
        <v/>
      </c>
      <c r="G39" s="30">
        <f>IFERROR(IF(D39="","",CEILING(E39/F33,1)),"")</f>
        <v/>
      </c>
      <c r="H39" s="30">
        <f>IFERROR(IF(D39="","",TEXT('Getting Started'!B7+(F39-1)*7,"MMM D")),"")</f>
        <v/>
      </c>
      <c r="I39" s="30">
        <f>IFERROR(IF(D39="","",TEXT('Getting Started'!B7+(G39)*7,"MMM D")),"")</f>
        <v/>
      </c>
      <c r="J39" s="34" t="n"/>
    </row>
    <row r="40" ht="18" customHeight="1">
      <c r="A40" s="33" t="n">
        <v>5</v>
      </c>
      <c r="B40" s="27" t="n"/>
      <c r="D40" s="34" t="n"/>
      <c r="E40" s="30">
        <f>IFERROR(SUM(D36:D40),"")</f>
        <v/>
      </c>
      <c r="F40" s="30">
        <f>IFERROR(IF(D40="","",FLOOR(E39/F33,1)+1),"")</f>
        <v/>
      </c>
      <c r="G40" s="30">
        <f>IFERROR(IF(D40="","",CEILING(E40/F33,1)),"")</f>
        <v/>
      </c>
      <c r="H40" s="30">
        <f>IFERROR(IF(D40="","",TEXT('Getting Started'!B7+(F40-1)*7,"MMM D")),"")</f>
        <v/>
      </c>
      <c r="I40" s="30">
        <f>IFERROR(IF(D40="","",TEXT('Getting Started'!B7+(G40)*7,"MMM D")),"")</f>
        <v/>
      </c>
      <c r="J40" s="34" t="n"/>
    </row>
    <row r="41" ht="18" customHeight="1">
      <c r="A41" s="33" t="n">
        <v>6</v>
      </c>
      <c r="B41" s="35" t="n"/>
      <c r="D41" s="36" t="n"/>
      <c r="E41" s="30">
        <f>IFERROR(SUM(D36:D41),"")</f>
        <v/>
      </c>
      <c r="F41" s="30">
        <f>IFERROR(IF(D41="","",FLOOR(E40/F33,1)+1),"")</f>
        <v/>
      </c>
      <c r="G41" s="30">
        <f>IFERROR(IF(D41="","",CEILING(E41/F33,1)),"")</f>
        <v/>
      </c>
      <c r="H41" s="30">
        <f>IFERROR(IF(D41="","",TEXT('Getting Started'!B7+(F41-1)*7,"MMM D")),"")</f>
        <v/>
      </c>
      <c r="I41" s="30">
        <f>IFERROR(IF(D41="","",TEXT('Getting Started'!B7+(G41)*7,"MMM D")),"")</f>
        <v/>
      </c>
      <c r="J41" s="34" t="n"/>
    </row>
    <row r="42" ht="20" customHeight="1">
      <c r="A42" s="41" t="inlineStr">
        <is>
          <t>Notes:</t>
        </is>
      </c>
      <c r="B42" s="37" t="n"/>
    </row>
    <row r="43" ht="24" customHeight="1">
      <c r="A43" s="42" t="inlineStr">
        <is>
          <t xml:space="preserve">  READING</t>
        </is>
      </c>
    </row>
    <row r="44" ht="20" customHeight="1">
      <c r="A44" s="43" t="inlineStr">
        <is>
          <t>Curriculum / Title:</t>
        </is>
      </c>
      <c r="B44" s="27" t="n"/>
      <c r="F44" s="43" t="inlineStr">
        <is>
          <t>Unit type:</t>
        </is>
      </c>
      <c r="G44" s="27" t="inlineStr">
        <is>
          <t>pages</t>
        </is>
      </c>
      <c r="I44" s="28" t="inlineStr">
        <is>
          <t>← type: pages, lessons, chapters…</t>
        </is>
      </c>
      <c r="J44" s="29" t="n"/>
    </row>
    <row r="45" ht="22" customHeight="1">
      <c r="A45" s="43" t="inlineStr">
        <is>
          <t>Total Units:</t>
        </is>
      </c>
      <c r="B45" s="27" t="n"/>
      <c r="C45" s="43" t="inlineStr">
        <is>
          <t>School Weeks:</t>
        </is>
      </c>
      <c r="D45" s="30">
        <f>'Getting Started'!B9</f>
        <v/>
      </c>
      <c r="E45" s="43" t="inlineStr">
        <is>
          <t>Units / Week:</t>
        </is>
      </c>
      <c r="F45" s="12">
        <f>IFERROR(IF(B45="","",ROUND(B45/D45,1)),"")</f>
        <v/>
      </c>
      <c r="G45" s="43" t="inlineStr">
        <is>
          <t>Units / Day:</t>
        </is>
      </c>
      <c r="H45" s="12">
        <f>IFERROR(IF(F45="","",ROUND(F45/'Getting Started'!B10,1)),"")</f>
        <v/>
      </c>
      <c r="I45" s="43" t="inlineStr">
        <is>
          <t>Est. End Date:</t>
        </is>
      </c>
      <c r="J45" s="12">
        <f>IFERROR(IF(B45="","",TEXT('Getting Started'!B7+(B45/'Getting Started'!B10),"MMM D, YYYY")),"")</f>
        <v/>
      </c>
    </row>
    <row r="46" ht="18" customHeight="1">
      <c r="A46" s="31" t="inlineStr">
        <is>
          <t xml:space="preserve">  Optional: Component / Volume Breakdown  (fill in if curriculum has multiple books or parts)</t>
        </is>
      </c>
    </row>
    <row r="47" ht="18" customHeight="1">
      <c r="A47" s="32" t="inlineStr">
        <is>
          <t>#</t>
        </is>
      </c>
      <c r="B47" s="32" t="inlineStr">
        <is>
          <t>Component / Book Title</t>
        </is>
      </c>
      <c r="C47" s="29" t="n"/>
      <c r="D47" s="32" t="inlineStr">
        <is>
          <t>Total Units
in Component</t>
        </is>
      </c>
      <c r="E47" s="32" t="inlineStr">
        <is>
          <t>Cumulative
Units</t>
        </is>
      </c>
      <c r="F47" s="32" t="inlineStr">
        <is>
          <t>Start
Week</t>
        </is>
      </c>
      <c r="G47" s="32" t="inlineStr">
        <is>
          <t>End
Week</t>
        </is>
      </c>
      <c r="H47" s="32" t="inlineStr">
        <is>
          <t>Start
Date</t>
        </is>
      </c>
      <c r="I47" s="32" t="inlineStr">
        <is>
          <t>End
Date</t>
        </is>
      </c>
      <c r="J47" s="32" t="inlineStr">
        <is>
          <t>Complete?</t>
        </is>
      </c>
    </row>
    <row r="48" ht="18" customHeight="1">
      <c r="A48" s="33" t="n">
        <v>1</v>
      </c>
      <c r="B48" s="27" t="n"/>
      <c r="D48" s="34" t="n"/>
      <c r="E48" s="30">
        <f>IFERROR(SUM(D48:D48),"")</f>
        <v/>
      </c>
      <c r="F48" s="30">
        <f>IF(D48="","",1)</f>
        <v/>
      </c>
      <c r="G48" s="30">
        <f>IFERROR(IF(D48="","",CEILING(E48/F45,1)),"")</f>
        <v/>
      </c>
      <c r="H48" s="30">
        <f>IFERROR(IF(D48="","",TEXT('Getting Started'!B7+(F48-1)*7,"MMM D")),"")</f>
        <v/>
      </c>
      <c r="I48" s="30">
        <f>IFERROR(IF(D48="","",TEXT('Getting Started'!B7+(G48)*7,"MMM D")),"")</f>
        <v/>
      </c>
      <c r="J48" s="34" t="n"/>
    </row>
    <row r="49" ht="18" customHeight="1">
      <c r="A49" s="33" t="n">
        <v>2</v>
      </c>
      <c r="B49" s="35" t="n"/>
      <c r="D49" s="36" t="n"/>
      <c r="E49" s="30">
        <f>IFERROR(SUM(D48:D49),"")</f>
        <v/>
      </c>
      <c r="F49" s="30">
        <f>IFERROR(IF(D49="","",FLOOR(E48/F45,1)+1),"")</f>
        <v/>
      </c>
      <c r="G49" s="30">
        <f>IFERROR(IF(D49="","",CEILING(E49/F45,1)),"")</f>
        <v/>
      </c>
      <c r="H49" s="30">
        <f>IFERROR(IF(D49="","",TEXT('Getting Started'!B7+(F49-1)*7,"MMM D")),"")</f>
        <v/>
      </c>
      <c r="I49" s="30">
        <f>IFERROR(IF(D49="","",TEXT('Getting Started'!B7+(G49)*7,"MMM D")),"")</f>
        <v/>
      </c>
      <c r="J49" s="34" t="n"/>
    </row>
    <row r="50" ht="18" customHeight="1">
      <c r="A50" s="33" t="n">
        <v>3</v>
      </c>
      <c r="B50" s="27" t="n"/>
      <c r="D50" s="34" t="n"/>
      <c r="E50" s="30">
        <f>IFERROR(SUM(D48:D50),"")</f>
        <v/>
      </c>
      <c r="F50" s="30">
        <f>IFERROR(IF(D50="","",FLOOR(E49/F45,1)+1),"")</f>
        <v/>
      </c>
      <c r="G50" s="30">
        <f>IFERROR(IF(D50="","",CEILING(E50/F45,1)),"")</f>
        <v/>
      </c>
      <c r="H50" s="30">
        <f>IFERROR(IF(D50="","",TEXT('Getting Started'!B7+(F50-1)*7,"MMM D")),"")</f>
        <v/>
      </c>
      <c r="I50" s="30">
        <f>IFERROR(IF(D50="","",TEXT('Getting Started'!B7+(G50)*7,"MMM D")),"")</f>
        <v/>
      </c>
      <c r="J50" s="34" t="n"/>
    </row>
    <row r="51" ht="18" customHeight="1">
      <c r="A51" s="33" t="n">
        <v>4</v>
      </c>
      <c r="B51" s="35" t="n"/>
      <c r="D51" s="36" t="n"/>
      <c r="E51" s="30">
        <f>IFERROR(SUM(D48:D51),"")</f>
        <v/>
      </c>
      <c r="F51" s="30">
        <f>IFERROR(IF(D51="","",FLOOR(E50/F45,1)+1),"")</f>
        <v/>
      </c>
      <c r="G51" s="30">
        <f>IFERROR(IF(D51="","",CEILING(E51/F45,1)),"")</f>
        <v/>
      </c>
      <c r="H51" s="30">
        <f>IFERROR(IF(D51="","",TEXT('Getting Started'!B7+(F51-1)*7,"MMM D")),"")</f>
        <v/>
      </c>
      <c r="I51" s="30">
        <f>IFERROR(IF(D51="","",TEXT('Getting Started'!B7+(G51)*7,"MMM D")),"")</f>
        <v/>
      </c>
      <c r="J51" s="34" t="n"/>
    </row>
    <row r="52" ht="18" customHeight="1">
      <c r="A52" s="33" t="n">
        <v>5</v>
      </c>
      <c r="B52" s="27" t="n"/>
      <c r="D52" s="34" t="n"/>
      <c r="E52" s="30">
        <f>IFERROR(SUM(D48:D52),"")</f>
        <v/>
      </c>
      <c r="F52" s="30">
        <f>IFERROR(IF(D52="","",FLOOR(E51/F45,1)+1),"")</f>
        <v/>
      </c>
      <c r="G52" s="30">
        <f>IFERROR(IF(D52="","",CEILING(E52/F45,1)),"")</f>
        <v/>
      </c>
      <c r="H52" s="30">
        <f>IFERROR(IF(D52="","",TEXT('Getting Started'!B7+(F52-1)*7,"MMM D")),"")</f>
        <v/>
      </c>
      <c r="I52" s="30">
        <f>IFERROR(IF(D52="","",TEXT('Getting Started'!B7+(G52)*7,"MMM D")),"")</f>
        <v/>
      </c>
      <c r="J52" s="34" t="n"/>
    </row>
    <row r="53" ht="18" customHeight="1">
      <c r="A53" s="33" t="n">
        <v>6</v>
      </c>
      <c r="B53" s="35" t="n"/>
      <c r="D53" s="36" t="n"/>
      <c r="E53" s="30">
        <f>IFERROR(SUM(D48:D53),"")</f>
        <v/>
      </c>
      <c r="F53" s="30">
        <f>IFERROR(IF(D53="","",FLOOR(E52/F45,1)+1),"")</f>
        <v/>
      </c>
      <c r="G53" s="30">
        <f>IFERROR(IF(D53="","",CEILING(E53/F45,1)),"")</f>
        <v/>
      </c>
      <c r="H53" s="30">
        <f>IFERROR(IF(D53="","",TEXT('Getting Started'!B7+(F53-1)*7,"MMM D")),"")</f>
        <v/>
      </c>
      <c r="I53" s="30">
        <f>IFERROR(IF(D53="","",TEXT('Getting Started'!B7+(G53)*7,"MMM D")),"")</f>
        <v/>
      </c>
      <c r="J53" s="34" t="n"/>
    </row>
    <row r="54" ht="20" customHeight="1">
      <c r="A54" s="43" t="inlineStr">
        <is>
          <t>Notes:</t>
        </is>
      </c>
      <c r="B54" s="37" t="n"/>
    </row>
    <row r="55" ht="24" customHeight="1">
      <c r="A55" s="44" t="inlineStr">
        <is>
          <t xml:space="preserve">  WRITING / COMPOSITION</t>
        </is>
      </c>
    </row>
    <row r="56" ht="20" customHeight="1">
      <c r="A56" s="45" t="inlineStr">
        <is>
          <t>Curriculum / Title:</t>
        </is>
      </c>
      <c r="B56" s="27" t="n"/>
      <c r="F56" s="45" t="inlineStr">
        <is>
          <t>Unit type:</t>
        </is>
      </c>
      <c r="G56" s="27" t="inlineStr">
        <is>
          <t>pages</t>
        </is>
      </c>
      <c r="I56" s="28" t="inlineStr">
        <is>
          <t>← type: pages, lessons, chapters…</t>
        </is>
      </c>
      <c r="J56" s="29" t="n"/>
    </row>
    <row r="57" ht="22" customHeight="1">
      <c r="A57" s="45" t="inlineStr">
        <is>
          <t>Total Units:</t>
        </is>
      </c>
      <c r="B57" s="27" t="n"/>
      <c r="C57" s="45" t="inlineStr">
        <is>
          <t>School Weeks:</t>
        </is>
      </c>
      <c r="D57" s="30">
        <f>'Getting Started'!B9</f>
        <v/>
      </c>
      <c r="E57" s="45" t="inlineStr">
        <is>
          <t>Units / Week:</t>
        </is>
      </c>
      <c r="F57" s="12">
        <f>IFERROR(IF(B57="","",ROUND(B57/D57,1)),"")</f>
        <v/>
      </c>
      <c r="G57" s="45" t="inlineStr">
        <is>
          <t>Units / Day:</t>
        </is>
      </c>
      <c r="H57" s="12">
        <f>IFERROR(IF(F57="","",ROUND(F57/'Getting Started'!B10,1)),"")</f>
        <v/>
      </c>
      <c r="I57" s="45" t="inlineStr">
        <is>
          <t>Est. End Date:</t>
        </is>
      </c>
      <c r="J57" s="12">
        <f>IFERROR(IF(B57="","",TEXT('Getting Started'!B7+(B57/'Getting Started'!B10),"MMM D, YYYY")),"")</f>
        <v/>
      </c>
    </row>
    <row r="58" ht="18" customHeight="1">
      <c r="A58" s="31" t="inlineStr">
        <is>
          <t xml:space="preserve">  Optional: Component / Volume Breakdown  (fill in if curriculum has multiple books or parts)</t>
        </is>
      </c>
    </row>
    <row r="59" ht="18" customHeight="1">
      <c r="A59" s="32" t="inlineStr">
        <is>
          <t>#</t>
        </is>
      </c>
      <c r="B59" s="32" t="inlineStr">
        <is>
          <t>Component / Book Title</t>
        </is>
      </c>
      <c r="C59" s="29" t="n"/>
      <c r="D59" s="32" t="inlineStr">
        <is>
          <t>Total Units
in Component</t>
        </is>
      </c>
      <c r="E59" s="32" t="inlineStr">
        <is>
          <t>Cumulative
Units</t>
        </is>
      </c>
      <c r="F59" s="32" t="inlineStr">
        <is>
          <t>Start
Week</t>
        </is>
      </c>
      <c r="G59" s="32" t="inlineStr">
        <is>
          <t>End
Week</t>
        </is>
      </c>
      <c r="H59" s="32" t="inlineStr">
        <is>
          <t>Start
Date</t>
        </is>
      </c>
      <c r="I59" s="32" t="inlineStr">
        <is>
          <t>End
Date</t>
        </is>
      </c>
      <c r="J59" s="32" t="inlineStr">
        <is>
          <t>Complete?</t>
        </is>
      </c>
    </row>
    <row r="60" ht="18" customHeight="1">
      <c r="A60" s="33" t="n">
        <v>1</v>
      </c>
      <c r="B60" s="27" t="n"/>
      <c r="D60" s="34" t="n"/>
      <c r="E60" s="30">
        <f>IFERROR(SUM(D60:D60),"")</f>
        <v/>
      </c>
      <c r="F60" s="30">
        <f>IF(D60="","",1)</f>
        <v/>
      </c>
      <c r="G60" s="30">
        <f>IFERROR(IF(D60="","",CEILING(E60/F57,1)),"")</f>
        <v/>
      </c>
      <c r="H60" s="30">
        <f>IFERROR(IF(D60="","",TEXT('Getting Started'!B7+(F60-1)*7,"MMM D")),"")</f>
        <v/>
      </c>
      <c r="I60" s="30">
        <f>IFERROR(IF(D60="","",TEXT('Getting Started'!B7+(G60)*7,"MMM D")),"")</f>
        <v/>
      </c>
      <c r="J60" s="34" t="n"/>
    </row>
    <row r="61" ht="18" customHeight="1">
      <c r="A61" s="33" t="n">
        <v>2</v>
      </c>
      <c r="B61" s="35" t="n"/>
      <c r="D61" s="36" t="n"/>
      <c r="E61" s="30">
        <f>IFERROR(SUM(D60:D61),"")</f>
        <v/>
      </c>
      <c r="F61" s="30">
        <f>IFERROR(IF(D61="","",FLOOR(E60/F57,1)+1),"")</f>
        <v/>
      </c>
      <c r="G61" s="30">
        <f>IFERROR(IF(D61="","",CEILING(E61/F57,1)),"")</f>
        <v/>
      </c>
      <c r="H61" s="30">
        <f>IFERROR(IF(D61="","",TEXT('Getting Started'!B7+(F61-1)*7,"MMM D")),"")</f>
        <v/>
      </c>
      <c r="I61" s="30">
        <f>IFERROR(IF(D61="","",TEXT('Getting Started'!B7+(G61)*7,"MMM D")),"")</f>
        <v/>
      </c>
      <c r="J61" s="34" t="n"/>
    </row>
    <row r="62" ht="18" customHeight="1">
      <c r="A62" s="33" t="n">
        <v>3</v>
      </c>
      <c r="B62" s="27" t="n"/>
      <c r="D62" s="34" t="n"/>
      <c r="E62" s="30">
        <f>IFERROR(SUM(D60:D62),"")</f>
        <v/>
      </c>
      <c r="F62" s="30">
        <f>IFERROR(IF(D62="","",FLOOR(E61/F57,1)+1),"")</f>
        <v/>
      </c>
      <c r="G62" s="30">
        <f>IFERROR(IF(D62="","",CEILING(E62/F57,1)),"")</f>
        <v/>
      </c>
      <c r="H62" s="30">
        <f>IFERROR(IF(D62="","",TEXT('Getting Started'!B7+(F62-1)*7,"MMM D")),"")</f>
        <v/>
      </c>
      <c r="I62" s="30">
        <f>IFERROR(IF(D62="","",TEXT('Getting Started'!B7+(G62)*7,"MMM D")),"")</f>
        <v/>
      </c>
      <c r="J62" s="34" t="n"/>
    </row>
    <row r="63" ht="18" customHeight="1">
      <c r="A63" s="33" t="n">
        <v>4</v>
      </c>
      <c r="B63" s="35" t="n"/>
      <c r="D63" s="36" t="n"/>
      <c r="E63" s="30">
        <f>IFERROR(SUM(D60:D63),"")</f>
        <v/>
      </c>
      <c r="F63" s="30">
        <f>IFERROR(IF(D63="","",FLOOR(E62/F57,1)+1),"")</f>
        <v/>
      </c>
      <c r="G63" s="30">
        <f>IFERROR(IF(D63="","",CEILING(E63/F57,1)),"")</f>
        <v/>
      </c>
      <c r="H63" s="30">
        <f>IFERROR(IF(D63="","",TEXT('Getting Started'!B7+(F63-1)*7,"MMM D")),"")</f>
        <v/>
      </c>
      <c r="I63" s="30">
        <f>IFERROR(IF(D63="","",TEXT('Getting Started'!B7+(G63)*7,"MMM D")),"")</f>
        <v/>
      </c>
      <c r="J63" s="34" t="n"/>
    </row>
    <row r="64" ht="18" customHeight="1">
      <c r="A64" s="33" t="n">
        <v>5</v>
      </c>
      <c r="B64" s="27" t="n"/>
      <c r="D64" s="34" t="n"/>
      <c r="E64" s="30">
        <f>IFERROR(SUM(D60:D64),"")</f>
        <v/>
      </c>
      <c r="F64" s="30">
        <f>IFERROR(IF(D64="","",FLOOR(E63/F57,1)+1),"")</f>
        <v/>
      </c>
      <c r="G64" s="30">
        <f>IFERROR(IF(D64="","",CEILING(E64/F57,1)),"")</f>
        <v/>
      </c>
      <c r="H64" s="30">
        <f>IFERROR(IF(D64="","",TEXT('Getting Started'!B7+(F64-1)*7,"MMM D")),"")</f>
        <v/>
      </c>
      <c r="I64" s="30">
        <f>IFERROR(IF(D64="","",TEXT('Getting Started'!B7+(G64)*7,"MMM D")),"")</f>
        <v/>
      </c>
      <c r="J64" s="34" t="n"/>
    </row>
    <row r="65" ht="18" customHeight="1">
      <c r="A65" s="33" t="n">
        <v>6</v>
      </c>
      <c r="B65" s="35" t="n"/>
      <c r="D65" s="36" t="n"/>
      <c r="E65" s="30">
        <f>IFERROR(SUM(D60:D65),"")</f>
        <v/>
      </c>
      <c r="F65" s="30">
        <f>IFERROR(IF(D65="","",FLOOR(E64/F57,1)+1),"")</f>
        <v/>
      </c>
      <c r="G65" s="30">
        <f>IFERROR(IF(D65="","",CEILING(E65/F57,1)),"")</f>
        <v/>
      </c>
      <c r="H65" s="30">
        <f>IFERROR(IF(D65="","",TEXT('Getting Started'!B7+(F65-1)*7,"MMM D")),"")</f>
        <v/>
      </c>
      <c r="I65" s="30">
        <f>IFERROR(IF(D65="","",TEXT('Getting Started'!B7+(G65)*7,"MMM D")),"")</f>
        <v/>
      </c>
      <c r="J65" s="34" t="n"/>
    </row>
    <row r="66" ht="20" customHeight="1">
      <c r="A66" s="45" t="inlineStr">
        <is>
          <t>Notes:</t>
        </is>
      </c>
      <c r="B66" s="37" t="n"/>
    </row>
    <row r="67" ht="24" customHeight="1">
      <c r="A67" s="46" t="inlineStr">
        <is>
          <t xml:space="preserve">  SCIENCE</t>
        </is>
      </c>
    </row>
    <row r="68" ht="20" customHeight="1">
      <c r="A68" s="47" t="inlineStr">
        <is>
          <t>Curriculum / Title:</t>
        </is>
      </c>
      <c r="B68" s="27" t="n"/>
      <c r="F68" s="47" t="inlineStr">
        <is>
          <t>Unit type:</t>
        </is>
      </c>
      <c r="G68" s="27" t="inlineStr">
        <is>
          <t>pages</t>
        </is>
      </c>
      <c r="I68" s="28" t="inlineStr">
        <is>
          <t>← type: pages, lessons, chapters…</t>
        </is>
      </c>
      <c r="J68" s="29" t="n"/>
    </row>
    <row r="69" ht="22" customHeight="1">
      <c r="A69" s="47" t="inlineStr">
        <is>
          <t>Total Units:</t>
        </is>
      </c>
      <c r="B69" s="27" t="n"/>
      <c r="C69" s="47" t="inlineStr">
        <is>
          <t>School Weeks:</t>
        </is>
      </c>
      <c r="D69" s="30">
        <f>'Getting Started'!B9</f>
        <v/>
      </c>
      <c r="E69" s="47" t="inlineStr">
        <is>
          <t>Units / Week:</t>
        </is>
      </c>
      <c r="F69" s="12">
        <f>IFERROR(IF(B69="","",ROUND(B69/D69,1)),"")</f>
        <v/>
      </c>
      <c r="G69" s="47" t="inlineStr">
        <is>
          <t>Units / Day:</t>
        </is>
      </c>
      <c r="H69" s="12">
        <f>IFERROR(IF(F69="","",ROUND(F69/'Getting Started'!B10,1)),"")</f>
        <v/>
      </c>
      <c r="I69" s="47" t="inlineStr">
        <is>
          <t>Est. End Date:</t>
        </is>
      </c>
      <c r="J69" s="12">
        <f>IFERROR(IF(B69="","",TEXT('Getting Started'!B7+(B69/'Getting Started'!B10),"MMM D, YYYY")),"")</f>
        <v/>
      </c>
    </row>
    <row r="70" ht="18" customHeight="1">
      <c r="A70" s="31" t="inlineStr">
        <is>
          <t xml:space="preserve">  Optional: Component / Volume Breakdown  (fill in if curriculum has multiple books or parts)</t>
        </is>
      </c>
    </row>
    <row r="71" ht="18" customHeight="1">
      <c r="A71" s="32" t="inlineStr">
        <is>
          <t>#</t>
        </is>
      </c>
      <c r="B71" s="32" t="inlineStr">
        <is>
          <t>Component / Book Title</t>
        </is>
      </c>
      <c r="C71" s="29" t="n"/>
      <c r="D71" s="32" t="inlineStr">
        <is>
          <t>Total Units
in Component</t>
        </is>
      </c>
      <c r="E71" s="32" t="inlineStr">
        <is>
          <t>Cumulative
Units</t>
        </is>
      </c>
      <c r="F71" s="32" t="inlineStr">
        <is>
          <t>Start
Week</t>
        </is>
      </c>
      <c r="G71" s="32" t="inlineStr">
        <is>
          <t>End
Week</t>
        </is>
      </c>
      <c r="H71" s="32" t="inlineStr">
        <is>
          <t>Start
Date</t>
        </is>
      </c>
      <c r="I71" s="32" t="inlineStr">
        <is>
          <t>End
Date</t>
        </is>
      </c>
      <c r="J71" s="32" t="inlineStr">
        <is>
          <t>Complete?</t>
        </is>
      </c>
    </row>
    <row r="72" ht="18" customHeight="1">
      <c r="A72" s="33" t="n">
        <v>1</v>
      </c>
      <c r="B72" s="27" t="n"/>
      <c r="D72" s="34" t="n"/>
      <c r="E72" s="30">
        <f>IFERROR(SUM(D72:D72),"")</f>
        <v/>
      </c>
      <c r="F72" s="30">
        <f>IF(D72="","",1)</f>
        <v/>
      </c>
      <c r="G72" s="30">
        <f>IFERROR(IF(D72="","",CEILING(E72/F69,1)),"")</f>
        <v/>
      </c>
      <c r="H72" s="30">
        <f>IFERROR(IF(D72="","",TEXT('Getting Started'!B7+(F72-1)*7,"MMM D")),"")</f>
        <v/>
      </c>
      <c r="I72" s="30">
        <f>IFERROR(IF(D72="","",TEXT('Getting Started'!B7+(G72)*7,"MMM D")),"")</f>
        <v/>
      </c>
      <c r="J72" s="34" t="n"/>
    </row>
    <row r="73" ht="18" customHeight="1">
      <c r="A73" s="33" t="n">
        <v>2</v>
      </c>
      <c r="B73" s="35" t="n"/>
      <c r="D73" s="36" t="n"/>
      <c r="E73" s="30">
        <f>IFERROR(SUM(D72:D73),"")</f>
        <v/>
      </c>
      <c r="F73" s="30">
        <f>IFERROR(IF(D73="","",FLOOR(E72/F69,1)+1),"")</f>
        <v/>
      </c>
      <c r="G73" s="30">
        <f>IFERROR(IF(D73="","",CEILING(E73/F69,1)),"")</f>
        <v/>
      </c>
      <c r="H73" s="30">
        <f>IFERROR(IF(D73="","",TEXT('Getting Started'!B7+(F73-1)*7,"MMM D")),"")</f>
        <v/>
      </c>
      <c r="I73" s="30">
        <f>IFERROR(IF(D73="","",TEXT('Getting Started'!B7+(G73)*7,"MMM D")),"")</f>
        <v/>
      </c>
      <c r="J73" s="34" t="n"/>
    </row>
    <row r="74" ht="18" customHeight="1">
      <c r="A74" s="33" t="n">
        <v>3</v>
      </c>
      <c r="B74" s="27" t="n"/>
      <c r="D74" s="34" t="n"/>
      <c r="E74" s="30">
        <f>IFERROR(SUM(D72:D74),"")</f>
        <v/>
      </c>
      <c r="F74" s="30">
        <f>IFERROR(IF(D74="","",FLOOR(E73/F69,1)+1),"")</f>
        <v/>
      </c>
      <c r="G74" s="30">
        <f>IFERROR(IF(D74="","",CEILING(E74/F69,1)),"")</f>
        <v/>
      </c>
      <c r="H74" s="30">
        <f>IFERROR(IF(D74="","",TEXT('Getting Started'!B7+(F74-1)*7,"MMM D")),"")</f>
        <v/>
      </c>
      <c r="I74" s="30">
        <f>IFERROR(IF(D74="","",TEXT('Getting Started'!B7+(G74)*7,"MMM D")),"")</f>
        <v/>
      </c>
      <c r="J74" s="34" t="n"/>
    </row>
    <row r="75" ht="18" customHeight="1">
      <c r="A75" s="33" t="n">
        <v>4</v>
      </c>
      <c r="B75" s="35" t="n"/>
      <c r="D75" s="36" t="n"/>
      <c r="E75" s="30">
        <f>IFERROR(SUM(D72:D75),"")</f>
        <v/>
      </c>
      <c r="F75" s="30">
        <f>IFERROR(IF(D75="","",FLOOR(E74/F69,1)+1),"")</f>
        <v/>
      </c>
      <c r="G75" s="30">
        <f>IFERROR(IF(D75="","",CEILING(E75/F69,1)),"")</f>
        <v/>
      </c>
      <c r="H75" s="30">
        <f>IFERROR(IF(D75="","",TEXT('Getting Started'!B7+(F75-1)*7,"MMM D")),"")</f>
        <v/>
      </c>
      <c r="I75" s="30">
        <f>IFERROR(IF(D75="","",TEXT('Getting Started'!B7+(G75)*7,"MMM D")),"")</f>
        <v/>
      </c>
      <c r="J75" s="34" t="n"/>
    </row>
    <row r="76" ht="18" customHeight="1">
      <c r="A76" s="33" t="n">
        <v>5</v>
      </c>
      <c r="B76" s="27" t="n"/>
      <c r="D76" s="34" t="n"/>
      <c r="E76" s="30">
        <f>IFERROR(SUM(D72:D76),"")</f>
        <v/>
      </c>
      <c r="F76" s="30">
        <f>IFERROR(IF(D76="","",FLOOR(E75/F69,1)+1),"")</f>
        <v/>
      </c>
      <c r="G76" s="30">
        <f>IFERROR(IF(D76="","",CEILING(E76/F69,1)),"")</f>
        <v/>
      </c>
      <c r="H76" s="30">
        <f>IFERROR(IF(D76="","",TEXT('Getting Started'!B7+(F76-1)*7,"MMM D")),"")</f>
        <v/>
      </c>
      <c r="I76" s="30">
        <f>IFERROR(IF(D76="","",TEXT('Getting Started'!B7+(G76)*7,"MMM D")),"")</f>
        <v/>
      </c>
      <c r="J76" s="34" t="n"/>
    </row>
    <row r="77" ht="18" customHeight="1">
      <c r="A77" s="33" t="n">
        <v>6</v>
      </c>
      <c r="B77" s="35" t="n"/>
      <c r="D77" s="36" t="n"/>
      <c r="E77" s="30">
        <f>IFERROR(SUM(D72:D77),"")</f>
        <v/>
      </c>
      <c r="F77" s="30">
        <f>IFERROR(IF(D77="","",FLOOR(E76/F69,1)+1),"")</f>
        <v/>
      </c>
      <c r="G77" s="30">
        <f>IFERROR(IF(D77="","",CEILING(E77/F69,1)),"")</f>
        <v/>
      </c>
      <c r="H77" s="30">
        <f>IFERROR(IF(D77="","",TEXT('Getting Started'!B7+(F77-1)*7,"MMM D")),"")</f>
        <v/>
      </c>
      <c r="I77" s="30">
        <f>IFERROR(IF(D77="","",TEXT('Getting Started'!B7+(G77)*7,"MMM D")),"")</f>
        <v/>
      </c>
      <c r="J77" s="34" t="n"/>
    </row>
    <row r="78" ht="20" customHeight="1">
      <c r="A78" s="47" t="inlineStr">
        <is>
          <t>Notes:</t>
        </is>
      </c>
      <c r="B78" s="37" t="n"/>
    </row>
    <row r="79" ht="24" customHeight="1">
      <c r="A79" s="48" t="inlineStr">
        <is>
          <t xml:space="preserve">  SOCIAL STUDIES / HISTORY</t>
        </is>
      </c>
    </row>
    <row r="80" ht="20" customHeight="1">
      <c r="A80" s="49" t="inlineStr">
        <is>
          <t>Curriculum / Title:</t>
        </is>
      </c>
      <c r="B80" s="27" t="n"/>
      <c r="F80" s="49" t="inlineStr">
        <is>
          <t>Unit type:</t>
        </is>
      </c>
      <c r="G80" s="27" t="inlineStr">
        <is>
          <t>pages</t>
        </is>
      </c>
      <c r="I80" s="28" t="inlineStr">
        <is>
          <t>← type: pages, lessons, chapters…</t>
        </is>
      </c>
      <c r="J80" s="29" t="n"/>
    </row>
    <row r="81" ht="22" customHeight="1">
      <c r="A81" s="49" t="inlineStr">
        <is>
          <t>Total Units:</t>
        </is>
      </c>
      <c r="B81" s="27" t="n"/>
      <c r="C81" s="49" t="inlineStr">
        <is>
          <t>School Weeks:</t>
        </is>
      </c>
      <c r="D81" s="30">
        <f>'Getting Started'!B9</f>
        <v/>
      </c>
      <c r="E81" s="49" t="inlineStr">
        <is>
          <t>Units / Week:</t>
        </is>
      </c>
      <c r="F81" s="12">
        <f>IFERROR(IF(B81="","",ROUND(B81/D81,1)),"")</f>
        <v/>
      </c>
      <c r="G81" s="49" t="inlineStr">
        <is>
          <t>Units / Day:</t>
        </is>
      </c>
      <c r="H81" s="12">
        <f>IFERROR(IF(F81="","",ROUND(F81/'Getting Started'!B10,1)),"")</f>
        <v/>
      </c>
      <c r="I81" s="49" t="inlineStr">
        <is>
          <t>Est. End Date:</t>
        </is>
      </c>
      <c r="J81" s="12">
        <f>IFERROR(IF(B81="","",TEXT('Getting Started'!B7+(B81/'Getting Started'!B10),"MMM D, YYYY")),"")</f>
        <v/>
      </c>
    </row>
    <row r="82" ht="18" customHeight="1">
      <c r="A82" s="31" t="inlineStr">
        <is>
          <t xml:space="preserve">  Optional: Component / Volume Breakdown  (fill in if curriculum has multiple books or parts)</t>
        </is>
      </c>
    </row>
    <row r="83" ht="18" customHeight="1">
      <c r="A83" s="32" t="inlineStr">
        <is>
          <t>#</t>
        </is>
      </c>
      <c r="B83" s="32" t="inlineStr">
        <is>
          <t>Component / Book Title</t>
        </is>
      </c>
      <c r="C83" s="29" t="n"/>
      <c r="D83" s="32" t="inlineStr">
        <is>
          <t>Total Units
in Component</t>
        </is>
      </c>
      <c r="E83" s="32" t="inlineStr">
        <is>
          <t>Cumulative
Units</t>
        </is>
      </c>
      <c r="F83" s="32" t="inlineStr">
        <is>
          <t>Start
Week</t>
        </is>
      </c>
      <c r="G83" s="32" t="inlineStr">
        <is>
          <t>End
Week</t>
        </is>
      </c>
      <c r="H83" s="32" t="inlineStr">
        <is>
          <t>Start
Date</t>
        </is>
      </c>
      <c r="I83" s="32" t="inlineStr">
        <is>
          <t>End
Date</t>
        </is>
      </c>
      <c r="J83" s="32" t="inlineStr">
        <is>
          <t>Complete?</t>
        </is>
      </c>
    </row>
    <row r="84" ht="18" customHeight="1">
      <c r="A84" s="33" t="n">
        <v>1</v>
      </c>
      <c r="B84" s="27" t="n"/>
      <c r="D84" s="34" t="n"/>
      <c r="E84" s="30">
        <f>IFERROR(SUM(D84:D84),"")</f>
        <v/>
      </c>
      <c r="F84" s="30">
        <f>IF(D84="","",1)</f>
        <v/>
      </c>
      <c r="G84" s="30">
        <f>IFERROR(IF(D84="","",CEILING(E84/F81,1)),"")</f>
        <v/>
      </c>
      <c r="H84" s="30">
        <f>IFERROR(IF(D84="","",TEXT('Getting Started'!B7+(F84-1)*7,"MMM D")),"")</f>
        <v/>
      </c>
      <c r="I84" s="30">
        <f>IFERROR(IF(D84="","",TEXT('Getting Started'!B7+(G84)*7,"MMM D")),"")</f>
        <v/>
      </c>
      <c r="J84" s="34" t="n"/>
    </row>
    <row r="85" ht="18" customHeight="1">
      <c r="A85" s="33" t="n">
        <v>2</v>
      </c>
      <c r="B85" s="35" t="n"/>
      <c r="D85" s="36" t="n"/>
      <c r="E85" s="30">
        <f>IFERROR(SUM(D84:D85),"")</f>
        <v/>
      </c>
      <c r="F85" s="30">
        <f>IFERROR(IF(D85="","",FLOOR(E84/F81,1)+1),"")</f>
        <v/>
      </c>
      <c r="G85" s="30">
        <f>IFERROR(IF(D85="","",CEILING(E85/F81,1)),"")</f>
        <v/>
      </c>
      <c r="H85" s="30">
        <f>IFERROR(IF(D85="","",TEXT('Getting Started'!B7+(F85-1)*7,"MMM D")),"")</f>
        <v/>
      </c>
      <c r="I85" s="30">
        <f>IFERROR(IF(D85="","",TEXT('Getting Started'!B7+(G85)*7,"MMM D")),"")</f>
        <v/>
      </c>
      <c r="J85" s="34" t="n"/>
    </row>
    <row r="86" ht="18" customHeight="1">
      <c r="A86" s="33" t="n">
        <v>3</v>
      </c>
      <c r="B86" s="27" t="n"/>
      <c r="D86" s="34" t="n"/>
      <c r="E86" s="30">
        <f>IFERROR(SUM(D84:D86),"")</f>
        <v/>
      </c>
      <c r="F86" s="30">
        <f>IFERROR(IF(D86="","",FLOOR(E85/F81,1)+1),"")</f>
        <v/>
      </c>
      <c r="G86" s="30">
        <f>IFERROR(IF(D86="","",CEILING(E86/F81,1)),"")</f>
        <v/>
      </c>
      <c r="H86" s="30">
        <f>IFERROR(IF(D86="","",TEXT('Getting Started'!B7+(F86-1)*7,"MMM D")),"")</f>
        <v/>
      </c>
      <c r="I86" s="30">
        <f>IFERROR(IF(D86="","",TEXT('Getting Started'!B7+(G86)*7,"MMM D")),"")</f>
        <v/>
      </c>
      <c r="J86" s="34" t="n"/>
    </row>
    <row r="87" ht="18" customHeight="1">
      <c r="A87" s="33" t="n">
        <v>4</v>
      </c>
      <c r="B87" s="35" t="n"/>
      <c r="D87" s="36" t="n"/>
      <c r="E87" s="30">
        <f>IFERROR(SUM(D84:D87),"")</f>
        <v/>
      </c>
      <c r="F87" s="30">
        <f>IFERROR(IF(D87="","",FLOOR(E86/F81,1)+1),"")</f>
        <v/>
      </c>
      <c r="G87" s="30">
        <f>IFERROR(IF(D87="","",CEILING(E87/F81,1)),"")</f>
        <v/>
      </c>
      <c r="H87" s="30">
        <f>IFERROR(IF(D87="","",TEXT('Getting Started'!B7+(F87-1)*7,"MMM D")),"")</f>
        <v/>
      </c>
      <c r="I87" s="30">
        <f>IFERROR(IF(D87="","",TEXT('Getting Started'!B7+(G87)*7,"MMM D")),"")</f>
        <v/>
      </c>
      <c r="J87" s="34" t="n"/>
    </row>
    <row r="88" ht="18" customHeight="1">
      <c r="A88" s="33" t="n">
        <v>5</v>
      </c>
      <c r="B88" s="27" t="n"/>
      <c r="D88" s="34" t="n"/>
      <c r="E88" s="30">
        <f>IFERROR(SUM(D84:D88),"")</f>
        <v/>
      </c>
      <c r="F88" s="30">
        <f>IFERROR(IF(D88="","",FLOOR(E87/F81,1)+1),"")</f>
        <v/>
      </c>
      <c r="G88" s="30">
        <f>IFERROR(IF(D88="","",CEILING(E88/F81,1)),"")</f>
        <v/>
      </c>
      <c r="H88" s="30">
        <f>IFERROR(IF(D88="","",TEXT('Getting Started'!B7+(F88-1)*7,"MMM D")),"")</f>
        <v/>
      </c>
      <c r="I88" s="30">
        <f>IFERROR(IF(D88="","",TEXT('Getting Started'!B7+(G88)*7,"MMM D")),"")</f>
        <v/>
      </c>
      <c r="J88" s="34" t="n"/>
    </row>
    <row r="89" ht="18" customHeight="1">
      <c r="A89" s="33" t="n">
        <v>6</v>
      </c>
      <c r="B89" s="35" t="n"/>
      <c r="D89" s="36" t="n"/>
      <c r="E89" s="30">
        <f>IFERROR(SUM(D84:D89),"")</f>
        <v/>
      </c>
      <c r="F89" s="30">
        <f>IFERROR(IF(D89="","",FLOOR(E88/F81,1)+1),"")</f>
        <v/>
      </c>
      <c r="G89" s="30">
        <f>IFERROR(IF(D89="","",CEILING(E89/F81,1)),"")</f>
        <v/>
      </c>
      <c r="H89" s="30">
        <f>IFERROR(IF(D89="","",TEXT('Getting Started'!B7+(F89-1)*7,"MMM D")),"")</f>
        <v/>
      </c>
      <c r="I89" s="30">
        <f>IFERROR(IF(D89="","",TEXT('Getting Started'!B7+(G89)*7,"MMM D")),"")</f>
        <v/>
      </c>
      <c r="J89" s="34" t="n"/>
    </row>
    <row r="90" ht="20" customHeight="1">
      <c r="A90" s="49" t="inlineStr">
        <is>
          <t>Notes:</t>
        </is>
      </c>
      <c r="B90" s="37" t="n"/>
    </row>
    <row r="91" ht="24" customHeight="1">
      <c r="A91" s="50" t="inlineStr">
        <is>
          <t xml:space="preserve">  HEALTH</t>
        </is>
      </c>
    </row>
    <row r="92" ht="20" customHeight="1">
      <c r="A92" s="51" t="inlineStr">
        <is>
          <t>Curriculum / Title:</t>
        </is>
      </c>
      <c r="B92" s="27" t="n"/>
      <c r="F92" s="51" t="inlineStr">
        <is>
          <t>Unit type:</t>
        </is>
      </c>
      <c r="G92" s="27" t="inlineStr">
        <is>
          <t>pages</t>
        </is>
      </c>
      <c r="I92" s="28" t="inlineStr">
        <is>
          <t>← type: pages, lessons, chapters…</t>
        </is>
      </c>
      <c r="J92" s="29" t="n"/>
    </row>
    <row r="93" ht="22" customHeight="1">
      <c r="A93" s="51" t="inlineStr">
        <is>
          <t>Total Units:</t>
        </is>
      </c>
      <c r="B93" s="27" t="n"/>
      <c r="C93" s="51" t="inlineStr">
        <is>
          <t>School Weeks:</t>
        </is>
      </c>
      <c r="D93" s="30">
        <f>'Getting Started'!B9</f>
        <v/>
      </c>
      <c r="E93" s="51" t="inlineStr">
        <is>
          <t>Units / Week:</t>
        </is>
      </c>
      <c r="F93" s="12">
        <f>IFERROR(IF(B93="","",ROUND(B93/D93,1)),"")</f>
        <v/>
      </c>
      <c r="G93" s="51" t="inlineStr">
        <is>
          <t>Units / Day:</t>
        </is>
      </c>
      <c r="H93" s="12">
        <f>IFERROR(IF(F93="","",ROUND(F93/'Getting Started'!B10,1)),"")</f>
        <v/>
      </c>
      <c r="I93" s="51" t="inlineStr">
        <is>
          <t>Est. End Date:</t>
        </is>
      </c>
      <c r="J93" s="12">
        <f>IFERROR(IF(B93="","",TEXT('Getting Started'!B7+(B93/'Getting Started'!B10),"MMM D, YYYY")),"")</f>
        <v/>
      </c>
    </row>
    <row r="94" ht="18" customHeight="1">
      <c r="A94" s="31" t="inlineStr">
        <is>
          <t xml:space="preserve">  Optional: Component / Volume Breakdown  (fill in if curriculum has multiple books or parts)</t>
        </is>
      </c>
    </row>
    <row r="95" ht="18" customHeight="1">
      <c r="A95" s="32" t="inlineStr">
        <is>
          <t>#</t>
        </is>
      </c>
      <c r="B95" s="32" t="inlineStr">
        <is>
          <t>Component / Book Title</t>
        </is>
      </c>
      <c r="C95" s="29" t="n"/>
      <c r="D95" s="32" t="inlineStr">
        <is>
          <t>Total Units
in Component</t>
        </is>
      </c>
      <c r="E95" s="32" t="inlineStr">
        <is>
          <t>Cumulative
Units</t>
        </is>
      </c>
      <c r="F95" s="32" t="inlineStr">
        <is>
          <t>Start
Week</t>
        </is>
      </c>
      <c r="G95" s="32" t="inlineStr">
        <is>
          <t>End
Week</t>
        </is>
      </c>
      <c r="H95" s="32" t="inlineStr">
        <is>
          <t>Start
Date</t>
        </is>
      </c>
      <c r="I95" s="32" t="inlineStr">
        <is>
          <t>End
Date</t>
        </is>
      </c>
      <c r="J95" s="32" t="inlineStr">
        <is>
          <t>Complete?</t>
        </is>
      </c>
    </row>
    <row r="96" ht="18" customHeight="1">
      <c r="A96" s="33" t="n">
        <v>1</v>
      </c>
      <c r="B96" s="27" t="n"/>
      <c r="D96" s="34" t="n"/>
      <c r="E96" s="30">
        <f>IFERROR(SUM(D96:D96),"")</f>
        <v/>
      </c>
      <c r="F96" s="30">
        <f>IF(D96="","",1)</f>
        <v/>
      </c>
      <c r="G96" s="30">
        <f>IFERROR(IF(D96="","",CEILING(E96/F93,1)),"")</f>
        <v/>
      </c>
      <c r="H96" s="30">
        <f>IFERROR(IF(D96="","",TEXT('Getting Started'!B7+(F96-1)*7,"MMM D")),"")</f>
        <v/>
      </c>
      <c r="I96" s="30">
        <f>IFERROR(IF(D96="","",TEXT('Getting Started'!B7+(G96)*7,"MMM D")),"")</f>
        <v/>
      </c>
      <c r="J96" s="34" t="n"/>
    </row>
    <row r="97" ht="18" customHeight="1">
      <c r="A97" s="33" t="n">
        <v>2</v>
      </c>
      <c r="B97" s="35" t="n"/>
      <c r="D97" s="36" t="n"/>
      <c r="E97" s="30">
        <f>IFERROR(SUM(D96:D97),"")</f>
        <v/>
      </c>
      <c r="F97" s="30">
        <f>IFERROR(IF(D97="","",FLOOR(E96/F93,1)+1),"")</f>
        <v/>
      </c>
      <c r="G97" s="30">
        <f>IFERROR(IF(D97="","",CEILING(E97/F93,1)),"")</f>
        <v/>
      </c>
      <c r="H97" s="30">
        <f>IFERROR(IF(D97="","",TEXT('Getting Started'!B7+(F97-1)*7,"MMM D")),"")</f>
        <v/>
      </c>
      <c r="I97" s="30">
        <f>IFERROR(IF(D97="","",TEXT('Getting Started'!B7+(G97)*7,"MMM D")),"")</f>
        <v/>
      </c>
      <c r="J97" s="34" t="n"/>
    </row>
    <row r="98" ht="18" customHeight="1">
      <c r="A98" s="33" t="n">
        <v>3</v>
      </c>
      <c r="B98" s="27" t="n"/>
      <c r="D98" s="34" t="n"/>
      <c r="E98" s="30">
        <f>IFERROR(SUM(D96:D98),"")</f>
        <v/>
      </c>
      <c r="F98" s="30">
        <f>IFERROR(IF(D98="","",FLOOR(E97/F93,1)+1),"")</f>
        <v/>
      </c>
      <c r="G98" s="30">
        <f>IFERROR(IF(D98="","",CEILING(E98/F93,1)),"")</f>
        <v/>
      </c>
      <c r="H98" s="30">
        <f>IFERROR(IF(D98="","",TEXT('Getting Started'!B7+(F98-1)*7,"MMM D")),"")</f>
        <v/>
      </c>
      <c r="I98" s="30">
        <f>IFERROR(IF(D98="","",TEXT('Getting Started'!B7+(G98)*7,"MMM D")),"")</f>
        <v/>
      </c>
      <c r="J98" s="34" t="n"/>
    </row>
    <row r="99" ht="18" customHeight="1">
      <c r="A99" s="33" t="n">
        <v>4</v>
      </c>
      <c r="B99" s="35" t="n"/>
      <c r="D99" s="36" t="n"/>
      <c r="E99" s="30">
        <f>IFERROR(SUM(D96:D99),"")</f>
        <v/>
      </c>
      <c r="F99" s="30">
        <f>IFERROR(IF(D99="","",FLOOR(E98/F93,1)+1),"")</f>
        <v/>
      </c>
      <c r="G99" s="30">
        <f>IFERROR(IF(D99="","",CEILING(E99/F93,1)),"")</f>
        <v/>
      </c>
      <c r="H99" s="30">
        <f>IFERROR(IF(D99="","",TEXT('Getting Started'!B7+(F99-1)*7,"MMM D")),"")</f>
        <v/>
      </c>
      <c r="I99" s="30">
        <f>IFERROR(IF(D99="","",TEXT('Getting Started'!B7+(G99)*7,"MMM D")),"")</f>
        <v/>
      </c>
      <c r="J99" s="34" t="n"/>
    </row>
    <row r="100" ht="18" customHeight="1">
      <c r="A100" s="33" t="n">
        <v>5</v>
      </c>
      <c r="B100" s="27" t="n"/>
      <c r="D100" s="34" t="n"/>
      <c r="E100" s="30">
        <f>IFERROR(SUM(D96:D100),"")</f>
        <v/>
      </c>
      <c r="F100" s="30">
        <f>IFERROR(IF(D100="","",FLOOR(E99/F93,1)+1),"")</f>
        <v/>
      </c>
      <c r="G100" s="30">
        <f>IFERROR(IF(D100="","",CEILING(E100/F93,1)),"")</f>
        <v/>
      </c>
      <c r="H100" s="30">
        <f>IFERROR(IF(D100="","",TEXT('Getting Started'!B7+(F100-1)*7,"MMM D")),"")</f>
        <v/>
      </c>
      <c r="I100" s="30">
        <f>IFERROR(IF(D100="","",TEXT('Getting Started'!B7+(G100)*7,"MMM D")),"")</f>
        <v/>
      </c>
      <c r="J100" s="34" t="n"/>
    </row>
    <row r="101" ht="18" customHeight="1">
      <c r="A101" s="33" t="n">
        <v>6</v>
      </c>
      <c r="B101" s="35" t="n"/>
      <c r="D101" s="36" t="n"/>
      <c r="E101" s="30">
        <f>IFERROR(SUM(D96:D101),"")</f>
        <v/>
      </c>
      <c r="F101" s="30">
        <f>IFERROR(IF(D101="","",FLOOR(E100/F93,1)+1),"")</f>
        <v/>
      </c>
      <c r="G101" s="30">
        <f>IFERROR(IF(D101="","",CEILING(E101/F93,1)),"")</f>
        <v/>
      </c>
      <c r="H101" s="30">
        <f>IFERROR(IF(D101="","",TEXT('Getting Started'!B7+(F101-1)*7,"MMM D")),"")</f>
        <v/>
      </c>
      <c r="I101" s="30">
        <f>IFERROR(IF(D101="","",TEXT('Getting Started'!B7+(G101)*7,"MMM D")),"")</f>
        <v/>
      </c>
      <c r="J101" s="34" t="n"/>
    </row>
    <row r="102" ht="20" customHeight="1">
      <c r="A102" s="51" t="inlineStr">
        <is>
          <t>Notes:</t>
        </is>
      </c>
      <c r="B102" s="37" t="n"/>
    </row>
    <row r="103" ht="24" customHeight="1">
      <c r="A103" s="52" t="inlineStr">
        <is>
          <t xml:space="preserve">  PHYSICAL EDUCATION</t>
        </is>
      </c>
    </row>
    <row r="104" ht="20" customHeight="1">
      <c r="A104" s="53" t="inlineStr">
        <is>
          <t>Curriculum / Title:</t>
        </is>
      </c>
      <c r="B104" s="27" t="n"/>
      <c r="F104" s="53" t="inlineStr">
        <is>
          <t>Unit type:</t>
        </is>
      </c>
      <c r="G104" s="27" t="inlineStr">
        <is>
          <t>pages</t>
        </is>
      </c>
      <c r="I104" s="28" t="inlineStr">
        <is>
          <t>← type: pages, lessons, chapters…</t>
        </is>
      </c>
      <c r="J104" s="29" t="n"/>
    </row>
    <row r="105" ht="22" customHeight="1">
      <c r="A105" s="53" t="inlineStr">
        <is>
          <t>Total Units:</t>
        </is>
      </c>
      <c r="B105" s="27" t="n"/>
      <c r="C105" s="53" t="inlineStr">
        <is>
          <t>School Weeks:</t>
        </is>
      </c>
      <c r="D105" s="30">
        <f>'Getting Started'!B9</f>
        <v/>
      </c>
      <c r="E105" s="53" t="inlineStr">
        <is>
          <t>Units / Week:</t>
        </is>
      </c>
      <c r="F105" s="12">
        <f>IFERROR(IF(B105="","",ROUND(B105/D105,1)),"")</f>
        <v/>
      </c>
      <c r="G105" s="53" t="inlineStr">
        <is>
          <t>Units / Day:</t>
        </is>
      </c>
      <c r="H105" s="12">
        <f>IFERROR(IF(F105="","",ROUND(F105/'Getting Started'!B10,1)),"")</f>
        <v/>
      </c>
      <c r="I105" s="53" t="inlineStr">
        <is>
          <t>Est. End Date:</t>
        </is>
      </c>
      <c r="J105" s="12">
        <f>IFERROR(IF(B105="","",TEXT('Getting Started'!B7+(B105/'Getting Started'!B10),"MMM D, YYYY")),"")</f>
        <v/>
      </c>
    </row>
    <row r="106" ht="18" customHeight="1">
      <c r="A106" s="31" t="inlineStr">
        <is>
          <t xml:space="preserve">  Optional: Component / Volume Breakdown  (fill in if curriculum has multiple books or parts)</t>
        </is>
      </c>
    </row>
    <row r="107" ht="18" customHeight="1">
      <c r="A107" s="32" t="inlineStr">
        <is>
          <t>#</t>
        </is>
      </c>
      <c r="B107" s="32" t="inlineStr">
        <is>
          <t>Component / Book Title</t>
        </is>
      </c>
      <c r="C107" s="29" t="n"/>
      <c r="D107" s="32" t="inlineStr">
        <is>
          <t>Total Units
in Component</t>
        </is>
      </c>
      <c r="E107" s="32" t="inlineStr">
        <is>
          <t>Cumulative
Units</t>
        </is>
      </c>
      <c r="F107" s="32" t="inlineStr">
        <is>
          <t>Start
Week</t>
        </is>
      </c>
      <c r="G107" s="32" t="inlineStr">
        <is>
          <t>End
Week</t>
        </is>
      </c>
      <c r="H107" s="32" t="inlineStr">
        <is>
          <t>Start
Date</t>
        </is>
      </c>
      <c r="I107" s="32" t="inlineStr">
        <is>
          <t>End
Date</t>
        </is>
      </c>
      <c r="J107" s="32" t="inlineStr">
        <is>
          <t>Complete?</t>
        </is>
      </c>
    </row>
    <row r="108" ht="18" customHeight="1">
      <c r="A108" s="33" t="n">
        <v>1</v>
      </c>
      <c r="B108" s="27" t="n"/>
      <c r="D108" s="34" t="n"/>
      <c r="E108" s="30">
        <f>IFERROR(SUM(D108:D108),"")</f>
        <v/>
      </c>
      <c r="F108" s="30">
        <f>IF(D108="","",1)</f>
        <v/>
      </c>
      <c r="G108" s="30">
        <f>IFERROR(IF(D108="","",CEILING(E108/F105,1)),"")</f>
        <v/>
      </c>
      <c r="H108" s="30">
        <f>IFERROR(IF(D108="","",TEXT('Getting Started'!B7+(F108-1)*7,"MMM D")),"")</f>
        <v/>
      </c>
      <c r="I108" s="30">
        <f>IFERROR(IF(D108="","",TEXT('Getting Started'!B7+(G108)*7,"MMM D")),"")</f>
        <v/>
      </c>
      <c r="J108" s="34" t="n"/>
    </row>
    <row r="109" ht="18" customHeight="1">
      <c r="A109" s="33" t="n">
        <v>2</v>
      </c>
      <c r="B109" s="35" t="n"/>
      <c r="D109" s="36" t="n"/>
      <c r="E109" s="30">
        <f>IFERROR(SUM(D108:D109),"")</f>
        <v/>
      </c>
      <c r="F109" s="30">
        <f>IFERROR(IF(D109="","",FLOOR(E108/F105,1)+1),"")</f>
        <v/>
      </c>
      <c r="G109" s="30">
        <f>IFERROR(IF(D109="","",CEILING(E109/F105,1)),"")</f>
        <v/>
      </c>
      <c r="H109" s="30">
        <f>IFERROR(IF(D109="","",TEXT('Getting Started'!B7+(F109-1)*7,"MMM D")),"")</f>
        <v/>
      </c>
      <c r="I109" s="30">
        <f>IFERROR(IF(D109="","",TEXT('Getting Started'!B7+(G109)*7,"MMM D")),"")</f>
        <v/>
      </c>
      <c r="J109" s="34" t="n"/>
    </row>
    <row r="110" ht="18" customHeight="1">
      <c r="A110" s="33" t="n">
        <v>3</v>
      </c>
      <c r="B110" s="27" t="n"/>
      <c r="D110" s="34" t="n"/>
      <c r="E110" s="30">
        <f>IFERROR(SUM(D108:D110),"")</f>
        <v/>
      </c>
      <c r="F110" s="30">
        <f>IFERROR(IF(D110="","",FLOOR(E109/F105,1)+1),"")</f>
        <v/>
      </c>
      <c r="G110" s="30">
        <f>IFERROR(IF(D110="","",CEILING(E110/F105,1)),"")</f>
        <v/>
      </c>
      <c r="H110" s="30">
        <f>IFERROR(IF(D110="","",TEXT('Getting Started'!B7+(F110-1)*7,"MMM D")),"")</f>
        <v/>
      </c>
      <c r="I110" s="30">
        <f>IFERROR(IF(D110="","",TEXT('Getting Started'!B7+(G110)*7,"MMM D")),"")</f>
        <v/>
      </c>
      <c r="J110" s="34" t="n"/>
    </row>
    <row r="111" ht="18" customHeight="1">
      <c r="A111" s="33" t="n">
        <v>4</v>
      </c>
      <c r="B111" s="35" t="n"/>
      <c r="D111" s="36" t="n"/>
      <c r="E111" s="30">
        <f>IFERROR(SUM(D108:D111),"")</f>
        <v/>
      </c>
      <c r="F111" s="30">
        <f>IFERROR(IF(D111="","",FLOOR(E110/F105,1)+1),"")</f>
        <v/>
      </c>
      <c r="G111" s="30">
        <f>IFERROR(IF(D111="","",CEILING(E111/F105,1)),"")</f>
        <v/>
      </c>
      <c r="H111" s="30">
        <f>IFERROR(IF(D111="","",TEXT('Getting Started'!B7+(F111-1)*7,"MMM D")),"")</f>
        <v/>
      </c>
      <c r="I111" s="30">
        <f>IFERROR(IF(D111="","",TEXT('Getting Started'!B7+(G111)*7,"MMM D")),"")</f>
        <v/>
      </c>
      <c r="J111" s="34" t="n"/>
    </row>
    <row r="112" ht="18" customHeight="1">
      <c r="A112" s="33" t="n">
        <v>5</v>
      </c>
      <c r="B112" s="27" t="n"/>
      <c r="D112" s="34" t="n"/>
      <c r="E112" s="30">
        <f>IFERROR(SUM(D108:D112),"")</f>
        <v/>
      </c>
      <c r="F112" s="30">
        <f>IFERROR(IF(D112="","",FLOOR(E111/F105,1)+1),"")</f>
        <v/>
      </c>
      <c r="G112" s="30">
        <f>IFERROR(IF(D112="","",CEILING(E112/F105,1)),"")</f>
        <v/>
      </c>
      <c r="H112" s="30">
        <f>IFERROR(IF(D112="","",TEXT('Getting Started'!B7+(F112-1)*7,"MMM D")),"")</f>
        <v/>
      </c>
      <c r="I112" s="30">
        <f>IFERROR(IF(D112="","",TEXT('Getting Started'!B7+(G112)*7,"MMM D")),"")</f>
        <v/>
      </c>
      <c r="J112" s="34" t="n"/>
    </row>
    <row r="113" ht="18" customHeight="1">
      <c r="A113" s="33" t="n">
        <v>6</v>
      </c>
      <c r="B113" s="35" t="n"/>
      <c r="D113" s="36" t="n"/>
      <c r="E113" s="30">
        <f>IFERROR(SUM(D108:D113),"")</f>
        <v/>
      </c>
      <c r="F113" s="30">
        <f>IFERROR(IF(D113="","",FLOOR(E112/F105,1)+1),"")</f>
        <v/>
      </c>
      <c r="G113" s="30">
        <f>IFERROR(IF(D113="","",CEILING(E113/F105,1)),"")</f>
        <v/>
      </c>
      <c r="H113" s="30">
        <f>IFERROR(IF(D113="","",TEXT('Getting Started'!B7+(F113-1)*7,"MMM D")),"")</f>
        <v/>
      </c>
      <c r="I113" s="30">
        <f>IFERROR(IF(D113="","",TEXT('Getting Started'!B7+(G113)*7,"MMM D")),"")</f>
        <v/>
      </c>
      <c r="J113" s="34" t="n"/>
    </row>
    <row r="114" ht="20" customHeight="1">
      <c r="A114" s="53" t="inlineStr">
        <is>
          <t>Notes:</t>
        </is>
      </c>
      <c r="B114" s="37" t="n"/>
    </row>
    <row r="115" ht="24" customHeight="1">
      <c r="A115" s="54" t="inlineStr">
        <is>
          <t xml:space="preserve">  ART / MUSIC</t>
        </is>
      </c>
    </row>
    <row r="116" ht="20" customHeight="1">
      <c r="A116" s="55" t="inlineStr">
        <is>
          <t>Curriculum / Title:</t>
        </is>
      </c>
      <c r="B116" s="27" t="n"/>
      <c r="F116" s="55" t="inlineStr">
        <is>
          <t>Unit type:</t>
        </is>
      </c>
      <c r="G116" s="27" t="inlineStr">
        <is>
          <t>pages</t>
        </is>
      </c>
      <c r="I116" s="28" t="inlineStr">
        <is>
          <t>← type: pages, lessons, chapters…</t>
        </is>
      </c>
      <c r="J116" s="29" t="n"/>
    </row>
    <row r="117" ht="22" customHeight="1">
      <c r="A117" s="55" t="inlineStr">
        <is>
          <t>Total Units:</t>
        </is>
      </c>
      <c r="B117" s="27" t="n"/>
      <c r="C117" s="55" t="inlineStr">
        <is>
          <t>School Weeks:</t>
        </is>
      </c>
      <c r="D117" s="30">
        <f>'Getting Started'!B9</f>
        <v/>
      </c>
      <c r="E117" s="55" t="inlineStr">
        <is>
          <t>Units / Week:</t>
        </is>
      </c>
      <c r="F117" s="12">
        <f>IFERROR(IF(B117="","",ROUND(B117/D117,1)),"")</f>
        <v/>
      </c>
      <c r="G117" s="55" t="inlineStr">
        <is>
          <t>Units / Day:</t>
        </is>
      </c>
      <c r="H117" s="12">
        <f>IFERROR(IF(F117="","",ROUND(F117/'Getting Started'!B10,1)),"")</f>
        <v/>
      </c>
      <c r="I117" s="55" t="inlineStr">
        <is>
          <t>Est. End Date:</t>
        </is>
      </c>
      <c r="J117" s="12">
        <f>IFERROR(IF(B117="","",TEXT('Getting Started'!B7+(B117/'Getting Started'!B10),"MMM D, YYYY")),"")</f>
        <v/>
      </c>
    </row>
    <row r="118" ht="18" customHeight="1">
      <c r="A118" s="31" t="inlineStr">
        <is>
          <t xml:space="preserve">  Optional: Component / Volume Breakdown  (fill in if curriculum has multiple books or parts)</t>
        </is>
      </c>
    </row>
    <row r="119" ht="18" customHeight="1">
      <c r="A119" s="32" t="inlineStr">
        <is>
          <t>#</t>
        </is>
      </c>
      <c r="B119" s="32" t="inlineStr">
        <is>
          <t>Component / Book Title</t>
        </is>
      </c>
      <c r="C119" s="29" t="n"/>
      <c r="D119" s="32" t="inlineStr">
        <is>
          <t>Total Units
in Component</t>
        </is>
      </c>
      <c r="E119" s="32" t="inlineStr">
        <is>
          <t>Cumulative
Units</t>
        </is>
      </c>
      <c r="F119" s="32" t="inlineStr">
        <is>
          <t>Start
Week</t>
        </is>
      </c>
      <c r="G119" s="32" t="inlineStr">
        <is>
          <t>End
Week</t>
        </is>
      </c>
      <c r="H119" s="32" t="inlineStr">
        <is>
          <t>Start
Date</t>
        </is>
      </c>
      <c r="I119" s="32" t="inlineStr">
        <is>
          <t>End
Date</t>
        </is>
      </c>
      <c r="J119" s="32" t="inlineStr">
        <is>
          <t>Complete?</t>
        </is>
      </c>
    </row>
    <row r="120" ht="18" customHeight="1">
      <c r="A120" s="33" t="n">
        <v>1</v>
      </c>
      <c r="B120" s="27" t="n"/>
      <c r="D120" s="34" t="n"/>
      <c r="E120" s="30">
        <f>IFERROR(SUM(D120:D120),"")</f>
        <v/>
      </c>
      <c r="F120" s="30">
        <f>IF(D120="","",1)</f>
        <v/>
      </c>
      <c r="G120" s="30">
        <f>IFERROR(IF(D120="","",CEILING(E120/F117,1)),"")</f>
        <v/>
      </c>
      <c r="H120" s="30">
        <f>IFERROR(IF(D120="","",TEXT('Getting Started'!B7+(F120-1)*7,"MMM D")),"")</f>
        <v/>
      </c>
      <c r="I120" s="30">
        <f>IFERROR(IF(D120="","",TEXT('Getting Started'!B7+(G120)*7,"MMM D")),"")</f>
        <v/>
      </c>
      <c r="J120" s="34" t="n"/>
    </row>
    <row r="121" ht="18" customHeight="1">
      <c r="A121" s="33" t="n">
        <v>2</v>
      </c>
      <c r="B121" s="35" t="n"/>
      <c r="D121" s="36" t="n"/>
      <c r="E121" s="30">
        <f>IFERROR(SUM(D120:D121),"")</f>
        <v/>
      </c>
      <c r="F121" s="30">
        <f>IFERROR(IF(D121="","",FLOOR(E120/F117,1)+1),"")</f>
        <v/>
      </c>
      <c r="G121" s="30">
        <f>IFERROR(IF(D121="","",CEILING(E121/F117,1)),"")</f>
        <v/>
      </c>
      <c r="H121" s="30">
        <f>IFERROR(IF(D121="","",TEXT('Getting Started'!B7+(F121-1)*7,"MMM D")),"")</f>
        <v/>
      </c>
      <c r="I121" s="30">
        <f>IFERROR(IF(D121="","",TEXT('Getting Started'!B7+(G121)*7,"MMM D")),"")</f>
        <v/>
      </c>
      <c r="J121" s="34" t="n"/>
    </row>
    <row r="122" ht="18" customHeight="1">
      <c r="A122" s="33" t="n">
        <v>3</v>
      </c>
      <c r="B122" s="27" t="n"/>
      <c r="D122" s="34" t="n"/>
      <c r="E122" s="30">
        <f>IFERROR(SUM(D120:D122),"")</f>
        <v/>
      </c>
      <c r="F122" s="30">
        <f>IFERROR(IF(D122="","",FLOOR(E121/F117,1)+1),"")</f>
        <v/>
      </c>
      <c r="G122" s="30">
        <f>IFERROR(IF(D122="","",CEILING(E122/F117,1)),"")</f>
        <v/>
      </c>
      <c r="H122" s="30">
        <f>IFERROR(IF(D122="","",TEXT('Getting Started'!B7+(F122-1)*7,"MMM D")),"")</f>
        <v/>
      </c>
      <c r="I122" s="30">
        <f>IFERROR(IF(D122="","",TEXT('Getting Started'!B7+(G122)*7,"MMM D")),"")</f>
        <v/>
      </c>
      <c r="J122" s="34" t="n"/>
    </row>
    <row r="123" ht="18" customHeight="1">
      <c r="A123" s="33" t="n">
        <v>4</v>
      </c>
      <c r="B123" s="35" t="n"/>
      <c r="D123" s="36" t="n"/>
      <c r="E123" s="30">
        <f>IFERROR(SUM(D120:D123),"")</f>
        <v/>
      </c>
      <c r="F123" s="30">
        <f>IFERROR(IF(D123="","",FLOOR(E122/F117,1)+1),"")</f>
        <v/>
      </c>
      <c r="G123" s="30">
        <f>IFERROR(IF(D123="","",CEILING(E123/F117,1)),"")</f>
        <v/>
      </c>
      <c r="H123" s="30">
        <f>IFERROR(IF(D123="","",TEXT('Getting Started'!B7+(F123-1)*7,"MMM D")),"")</f>
        <v/>
      </c>
      <c r="I123" s="30">
        <f>IFERROR(IF(D123="","",TEXT('Getting Started'!B7+(G123)*7,"MMM D")),"")</f>
        <v/>
      </c>
      <c r="J123" s="34" t="n"/>
    </row>
    <row r="124" ht="18" customHeight="1">
      <c r="A124" s="33" t="n">
        <v>5</v>
      </c>
      <c r="B124" s="27" t="n"/>
      <c r="D124" s="34" t="n"/>
      <c r="E124" s="30">
        <f>IFERROR(SUM(D120:D124),"")</f>
        <v/>
      </c>
      <c r="F124" s="30">
        <f>IFERROR(IF(D124="","",FLOOR(E123/F117,1)+1),"")</f>
        <v/>
      </c>
      <c r="G124" s="30">
        <f>IFERROR(IF(D124="","",CEILING(E124/F117,1)),"")</f>
        <v/>
      </c>
      <c r="H124" s="30">
        <f>IFERROR(IF(D124="","",TEXT('Getting Started'!B7+(F124-1)*7,"MMM D")),"")</f>
        <v/>
      </c>
      <c r="I124" s="30">
        <f>IFERROR(IF(D124="","",TEXT('Getting Started'!B7+(G124)*7,"MMM D")),"")</f>
        <v/>
      </c>
      <c r="J124" s="34" t="n"/>
    </row>
    <row r="125" ht="18" customHeight="1">
      <c r="A125" s="33" t="n">
        <v>6</v>
      </c>
      <c r="B125" s="35" t="n"/>
      <c r="D125" s="36" t="n"/>
      <c r="E125" s="30">
        <f>IFERROR(SUM(D120:D125),"")</f>
        <v/>
      </c>
      <c r="F125" s="30">
        <f>IFERROR(IF(D125="","",FLOOR(E124/F117,1)+1),"")</f>
        <v/>
      </c>
      <c r="G125" s="30">
        <f>IFERROR(IF(D125="","",CEILING(E125/F117,1)),"")</f>
        <v/>
      </c>
      <c r="H125" s="30">
        <f>IFERROR(IF(D125="","",TEXT('Getting Started'!B7+(F125-1)*7,"MMM D")),"")</f>
        <v/>
      </c>
      <c r="I125" s="30">
        <f>IFERROR(IF(D125="","",TEXT('Getting Started'!B7+(G125)*7,"MMM D")),"")</f>
        <v/>
      </c>
      <c r="J125" s="34" t="n"/>
    </row>
    <row r="126" ht="20" customHeight="1">
      <c r="A126" s="55" t="inlineStr">
        <is>
          <t>Notes:</t>
        </is>
      </c>
      <c r="B126" s="37" t="n"/>
    </row>
  </sheetData>
  <mergeCells count="133">
    <mergeCell ref="B100:C100"/>
    <mergeCell ref="I104:J104"/>
    <mergeCell ref="B68:E68"/>
    <mergeCell ref="A91:J91"/>
    <mergeCell ref="A43:J43"/>
    <mergeCell ref="B12:C12"/>
    <mergeCell ref="B77:C77"/>
    <mergeCell ref="B78:J78"/>
    <mergeCell ref="A115:J115"/>
    <mergeCell ref="B86:C86"/>
    <mergeCell ref="B61:C61"/>
    <mergeCell ref="A34:J34"/>
    <mergeCell ref="B101:C101"/>
    <mergeCell ref="B14:C14"/>
    <mergeCell ref="B13:C13"/>
    <mergeCell ref="B38:C38"/>
    <mergeCell ref="G68:H68"/>
    <mergeCell ref="B112:C112"/>
    <mergeCell ref="B40:C40"/>
    <mergeCell ref="B49:C49"/>
    <mergeCell ref="I44:J44"/>
    <mergeCell ref="A118:J118"/>
    <mergeCell ref="G20:H20"/>
    <mergeCell ref="B24:C24"/>
    <mergeCell ref="B64:C64"/>
    <mergeCell ref="I20:J20"/>
    <mergeCell ref="B90:J90"/>
    <mergeCell ref="B51:C51"/>
    <mergeCell ref="B66:J66"/>
    <mergeCell ref="A55:J55"/>
    <mergeCell ref="B18:J18"/>
    <mergeCell ref="G44:H44"/>
    <mergeCell ref="B63:C63"/>
    <mergeCell ref="B26:C26"/>
    <mergeCell ref="B41:C41"/>
    <mergeCell ref="B35:C35"/>
    <mergeCell ref="B16:C16"/>
    <mergeCell ref="B25:C25"/>
    <mergeCell ref="A106:J106"/>
    <mergeCell ref="I80:J80"/>
    <mergeCell ref="A4:J4"/>
    <mergeCell ref="B104:E104"/>
    <mergeCell ref="B27:C27"/>
    <mergeCell ref="B32:E32"/>
    <mergeCell ref="A31:J31"/>
    <mergeCell ref="B11:C11"/>
    <mergeCell ref="A58:J58"/>
    <mergeCell ref="I32:J32"/>
    <mergeCell ref="A67:J67"/>
    <mergeCell ref="A82:J82"/>
    <mergeCell ref="B53:C53"/>
    <mergeCell ref="I56:J56"/>
    <mergeCell ref="B119:C119"/>
    <mergeCell ref="B29:C29"/>
    <mergeCell ref="B37:C37"/>
    <mergeCell ref="G104:H104"/>
    <mergeCell ref="A7:J7"/>
    <mergeCell ref="B84:C84"/>
    <mergeCell ref="I8:J8"/>
    <mergeCell ref="B54:J54"/>
    <mergeCell ref="B15:C15"/>
    <mergeCell ref="B95:C95"/>
    <mergeCell ref="B89:C89"/>
    <mergeCell ref="B116:E116"/>
    <mergeCell ref="A2:J2"/>
    <mergeCell ref="B97:C97"/>
    <mergeCell ref="B125:C125"/>
    <mergeCell ref="B72:C72"/>
    <mergeCell ref="A22:J22"/>
    <mergeCell ref="B42:J42"/>
    <mergeCell ref="B121:C121"/>
    <mergeCell ref="I116:J116"/>
    <mergeCell ref="B80:E80"/>
    <mergeCell ref="B122:C122"/>
    <mergeCell ref="B96:C96"/>
    <mergeCell ref="B71:C71"/>
    <mergeCell ref="B52:C52"/>
    <mergeCell ref="G116:H116"/>
    <mergeCell ref="B120:C120"/>
    <mergeCell ref="B98:C98"/>
    <mergeCell ref="B107:C107"/>
    <mergeCell ref="B60:C60"/>
    <mergeCell ref="B17:C17"/>
    <mergeCell ref="B88:C88"/>
    <mergeCell ref="B30:J30"/>
    <mergeCell ref="B56:E56"/>
    <mergeCell ref="A79:J79"/>
    <mergeCell ref="A70:J70"/>
    <mergeCell ref="B28:C28"/>
    <mergeCell ref="G80:H80"/>
    <mergeCell ref="B99:C99"/>
    <mergeCell ref="B108:C108"/>
    <mergeCell ref="B126:J126"/>
    <mergeCell ref="B83:C83"/>
    <mergeCell ref="B124:C124"/>
    <mergeCell ref="G32:H32"/>
    <mergeCell ref="B76:C76"/>
    <mergeCell ref="B44:E44"/>
    <mergeCell ref="B85:C85"/>
    <mergeCell ref="G56:H56"/>
    <mergeCell ref="B75:C75"/>
    <mergeCell ref="B109:C109"/>
    <mergeCell ref="B47:C47"/>
    <mergeCell ref="B62:C62"/>
    <mergeCell ref="B59:C59"/>
    <mergeCell ref="B92:E92"/>
    <mergeCell ref="B20:E20"/>
    <mergeCell ref="G8:H8"/>
    <mergeCell ref="A10:J10"/>
    <mergeCell ref="A19:J19"/>
    <mergeCell ref="B39:C39"/>
    <mergeCell ref="B48:C48"/>
    <mergeCell ref="B111:C111"/>
    <mergeCell ref="B23:C23"/>
    <mergeCell ref="B73:C73"/>
    <mergeCell ref="A1:J1"/>
    <mergeCell ref="B87:C87"/>
    <mergeCell ref="I68:J68"/>
    <mergeCell ref="A94:J94"/>
    <mergeCell ref="G92:H92"/>
    <mergeCell ref="A103:J103"/>
    <mergeCell ref="B114:J114"/>
    <mergeCell ref="I92:J92"/>
    <mergeCell ref="B65:C65"/>
    <mergeCell ref="B74:C74"/>
    <mergeCell ref="A46:J46"/>
    <mergeCell ref="B8:E8"/>
    <mergeCell ref="B123:C123"/>
    <mergeCell ref="B36:C36"/>
    <mergeCell ref="B102:J102"/>
    <mergeCell ref="B50:C50"/>
    <mergeCell ref="B110:C110"/>
    <mergeCell ref="B113:C1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D6608"/>
    <outlinePr summaryBelow="1" summaryRight="1"/>
    <pageSetUpPr/>
  </sheetPr>
  <dimension ref="A1:J126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44" customHeight="1">
      <c r="A1" s="21">
        <f>'Getting Started'!C19</f>
        <v/>
      </c>
    </row>
    <row r="2" ht="24" customHeight="1">
      <c r="A2" s="22">
        <f>IFERROR("Grade: "&amp;'Getting Started'!G19&amp;"   |   School Year: "&amp;'Getting Started'!C6&amp;"   |   "  &amp;TEXT('Getting Started'!B7,"MMM D, YYYY")&amp;"  –  "&amp;TEXT('Getting Started'!B8,"MMM D, YYYY"),"")</f>
        <v/>
      </c>
    </row>
    <row r="3" ht="8" customHeight="1"/>
    <row r="4" ht="22" customHeight="1">
      <c r="A4" s="23" t="inlineStr">
        <is>
          <t>SCHOOL YEAR OVERVIEW  (from Getting Started)</t>
        </is>
      </c>
    </row>
    <row r="5" ht="20" customHeight="1">
      <c r="B5" s="24" t="inlineStr">
        <is>
          <t>Start Date:</t>
        </is>
      </c>
      <c r="C5" s="12">
        <f>IF('Getting Started'!B7&lt;&gt;"",TEXT('Getting Started'!B7,"MMM D, YYYY"),"")</f>
        <v/>
      </c>
      <c r="D5" s="24" t="inlineStr">
        <is>
          <t>End Date:</t>
        </is>
      </c>
      <c r="E5" s="12">
        <f>IF('Getting Started'!B8&lt;&gt;"",TEXT('Getting Started'!B8,"MMM D, YYYY"),"")</f>
        <v/>
      </c>
      <c r="F5" s="24" t="inlineStr">
        <is>
          <t>Total Weeks:</t>
        </is>
      </c>
      <c r="G5" s="12">
        <f>'Getting Started'!B9</f>
        <v/>
      </c>
      <c r="H5" s="24" t="inlineStr">
        <is>
          <t>Days/Week:</t>
        </is>
      </c>
      <c r="I5" s="12">
        <f>'Getting Started'!B10</f>
        <v/>
      </c>
    </row>
    <row r="7" ht="24" customHeight="1">
      <c r="A7" s="25" t="inlineStr">
        <is>
          <t xml:space="preserve">  BIBLE</t>
        </is>
      </c>
    </row>
    <row r="8" ht="20" customHeight="1">
      <c r="A8" s="26" t="inlineStr">
        <is>
          <t>Curriculum / Title:</t>
        </is>
      </c>
      <c r="B8" s="27" t="n"/>
      <c r="F8" s="26" t="inlineStr">
        <is>
          <t>Unit type:</t>
        </is>
      </c>
      <c r="G8" s="27" t="inlineStr">
        <is>
          <t>pages</t>
        </is>
      </c>
      <c r="I8" s="28" t="inlineStr">
        <is>
          <t>← type: pages, lessons, chapters…</t>
        </is>
      </c>
      <c r="J8" s="29" t="n"/>
    </row>
    <row r="9" ht="22" customHeight="1">
      <c r="A9" s="26" t="inlineStr">
        <is>
          <t>Total Units:</t>
        </is>
      </c>
      <c r="B9" s="27" t="n"/>
      <c r="C9" s="26" t="inlineStr">
        <is>
          <t>School Weeks:</t>
        </is>
      </c>
      <c r="D9" s="30">
        <f>'Getting Started'!B9</f>
        <v/>
      </c>
      <c r="E9" s="26" t="inlineStr">
        <is>
          <t>Units / Week:</t>
        </is>
      </c>
      <c r="F9" s="12">
        <f>IFERROR(IF(B9="","",ROUND(B9/D9,1)),"")</f>
        <v/>
      </c>
      <c r="G9" s="26" t="inlineStr">
        <is>
          <t>Units / Day:</t>
        </is>
      </c>
      <c r="H9" s="12">
        <f>IFERROR(IF(F9="","",ROUND(F9/'Getting Started'!B10,1)),"")</f>
        <v/>
      </c>
      <c r="I9" s="26" t="inlineStr">
        <is>
          <t>Est. End Date:</t>
        </is>
      </c>
      <c r="J9" s="12">
        <f>IFERROR(IF(B9="","",TEXT('Getting Started'!B7+(B9/'Getting Started'!B10),"MMM D, YYYY")),"")</f>
        <v/>
      </c>
    </row>
    <row r="10" ht="18" customHeight="1">
      <c r="A10" s="31" t="inlineStr">
        <is>
          <t xml:space="preserve">  Optional: Component / Volume Breakdown  (fill in if curriculum has multiple books or parts)</t>
        </is>
      </c>
    </row>
    <row r="11" ht="18" customHeight="1">
      <c r="A11" s="32" t="inlineStr">
        <is>
          <t>#</t>
        </is>
      </c>
      <c r="B11" s="32" t="inlineStr">
        <is>
          <t>Component / Book Title</t>
        </is>
      </c>
      <c r="C11" s="29" t="n"/>
      <c r="D11" s="32" t="inlineStr">
        <is>
          <t>Total Units
in Component</t>
        </is>
      </c>
      <c r="E11" s="32" t="inlineStr">
        <is>
          <t>Cumulative
Units</t>
        </is>
      </c>
      <c r="F11" s="32" t="inlineStr">
        <is>
          <t>Start
Week</t>
        </is>
      </c>
      <c r="G11" s="32" t="inlineStr">
        <is>
          <t>End
Week</t>
        </is>
      </c>
      <c r="H11" s="32" t="inlineStr">
        <is>
          <t>Start
Date</t>
        </is>
      </c>
      <c r="I11" s="32" t="inlineStr">
        <is>
          <t>End
Date</t>
        </is>
      </c>
      <c r="J11" s="32" t="inlineStr">
        <is>
          <t>Complete?</t>
        </is>
      </c>
    </row>
    <row r="12" ht="18" customHeight="1">
      <c r="A12" s="33" t="n">
        <v>1</v>
      </c>
      <c r="B12" s="27" t="n"/>
      <c r="D12" s="34" t="n"/>
      <c r="E12" s="30">
        <f>IFERROR(SUM(D12:D12),"")</f>
        <v/>
      </c>
      <c r="F12" s="30">
        <f>IF(D12="","",1)</f>
        <v/>
      </c>
      <c r="G12" s="30">
        <f>IFERROR(IF(D12="","",CEILING(E12/F9,1)),"")</f>
        <v/>
      </c>
      <c r="H12" s="30">
        <f>IFERROR(IF(D12="","",TEXT('Getting Started'!B7+(F12-1)*7,"MMM D")),"")</f>
        <v/>
      </c>
      <c r="I12" s="30">
        <f>IFERROR(IF(D12="","",TEXT('Getting Started'!B7+(G12)*7,"MMM D")),"")</f>
        <v/>
      </c>
      <c r="J12" s="34" t="n"/>
    </row>
    <row r="13" ht="18" customHeight="1">
      <c r="A13" s="33" t="n">
        <v>2</v>
      </c>
      <c r="B13" s="35" t="n"/>
      <c r="D13" s="36" t="n"/>
      <c r="E13" s="30">
        <f>IFERROR(SUM(D12:D13),"")</f>
        <v/>
      </c>
      <c r="F13" s="30">
        <f>IFERROR(IF(D13="","",FLOOR(E12/F9,1)+1),"")</f>
        <v/>
      </c>
      <c r="G13" s="30">
        <f>IFERROR(IF(D13="","",CEILING(E13/F9,1)),"")</f>
        <v/>
      </c>
      <c r="H13" s="30">
        <f>IFERROR(IF(D13="","",TEXT('Getting Started'!B7+(F13-1)*7,"MMM D")),"")</f>
        <v/>
      </c>
      <c r="I13" s="30">
        <f>IFERROR(IF(D13="","",TEXT('Getting Started'!B7+(G13)*7,"MMM D")),"")</f>
        <v/>
      </c>
      <c r="J13" s="34" t="n"/>
    </row>
    <row r="14" ht="18" customHeight="1">
      <c r="A14" s="33" t="n">
        <v>3</v>
      </c>
      <c r="B14" s="27" t="n"/>
      <c r="D14" s="34" t="n"/>
      <c r="E14" s="30">
        <f>IFERROR(SUM(D12:D14),"")</f>
        <v/>
      </c>
      <c r="F14" s="30">
        <f>IFERROR(IF(D14="","",FLOOR(E13/F9,1)+1),"")</f>
        <v/>
      </c>
      <c r="G14" s="30">
        <f>IFERROR(IF(D14="","",CEILING(E14/F9,1)),"")</f>
        <v/>
      </c>
      <c r="H14" s="30">
        <f>IFERROR(IF(D14="","",TEXT('Getting Started'!B7+(F14-1)*7,"MMM D")),"")</f>
        <v/>
      </c>
      <c r="I14" s="30">
        <f>IFERROR(IF(D14="","",TEXT('Getting Started'!B7+(G14)*7,"MMM D")),"")</f>
        <v/>
      </c>
      <c r="J14" s="34" t="n"/>
    </row>
    <row r="15" ht="18" customHeight="1">
      <c r="A15" s="33" t="n">
        <v>4</v>
      </c>
      <c r="B15" s="35" t="n"/>
      <c r="D15" s="36" t="n"/>
      <c r="E15" s="30">
        <f>IFERROR(SUM(D12:D15),"")</f>
        <v/>
      </c>
      <c r="F15" s="30">
        <f>IFERROR(IF(D15="","",FLOOR(E14/F9,1)+1),"")</f>
        <v/>
      </c>
      <c r="G15" s="30">
        <f>IFERROR(IF(D15="","",CEILING(E15/F9,1)),"")</f>
        <v/>
      </c>
      <c r="H15" s="30">
        <f>IFERROR(IF(D15="","",TEXT('Getting Started'!B7+(F15-1)*7,"MMM D")),"")</f>
        <v/>
      </c>
      <c r="I15" s="30">
        <f>IFERROR(IF(D15="","",TEXT('Getting Started'!B7+(G15)*7,"MMM D")),"")</f>
        <v/>
      </c>
      <c r="J15" s="34" t="n"/>
    </row>
    <row r="16" ht="18" customHeight="1">
      <c r="A16" s="33" t="n">
        <v>5</v>
      </c>
      <c r="B16" s="27" t="n"/>
      <c r="D16" s="34" t="n"/>
      <c r="E16" s="30">
        <f>IFERROR(SUM(D12:D16),"")</f>
        <v/>
      </c>
      <c r="F16" s="30">
        <f>IFERROR(IF(D16="","",FLOOR(E15/F9,1)+1),"")</f>
        <v/>
      </c>
      <c r="G16" s="30">
        <f>IFERROR(IF(D16="","",CEILING(E16/F9,1)),"")</f>
        <v/>
      </c>
      <c r="H16" s="30">
        <f>IFERROR(IF(D16="","",TEXT('Getting Started'!B7+(F16-1)*7,"MMM D")),"")</f>
        <v/>
      </c>
      <c r="I16" s="30">
        <f>IFERROR(IF(D16="","",TEXT('Getting Started'!B7+(G16)*7,"MMM D")),"")</f>
        <v/>
      </c>
      <c r="J16" s="34" t="n"/>
    </row>
    <row r="17" ht="18" customHeight="1">
      <c r="A17" s="33" t="n">
        <v>6</v>
      </c>
      <c r="B17" s="35" t="n"/>
      <c r="D17" s="36" t="n"/>
      <c r="E17" s="30">
        <f>IFERROR(SUM(D12:D17),"")</f>
        <v/>
      </c>
      <c r="F17" s="30">
        <f>IFERROR(IF(D17="","",FLOOR(E16/F9,1)+1),"")</f>
        <v/>
      </c>
      <c r="G17" s="30">
        <f>IFERROR(IF(D17="","",CEILING(E17/F9,1)),"")</f>
        <v/>
      </c>
      <c r="H17" s="30">
        <f>IFERROR(IF(D17="","",TEXT('Getting Started'!B7+(F17-1)*7,"MMM D")),"")</f>
        <v/>
      </c>
      <c r="I17" s="30">
        <f>IFERROR(IF(D17="","",TEXT('Getting Started'!B7+(G17)*7,"MMM D")),"")</f>
        <v/>
      </c>
      <c r="J17" s="34" t="n"/>
    </row>
    <row r="18" ht="20" customHeight="1">
      <c r="A18" s="26" t="inlineStr">
        <is>
          <t>Notes:</t>
        </is>
      </c>
      <c r="B18" s="37" t="n"/>
    </row>
    <row r="19" ht="24" customHeight="1">
      <c r="A19" s="38" t="inlineStr">
        <is>
          <t xml:space="preserve">  MATH</t>
        </is>
      </c>
    </row>
    <row r="20" ht="20" customHeight="1">
      <c r="A20" s="39" t="inlineStr">
        <is>
          <t>Curriculum / Title:</t>
        </is>
      </c>
      <c r="B20" s="27" t="n"/>
      <c r="F20" s="39" t="inlineStr">
        <is>
          <t>Unit type:</t>
        </is>
      </c>
      <c r="G20" s="27" t="inlineStr">
        <is>
          <t>pages</t>
        </is>
      </c>
      <c r="I20" s="28" t="inlineStr">
        <is>
          <t>← type: pages, lessons, chapters…</t>
        </is>
      </c>
      <c r="J20" s="29" t="n"/>
    </row>
    <row r="21" ht="22" customHeight="1">
      <c r="A21" s="39" t="inlineStr">
        <is>
          <t>Total Units:</t>
        </is>
      </c>
      <c r="B21" s="27" t="n"/>
      <c r="C21" s="39" t="inlineStr">
        <is>
          <t>School Weeks:</t>
        </is>
      </c>
      <c r="D21" s="30">
        <f>'Getting Started'!B9</f>
        <v/>
      </c>
      <c r="E21" s="39" t="inlineStr">
        <is>
          <t>Units / Week:</t>
        </is>
      </c>
      <c r="F21" s="12">
        <f>IFERROR(IF(B21="","",ROUND(B21/D21,1)),"")</f>
        <v/>
      </c>
      <c r="G21" s="39" t="inlineStr">
        <is>
          <t>Units / Day:</t>
        </is>
      </c>
      <c r="H21" s="12">
        <f>IFERROR(IF(F21="","",ROUND(F21/'Getting Started'!B10,1)),"")</f>
        <v/>
      </c>
      <c r="I21" s="39" t="inlineStr">
        <is>
          <t>Est. End Date:</t>
        </is>
      </c>
      <c r="J21" s="12">
        <f>IFERROR(IF(B21="","",TEXT('Getting Started'!B7+(B21/'Getting Started'!B10),"MMM D, YYYY")),"")</f>
        <v/>
      </c>
    </row>
    <row r="22" ht="18" customHeight="1">
      <c r="A22" s="31" t="inlineStr">
        <is>
          <t xml:space="preserve">  Optional: Component / Volume Breakdown  (fill in if curriculum has multiple books or parts)</t>
        </is>
      </c>
    </row>
    <row r="23" ht="18" customHeight="1">
      <c r="A23" s="32" t="inlineStr">
        <is>
          <t>#</t>
        </is>
      </c>
      <c r="B23" s="32" t="inlineStr">
        <is>
          <t>Component / Book Title</t>
        </is>
      </c>
      <c r="C23" s="29" t="n"/>
      <c r="D23" s="32" t="inlineStr">
        <is>
          <t>Total Units
in Component</t>
        </is>
      </c>
      <c r="E23" s="32" t="inlineStr">
        <is>
          <t>Cumulative
Units</t>
        </is>
      </c>
      <c r="F23" s="32" t="inlineStr">
        <is>
          <t>Start
Week</t>
        </is>
      </c>
      <c r="G23" s="32" t="inlineStr">
        <is>
          <t>End
Week</t>
        </is>
      </c>
      <c r="H23" s="32" t="inlineStr">
        <is>
          <t>Start
Date</t>
        </is>
      </c>
      <c r="I23" s="32" t="inlineStr">
        <is>
          <t>End
Date</t>
        </is>
      </c>
      <c r="J23" s="32" t="inlineStr">
        <is>
          <t>Complete?</t>
        </is>
      </c>
    </row>
    <row r="24" ht="18" customHeight="1">
      <c r="A24" s="33" t="n">
        <v>1</v>
      </c>
      <c r="B24" s="27" t="n"/>
      <c r="D24" s="34" t="n"/>
      <c r="E24" s="30">
        <f>IFERROR(SUM(D24:D24),"")</f>
        <v/>
      </c>
      <c r="F24" s="30">
        <f>IF(D24="","",1)</f>
        <v/>
      </c>
      <c r="G24" s="30">
        <f>IFERROR(IF(D24="","",CEILING(E24/F21,1)),"")</f>
        <v/>
      </c>
      <c r="H24" s="30">
        <f>IFERROR(IF(D24="","",TEXT('Getting Started'!B7+(F24-1)*7,"MMM D")),"")</f>
        <v/>
      </c>
      <c r="I24" s="30">
        <f>IFERROR(IF(D24="","",TEXT('Getting Started'!B7+(G24)*7,"MMM D")),"")</f>
        <v/>
      </c>
      <c r="J24" s="34" t="n"/>
    </row>
    <row r="25" ht="18" customHeight="1">
      <c r="A25" s="33" t="n">
        <v>2</v>
      </c>
      <c r="B25" s="35" t="n"/>
      <c r="D25" s="36" t="n"/>
      <c r="E25" s="30">
        <f>IFERROR(SUM(D24:D25),"")</f>
        <v/>
      </c>
      <c r="F25" s="30">
        <f>IFERROR(IF(D25="","",FLOOR(E24/F21,1)+1),"")</f>
        <v/>
      </c>
      <c r="G25" s="30">
        <f>IFERROR(IF(D25="","",CEILING(E25/F21,1)),"")</f>
        <v/>
      </c>
      <c r="H25" s="30">
        <f>IFERROR(IF(D25="","",TEXT('Getting Started'!B7+(F25-1)*7,"MMM D")),"")</f>
        <v/>
      </c>
      <c r="I25" s="30">
        <f>IFERROR(IF(D25="","",TEXT('Getting Started'!B7+(G25)*7,"MMM D")),"")</f>
        <v/>
      </c>
      <c r="J25" s="34" t="n"/>
    </row>
    <row r="26" ht="18" customHeight="1">
      <c r="A26" s="33" t="n">
        <v>3</v>
      </c>
      <c r="B26" s="27" t="n"/>
      <c r="D26" s="34" t="n"/>
      <c r="E26" s="30">
        <f>IFERROR(SUM(D24:D26),"")</f>
        <v/>
      </c>
      <c r="F26" s="30">
        <f>IFERROR(IF(D26="","",FLOOR(E25/F21,1)+1),"")</f>
        <v/>
      </c>
      <c r="G26" s="30">
        <f>IFERROR(IF(D26="","",CEILING(E26/F21,1)),"")</f>
        <v/>
      </c>
      <c r="H26" s="30">
        <f>IFERROR(IF(D26="","",TEXT('Getting Started'!B7+(F26-1)*7,"MMM D")),"")</f>
        <v/>
      </c>
      <c r="I26" s="30">
        <f>IFERROR(IF(D26="","",TEXT('Getting Started'!B7+(G26)*7,"MMM D")),"")</f>
        <v/>
      </c>
      <c r="J26" s="34" t="n"/>
    </row>
    <row r="27" ht="18" customHeight="1">
      <c r="A27" s="33" t="n">
        <v>4</v>
      </c>
      <c r="B27" s="35" t="n"/>
      <c r="D27" s="36" t="n"/>
      <c r="E27" s="30">
        <f>IFERROR(SUM(D24:D27),"")</f>
        <v/>
      </c>
      <c r="F27" s="30">
        <f>IFERROR(IF(D27="","",FLOOR(E26/F21,1)+1),"")</f>
        <v/>
      </c>
      <c r="G27" s="30">
        <f>IFERROR(IF(D27="","",CEILING(E27/F21,1)),"")</f>
        <v/>
      </c>
      <c r="H27" s="30">
        <f>IFERROR(IF(D27="","",TEXT('Getting Started'!B7+(F27-1)*7,"MMM D")),"")</f>
        <v/>
      </c>
      <c r="I27" s="30">
        <f>IFERROR(IF(D27="","",TEXT('Getting Started'!B7+(G27)*7,"MMM D")),"")</f>
        <v/>
      </c>
      <c r="J27" s="34" t="n"/>
    </row>
    <row r="28" ht="18" customHeight="1">
      <c r="A28" s="33" t="n">
        <v>5</v>
      </c>
      <c r="B28" s="27" t="n"/>
      <c r="D28" s="34" t="n"/>
      <c r="E28" s="30">
        <f>IFERROR(SUM(D24:D28),"")</f>
        <v/>
      </c>
      <c r="F28" s="30">
        <f>IFERROR(IF(D28="","",FLOOR(E27/F21,1)+1),"")</f>
        <v/>
      </c>
      <c r="G28" s="30">
        <f>IFERROR(IF(D28="","",CEILING(E28/F21,1)),"")</f>
        <v/>
      </c>
      <c r="H28" s="30">
        <f>IFERROR(IF(D28="","",TEXT('Getting Started'!B7+(F28-1)*7,"MMM D")),"")</f>
        <v/>
      </c>
      <c r="I28" s="30">
        <f>IFERROR(IF(D28="","",TEXT('Getting Started'!B7+(G28)*7,"MMM D")),"")</f>
        <v/>
      </c>
      <c r="J28" s="34" t="n"/>
    </row>
    <row r="29" ht="18" customHeight="1">
      <c r="A29" s="33" t="n">
        <v>6</v>
      </c>
      <c r="B29" s="35" t="n"/>
      <c r="D29" s="36" t="n"/>
      <c r="E29" s="30">
        <f>IFERROR(SUM(D24:D29),"")</f>
        <v/>
      </c>
      <c r="F29" s="30">
        <f>IFERROR(IF(D29="","",FLOOR(E28/F21,1)+1),"")</f>
        <v/>
      </c>
      <c r="G29" s="30">
        <f>IFERROR(IF(D29="","",CEILING(E29/F21,1)),"")</f>
        <v/>
      </c>
      <c r="H29" s="30">
        <f>IFERROR(IF(D29="","",TEXT('Getting Started'!B7+(F29-1)*7,"MMM D")),"")</f>
        <v/>
      </c>
      <c r="I29" s="30">
        <f>IFERROR(IF(D29="","",TEXT('Getting Started'!B7+(G29)*7,"MMM D")),"")</f>
        <v/>
      </c>
      <c r="J29" s="34" t="n"/>
    </row>
    <row r="30" ht="20" customHeight="1">
      <c r="A30" s="39" t="inlineStr">
        <is>
          <t>Notes:</t>
        </is>
      </c>
      <c r="B30" s="37" t="n"/>
    </row>
    <row r="31" ht="24" customHeight="1">
      <c r="A31" s="40" t="inlineStr">
        <is>
          <t xml:space="preserve">  ENGLISH / LANGUAGE ARTS</t>
        </is>
      </c>
    </row>
    <row r="32" ht="20" customHeight="1">
      <c r="A32" s="41" t="inlineStr">
        <is>
          <t>Curriculum / Title:</t>
        </is>
      </c>
      <c r="B32" s="27" t="n"/>
      <c r="F32" s="41" t="inlineStr">
        <is>
          <t>Unit type:</t>
        </is>
      </c>
      <c r="G32" s="27" t="inlineStr">
        <is>
          <t>pages</t>
        </is>
      </c>
      <c r="I32" s="28" t="inlineStr">
        <is>
          <t>← type: pages, lessons, chapters…</t>
        </is>
      </c>
      <c r="J32" s="29" t="n"/>
    </row>
    <row r="33" ht="22" customHeight="1">
      <c r="A33" s="41" t="inlineStr">
        <is>
          <t>Total Units:</t>
        </is>
      </c>
      <c r="B33" s="27" t="n"/>
      <c r="C33" s="41" t="inlineStr">
        <is>
          <t>School Weeks:</t>
        </is>
      </c>
      <c r="D33" s="30">
        <f>'Getting Started'!B9</f>
        <v/>
      </c>
      <c r="E33" s="41" t="inlineStr">
        <is>
          <t>Units / Week:</t>
        </is>
      </c>
      <c r="F33" s="12">
        <f>IFERROR(IF(B33="","",ROUND(B33/D33,1)),"")</f>
        <v/>
      </c>
      <c r="G33" s="41" t="inlineStr">
        <is>
          <t>Units / Day:</t>
        </is>
      </c>
      <c r="H33" s="12">
        <f>IFERROR(IF(F33="","",ROUND(F33/'Getting Started'!B10,1)),"")</f>
        <v/>
      </c>
      <c r="I33" s="41" t="inlineStr">
        <is>
          <t>Est. End Date:</t>
        </is>
      </c>
      <c r="J33" s="12">
        <f>IFERROR(IF(B33="","",TEXT('Getting Started'!B7+(B33/'Getting Started'!B10),"MMM D, YYYY")),"")</f>
        <v/>
      </c>
    </row>
    <row r="34" ht="18" customHeight="1">
      <c r="A34" s="31" t="inlineStr">
        <is>
          <t xml:space="preserve">  Optional: Component / Volume Breakdown  (fill in if curriculum has multiple books or parts)</t>
        </is>
      </c>
    </row>
    <row r="35" ht="18" customHeight="1">
      <c r="A35" s="32" t="inlineStr">
        <is>
          <t>#</t>
        </is>
      </c>
      <c r="B35" s="32" t="inlineStr">
        <is>
          <t>Component / Book Title</t>
        </is>
      </c>
      <c r="C35" s="29" t="n"/>
      <c r="D35" s="32" t="inlineStr">
        <is>
          <t>Total Units
in Component</t>
        </is>
      </c>
      <c r="E35" s="32" t="inlineStr">
        <is>
          <t>Cumulative
Units</t>
        </is>
      </c>
      <c r="F35" s="32" t="inlineStr">
        <is>
          <t>Start
Week</t>
        </is>
      </c>
      <c r="G35" s="32" t="inlineStr">
        <is>
          <t>End
Week</t>
        </is>
      </c>
      <c r="H35" s="32" t="inlineStr">
        <is>
          <t>Start
Date</t>
        </is>
      </c>
      <c r="I35" s="32" t="inlineStr">
        <is>
          <t>End
Date</t>
        </is>
      </c>
      <c r="J35" s="32" t="inlineStr">
        <is>
          <t>Complete?</t>
        </is>
      </c>
    </row>
    <row r="36" ht="18" customHeight="1">
      <c r="A36" s="33" t="n">
        <v>1</v>
      </c>
      <c r="B36" s="27" t="n"/>
      <c r="D36" s="34" t="n"/>
      <c r="E36" s="30">
        <f>IFERROR(SUM(D36:D36),"")</f>
        <v/>
      </c>
      <c r="F36" s="30">
        <f>IF(D36="","",1)</f>
        <v/>
      </c>
      <c r="G36" s="30">
        <f>IFERROR(IF(D36="","",CEILING(E36/F33,1)),"")</f>
        <v/>
      </c>
      <c r="H36" s="30">
        <f>IFERROR(IF(D36="","",TEXT('Getting Started'!B7+(F36-1)*7,"MMM D")),"")</f>
        <v/>
      </c>
      <c r="I36" s="30">
        <f>IFERROR(IF(D36="","",TEXT('Getting Started'!B7+(G36)*7,"MMM D")),"")</f>
        <v/>
      </c>
      <c r="J36" s="34" t="n"/>
    </row>
    <row r="37" ht="18" customHeight="1">
      <c r="A37" s="33" t="n">
        <v>2</v>
      </c>
      <c r="B37" s="35" t="n"/>
      <c r="D37" s="36" t="n"/>
      <c r="E37" s="30">
        <f>IFERROR(SUM(D36:D37),"")</f>
        <v/>
      </c>
      <c r="F37" s="30">
        <f>IFERROR(IF(D37="","",FLOOR(E36/F33,1)+1),"")</f>
        <v/>
      </c>
      <c r="G37" s="30">
        <f>IFERROR(IF(D37="","",CEILING(E37/F33,1)),"")</f>
        <v/>
      </c>
      <c r="H37" s="30">
        <f>IFERROR(IF(D37="","",TEXT('Getting Started'!B7+(F37-1)*7,"MMM D")),"")</f>
        <v/>
      </c>
      <c r="I37" s="30">
        <f>IFERROR(IF(D37="","",TEXT('Getting Started'!B7+(G37)*7,"MMM D")),"")</f>
        <v/>
      </c>
      <c r="J37" s="34" t="n"/>
    </row>
    <row r="38" ht="18" customHeight="1">
      <c r="A38" s="33" t="n">
        <v>3</v>
      </c>
      <c r="B38" s="27" t="n"/>
      <c r="D38" s="34" t="n"/>
      <c r="E38" s="30">
        <f>IFERROR(SUM(D36:D38),"")</f>
        <v/>
      </c>
      <c r="F38" s="30">
        <f>IFERROR(IF(D38="","",FLOOR(E37/F33,1)+1),"")</f>
        <v/>
      </c>
      <c r="G38" s="30">
        <f>IFERROR(IF(D38="","",CEILING(E38/F33,1)),"")</f>
        <v/>
      </c>
      <c r="H38" s="30">
        <f>IFERROR(IF(D38="","",TEXT('Getting Started'!B7+(F38-1)*7,"MMM D")),"")</f>
        <v/>
      </c>
      <c r="I38" s="30">
        <f>IFERROR(IF(D38="","",TEXT('Getting Started'!B7+(G38)*7,"MMM D")),"")</f>
        <v/>
      </c>
      <c r="J38" s="34" t="n"/>
    </row>
    <row r="39" ht="18" customHeight="1">
      <c r="A39" s="33" t="n">
        <v>4</v>
      </c>
      <c r="B39" s="35" t="n"/>
      <c r="D39" s="36" t="n"/>
      <c r="E39" s="30">
        <f>IFERROR(SUM(D36:D39),"")</f>
        <v/>
      </c>
      <c r="F39" s="30">
        <f>IFERROR(IF(D39="","",FLOOR(E38/F33,1)+1),"")</f>
        <v/>
      </c>
      <c r="G39" s="30">
        <f>IFERROR(IF(D39="","",CEILING(E39/F33,1)),"")</f>
        <v/>
      </c>
      <c r="H39" s="30">
        <f>IFERROR(IF(D39="","",TEXT('Getting Started'!B7+(F39-1)*7,"MMM D")),"")</f>
        <v/>
      </c>
      <c r="I39" s="30">
        <f>IFERROR(IF(D39="","",TEXT('Getting Started'!B7+(G39)*7,"MMM D")),"")</f>
        <v/>
      </c>
      <c r="J39" s="34" t="n"/>
    </row>
    <row r="40" ht="18" customHeight="1">
      <c r="A40" s="33" t="n">
        <v>5</v>
      </c>
      <c r="B40" s="27" t="n"/>
      <c r="D40" s="34" t="n"/>
      <c r="E40" s="30">
        <f>IFERROR(SUM(D36:D40),"")</f>
        <v/>
      </c>
      <c r="F40" s="30">
        <f>IFERROR(IF(D40="","",FLOOR(E39/F33,1)+1),"")</f>
        <v/>
      </c>
      <c r="G40" s="30">
        <f>IFERROR(IF(D40="","",CEILING(E40/F33,1)),"")</f>
        <v/>
      </c>
      <c r="H40" s="30">
        <f>IFERROR(IF(D40="","",TEXT('Getting Started'!B7+(F40-1)*7,"MMM D")),"")</f>
        <v/>
      </c>
      <c r="I40" s="30">
        <f>IFERROR(IF(D40="","",TEXT('Getting Started'!B7+(G40)*7,"MMM D")),"")</f>
        <v/>
      </c>
      <c r="J40" s="34" t="n"/>
    </row>
    <row r="41" ht="18" customHeight="1">
      <c r="A41" s="33" t="n">
        <v>6</v>
      </c>
      <c r="B41" s="35" t="n"/>
      <c r="D41" s="36" t="n"/>
      <c r="E41" s="30">
        <f>IFERROR(SUM(D36:D41),"")</f>
        <v/>
      </c>
      <c r="F41" s="30">
        <f>IFERROR(IF(D41="","",FLOOR(E40/F33,1)+1),"")</f>
        <v/>
      </c>
      <c r="G41" s="30">
        <f>IFERROR(IF(D41="","",CEILING(E41/F33,1)),"")</f>
        <v/>
      </c>
      <c r="H41" s="30">
        <f>IFERROR(IF(D41="","",TEXT('Getting Started'!B7+(F41-1)*7,"MMM D")),"")</f>
        <v/>
      </c>
      <c r="I41" s="30">
        <f>IFERROR(IF(D41="","",TEXT('Getting Started'!B7+(G41)*7,"MMM D")),"")</f>
        <v/>
      </c>
      <c r="J41" s="34" t="n"/>
    </row>
    <row r="42" ht="20" customHeight="1">
      <c r="A42" s="41" t="inlineStr">
        <is>
          <t>Notes:</t>
        </is>
      </c>
      <c r="B42" s="37" t="n"/>
    </row>
    <row r="43" ht="24" customHeight="1">
      <c r="A43" s="42" t="inlineStr">
        <is>
          <t xml:space="preserve">  READING</t>
        </is>
      </c>
    </row>
    <row r="44" ht="20" customHeight="1">
      <c r="A44" s="43" t="inlineStr">
        <is>
          <t>Curriculum / Title:</t>
        </is>
      </c>
      <c r="B44" s="27" t="n"/>
      <c r="F44" s="43" t="inlineStr">
        <is>
          <t>Unit type:</t>
        </is>
      </c>
      <c r="G44" s="27" t="inlineStr">
        <is>
          <t>pages</t>
        </is>
      </c>
      <c r="I44" s="28" t="inlineStr">
        <is>
          <t>← type: pages, lessons, chapters…</t>
        </is>
      </c>
      <c r="J44" s="29" t="n"/>
    </row>
    <row r="45" ht="22" customHeight="1">
      <c r="A45" s="43" t="inlineStr">
        <is>
          <t>Total Units:</t>
        </is>
      </c>
      <c r="B45" s="27" t="n"/>
      <c r="C45" s="43" t="inlineStr">
        <is>
          <t>School Weeks:</t>
        </is>
      </c>
      <c r="D45" s="30">
        <f>'Getting Started'!B9</f>
        <v/>
      </c>
      <c r="E45" s="43" t="inlineStr">
        <is>
          <t>Units / Week:</t>
        </is>
      </c>
      <c r="F45" s="12">
        <f>IFERROR(IF(B45="","",ROUND(B45/D45,1)),"")</f>
        <v/>
      </c>
      <c r="G45" s="43" t="inlineStr">
        <is>
          <t>Units / Day:</t>
        </is>
      </c>
      <c r="H45" s="12">
        <f>IFERROR(IF(F45="","",ROUND(F45/'Getting Started'!B10,1)),"")</f>
        <v/>
      </c>
      <c r="I45" s="43" t="inlineStr">
        <is>
          <t>Est. End Date:</t>
        </is>
      </c>
      <c r="J45" s="12">
        <f>IFERROR(IF(B45="","",TEXT('Getting Started'!B7+(B45/'Getting Started'!B10),"MMM D, YYYY")),"")</f>
        <v/>
      </c>
    </row>
    <row r="46" ht="18" customHeight="1">
      <c r="A46" s="31" t="inlineStr">
        <is>
          <t xml:space="preserve">  Optional: Component / Volume Breakdown  (fill in if curriculum has multiple books or parts)</t>
        </is>
      </c>
    </row>
    <row r="47" ht="18" customHeight="1">
      <c r="A47" s="32" t="inlineStr">
        <is>
          <t>#</t>
        </is>
      </c>
      <c r="B47" s="32" t="inlineStr">
        <is>
          <t>Component / Book Title</t>
        </is>
      </c>
      <c r="C47" s="29" t="n"/>
      <c r="D47" s="32" t="inlineStr">
        <is>
          <t>Total Units
in Component</t>
        </is>
      </c>
      <c r="E47" s="32" t="inlineStr">
        <is>
          <t>Cumulative
Units</t>
        </is>
      </c>
      <c r="F47" s="32" t="inlineStr">
        <is>
          <t>Start
Week</t>
        </is>
      </c>
      <c r="G47" s="32" t="inlineStr">
        <is>
          <t>End
Week</t>
        </is>
      </c>
      <c r="H47" s="32" t="inlineStr">
        <is>
          <t>Start
Date</t>
        </is>
      </c>
      <c r="I47" s="32" t="inlineStr">
        <is>
          <t>End
Date</t>
        </is>
      </c>
      <c r="J47" s="32" t="inlineStr">
        <is>
          <t>Complete?</t>
        </is>
      </c>
    </row>
    <row r="48" ht="18" customHeight="1">
      <c r="A48" s="33" t="n">
        <v>1</v>
      </c>
      <c r="B48" s="27" t="n"/>
      <c r="D48" s="34" t="n"/>
      <c r="E48" s="30">
        <f>IFERROR(SUM(D48:D48),"")</f>
        <v/>
      </c>
      <c r="F48" s="30">
        <f>IF(D48="","",1)</f>
        <v/>
      </c>
      <c r="G48" s="30">
        <f>IFERROR(IF(D48="","",CEILING(E48/F45,1)),"")</f>
        <v/>
      </c>
      <c r="H48" s="30">
        <f>IFERROR(IF(D48="","",TEXT('Getting Started'!B7+(F48-1)*7,"MMM D")),"")</f>
        <v/>
      </c>
      <c r="I48" s="30">
        <f>IFERROR(IF(D48="","",TEXT('Getting Started'!B7+(G48)*7,"MMM D")),"")</f>
        <v/>
      </c>
      <c r="J48" s="34" t="n"/>
    </row>
    <row r="49" ht="18" customHeight="1">
      <c r="A49" s="33" t="n">
        <v>2</v>
      </c>
      <c r="B49" s="35" t="n"/>
      <c r="D49" s="36" t="n"/>
      <c r="E49" s="30">
        <f>IFERROR(SUM(D48:D49),"")</f>
        <v/>
      </c>
      <c r="F49" s="30">
        <f>IFERROR(IF(D49="","",FLOOR(E48/F45,1)+1),"")</f>
        <v/>
      </c>
      <c r="G49" s="30">
        <f>IFERROR(IF(D49="","",CEILING(E49/F45,1)),"")</f>
        <v/>
      </c>
      <c r="H49" s="30">
        <f>IFERROR(IF(D49="","",TEXT('Getting Started'!B7+(F49-1)*7,"MMM D")),"")</f>
        <v/>
      </c>
      <c r="I49" s="30">
        <f>IFERROR(IF(D49="","",TEXT('Getting Started'!B7+(G49)*7,"MMM D")),"")</f>
        <v/>
      </c>
      <c r="J49" s="34" t="n"/>
    </row>
    <row r="50" ht="18" customHeight="1">
      <c r="A50" s="33" t="n">
        <v>3</v>
      </c>
      <c r="B50" s="27" t="n"/>
      <c r="D50" s="34" t="n"/>
      <c r="E50" s="30">
        <f>IFERROR(SUM(D48:D50),"")</f>
        <v/>
      </c>
      <c r="F50" s="30">
        <f>IFERROR(IF(D50="","",FLOOR(E49/F45,1)+1),"")</f>
        <v/>
      </c>
      <c r="G50" s="30">
        <f>IFERROR(IF(D50="","",CEILING(E50/F45,1)),"")</f>
        <v/>
      </c>
      <c r="H50" s="30">
        <f>IFERROR(IF(D50="","",TEXT('Getting Started'!B7+(F50-1)*7,"MMM D")),"")</f>
        <v/>
      </c>
      <c r="I50" s="30">
        <f>IFERROR(IF(D50="","",TEXT('Getting Started'!B7+(G50)*7,"MMM D")),"")</f>
        <v/>
      </c>
      <c r="J50" s="34" t="n"/>
    </row>
    <row r="51" ht="18" customHeight="1">
      <c r="A51" s="33" t="n">
        <v>4</v>
      </c>
      <c r="B51" s="35" t="n"/>
      <c r="D51" s="36" t="n"/>
      <c r="E51" s="30">
        <f>IFERROR(SUM(D48:D51),"")</f>
        <v/>
      </c>
      <c r="F51" s="30">
        <f>IFERROR(IF(D51="","",FLOOR(E50/F45,1)+1),"")</f>
        <v/>
      </c>
      <c r="G51" s="30">
        <f>IFERROR(IF(D51="","",CEILING(E51/F45,1)),"")</f>
        <v/>
      </c>
      <c r="H51" s="30">
        <f>IFERROR(IF(D51="","",TEXT('Getting Started'!B7+(F51-1)*7,"MMM D")),"")</f>
        <v/>
      </c>
      <c r="I51" s="30">
        <f>IFERROR(IF(D51="","",TEXT('Getting Started'!B7+(G51)*7,"MMM D")),"")</f>
        <v/>
      </c>
      <c r="J51" s="34" t="n"/>
    </row>
    <row r="52" ht="18" customHeight="1">
      <c r="A52" s="33" t="n">
        <v>5</v>
      </c>
      <c r="B52" s="27" t="n"/>
      <c r="D52" s="34" t="n"/>
      <c r="E52" s="30">
        <f>IFERROR(SUM(D48:D52),"")</f>
        <v/>
      </c>
      <c r="F52" s="30">
        <f>IFERROR(IF(D52="","",FLOOR(E51/F45,1)+1),"")</f>
        <v/>
      </c>
      <c r="G52" s="30">
        <f>IFERROR(IF(D52="","",CEILING(E52/F45,1)),"")</f>
        <v/>
      </c>
      <c r="H52" s="30">
        <f>IFERROR(IF(D52="","",TEXT('Getting Started'!B7+(F52-1)*7,"MMM D")),"")</f>
        <v/>
      </c>
      <c r="I52" s="30">
        <f>IFERROR(IF(D52="","",TEXT('Getting Started'!B7+(G52)*7,"MMM D")),"")</f>
        <v/>
      </c>
      <c r="J52" s="34" t="n"/>
    </row>
    <row r="53" ht="18" customHeight="1">
      <c r="A53" s="33" t="n">
        <v>6</v>
      </c>
      <c r="B53" s="35" t="n"/>
      <c r="D53" s="36" t="n"/>
      <c r="E53" s="30">
        <f>IFERROR(SUM(D48:D53),"")</f>
        <v/>
      </c>
      <c r="F53" s="30">
        <f>IFERROR(IF(D53="","",FLOOR(E52/F45,1)+1),"")</f>
        <v/>
      </c>
      <c r="G53" s="30">
        <f>IFERROR(IF(D53="","",CEILING(E53/F45,1)),"")</f>
        <v/>
      </c>
      <c r="H53" s="30">
        <f>IFERROR(IF(D53="","",TEXT('Getting Started'!B7+(F53-1)*7,"MMM D")),"")</f>
        <v/>
      </c>
      <c r="I53" s="30">
        <f>IFERROR(IF(D53="","",TEXT('Getting Started'!B7+(G53)*7,"MMM D")),"")</f>
        <v/>
      </c>
      <c r="J53" s="34" t="n"/>
    </row>
    <row r="54" ht="20" customHeight="1">
      <c r="A54" s="43" t="inlineStr">
        <is>
          <t>Notes:</t>
        </is>
      </c>
      <c r="B54" s="37" t="n"/>
    </row>
    <row r="55" ht="24" customHeight="1">
      <c r="A55" s="44" t="inlineStr">
        <is>
          <t xml:space="preserve">  WRITING / COMPOSITION</t>
        </is>
      </c>
    </row>
    <row r="56" ht="20" customHeight="1">
      <c r="A56" s="45" t="inlineStr">
        <is>
          <t>Curriculum / Title:</t>
        </is>
      </c>
      <c r="B56" s="27" t="n"/>
      <c r="F56" s="45" t="inlineStr">
        <is>
          <t>Unit type:</t>
        </is>
      </c>
      <c r="G56" s="27" t="inlineStr">
        <is>
          <t>pages</t>
        </is>
      </c>
      <c r="I56" s="28" t="inlineStr">
        <is>
          <t>← type: pages, lessons, chapters…</t>
        </is>
      </c>
      <c r="J56" s="29" t="n"/>
    </row>
    <row r="57" ht="22" customHeight="1">
      <c r="A57" s="45" t="inlineStr">
        <is>
          <t>Total Units:</t>
        </is>
      </c>
      <c r="B57" s="27" t="n"/>
      <c r="C57" s="45" t="inlineStr">
        <is>
          <t>School Weeks:</t>
        </is>
      </c>
      <c r="D57" s="30">
        <f>'Getting Started'!B9</f>
        <v/>
      </c>
      <c r="E57" s="45" t="inlineStr">
        <is>
          <t>Units / Week:</t>
        </is>
      </c>
      <c r="F57" s="12">
        <f>IFERROR(IF(B57="","",ROUND(B57/D57,1)),"")</f>
        <v/>
      </c>
      <c r="G57" s="45" t="inlineStr">
        <is>
          <t>Units / Day:</t>
        </is>
      </c>
      <c r="H57" s="12">
        <f>IFERROR(IF(F57="","",ROUND(F57/'Getting Started'!B10,1)),"")</f>
        <v/>
      </c>
      <c r="I57" s="45" t="inlineStr">
        <is>
          <t>Est. End Date:</t>
        </is>
      </c>
      <c r="J57" s="12">
        <f>IFERROR(IF(B57="","",TEXT('Getting Started'!B7+(B57/'Getting Started'!B10),"MMM D, YYYY")),"")</f>
        <v/>
      </c>
    </row>
    <row r="58" ht="18" customHeight="1">
      <c r="A58" s="31" t="inlineStr">
        <is>
          <t xml:space="preserve">  Optional: Component / Volume Breakdown  (fill in if curriculum has multiple books or parts)</t>
        </is>
      </c>
    </row>
    <row r="59" ht="18" customHeight="1">
      <c r="A59" s="32" t="inlineStr">
        <is>
          <t>#</t>
        </is>
      </c>
      <c r="B59" s="32" t="inlineStr">
        <is>
          <t>Component / Book Title</t>
        </is>
      </c>
      <c r="C59" s="29" t="n"/>
      <c r="D59" s="32" t="inlineStr">
        <is>
          <t>Total Units
in Component</t>
        </is>
      </c>
      <c r="E59" s="32" t="inlineStr">
        <is>
          <t>Cumulative
Units</t>
        </is>
      </c>
      <c r="F59" s="32" t="inlineStr">
        <is>
          <t>Start
Week</t>
        </is>
      </c>
      <c r="G59" s="32" t="inlineStr">
        <is>
          <t>End
Week</t>
        </is>
      </c>
      <c r="H59" s="32" t="inlineStr">
        <is>
          <t>Start
Date</t>
        </is>
      </c>
      <c r="I59" s="32" t="inlineStr">
        <is>
          <t>End
Date</t>
        </is>
      </c>
      <c r="J59" s="32" t="inlineStr">
        <is>
          <t>Complete?</t>
        </is>
      </c>
    </row>
    <row r="60" ht="18" customHeight="1">
      <c r="A60" s="33" t="n">
        <v>1</v>
      </c>
      <c r="B60" s="27" t="n"/>
      <c r="D60" s="34" t="n"/>
      <c r="E60" s="30">
        <f>IFERROR(SUM(D60:D60),"")</f>
        <v/>
      </c>
      <c r="F60" s="30">
        <f>IF(D60="","",1)</f>
        <v/>
      </c>
      <c r="G60" s="30">
        <f>IFERROR(IF(D60="","",CEILING(E60/F57,1)),"")</f>
        <v/>
      </c>
      <c r="H60" s="30">
        <f>IFERROR(IF(D60="","",TEXT('Getting Started'!B7+(F60-1)*7,"MMM D")),"")</f>
        <v/>
      </c>
      <c r="I60" s="30">
        <f>IFERROR(IF(D60="","",TEXT('Getting Started'!B7+(G60)*7,"MMM D")),"")</f>
        <v/>
      </c>
      <c r="J60" s="34" t="n"/>
    </row>
    <row r="61" ht="18" customHeight="1">
      <c r="A61" s="33" t="n">
        <v>2</v>
      </c>
      <c r="B61" s="35" t="n"/>
      <c r="D61" s="36" t="n"/>
      <c r="E61" s="30">
        <f>IFERROR(SUM(D60:D61),"")</f>
        <v/>
      </c>
      <c r="F61" s="30">
        <f>IFERROR(IF(D61="","",FLOOR(E60/F57,1)+1),"")</f>
        <v/>
      </c>
      <c r="G61" s="30">
        <f>IFERROR(IF(D61="","",CEILING(E61/F57,1)),"")</f>
        <v/>
      </c>
      <c r="H61" s="30">
        <f>IFERROR(IF(D61="","",TEXT('Getting Started'!B7+(F61-1)*7,"MMM D")),"")</f>
        <v/>
      </c>
      <c r="I61" s="30">
        <f>IFERROR(IF(D61="","",TEXT('Getting Started'!B7+(G61)*7,"MMM D")),"")</f>
        <v/>
      </c>
      <c r="J61" s="34" t="n"/>
    </row>
    <row r="62" ht="18" customHeight="1">
      <c r="A62" s="33" t="n">
        <v>3</v>
      </c>
      <c r="B62" s="27" t="n"/>
      <c r="D62" s="34" t="n"/>
      <c r="E62" s="30">
        <f>IFERROR(SUM(D60:D62),"")</f>
        <v/>
      </c>
      <c r="F62" s="30">
        <f>IFERROR(IF(D62="","",FLOOR(E61/F57,1)+1),"")</f>
        <v/>
      </c>
      <c r="G62" s="30">
        <f>IFERROR(IF(D62="","",CEILING(E62/F57,1)),"")</f>
        <v/>
      </c>
      <c r="H62" s="30">
        <f>IFERROR(IF(D62="","",TEXT('Getting Started'!B7+(F62-1)*7,"MMM D")),"")</f>
        <v/>
      </c>
      <c r="I62" s="30">
        <f>IFERROR(IF(D62="","",TEXT('Getting Started'!B7+(G62)*7,"MMM D")),"")</f>
        <v/>
      </c>
      <c r="J62" s="34" t="n"/>
    </row>
    <row r="63" ht="18" customHeight="1">
      <c r="A63" s="33" t="n">
        <v>4</v>
      </c>
      <c r="B63" s="35" t="n"/>
      <c r="D63" s="36" t="n"/>
      <c r="E63" s="30">
        <f>IFERROR(SUM(D60:D63),"")</f>
        <v/>
      </c>
      <c r="F63" s="30">
        <f>IFERROR(IF(D63="","",FLOOR(E62/F57,1)+1),"")</f>
        <v/>
      </c>
      <c r="G63" s="30">
        <f>IFERROR(IF(D63="","",CEILING(E63/F57,1)),"")</f>
        <v/>
      </c>
      <c r="H63" s="30">
        <f>IFERROR(IF(D63="","",TEXT('Getting Started'!B7+(F63-1)*7,"MMM D")),"")</f>
        <v/>
      </c>
      <c r="I63" s="30">
        <f>IFERROR(IF(D63="","",TEXT('Getting Started'!B7+(G63)*7,"MMM D")),"")</f>
        <v/>
      </c>
      <c r="J63" s="34" t="n"/>
    </row>
    <row r="64" ht="18" customHeight="1">
      <c r="A64" s="33" t="n">
        <v>5</v>
      </c>
      <c r="B64" s="27" t="n"/>
      <c r="D64" s="34" t="n"/>
      <c r="E64" s="30">
        <f>IFERROR(SUM(D60:D64),"")</f>
        <v/>
      </c>
      <c r="F64" s="30">
        <f>IFERROR(IF(D64="","",FLOOR(E63/F57,1)+1),"")</f>
        <v/>
      </c>
      <c r="G64" s="30">
        <f>IFERROR(IF(D64="","",CEILING(E64/F57,1)),"")</f>
        <v/>
      </c>
      <c r="H64" s="30">
        <f>IFERROR(IF(D64="","",TEXT('Getting Started'!B7+(F64-1)*7,"MMM D")),"")</f>
        <v/>
      </c>
      <c r="I64" s="30">
        <f>IFERROR(IF(D64="","",TEXT('Getting Started'!B7+(G64)*7,"MMM D")),"")</f>
        <v/>
      </c>
      <c r="J64" s="34" t="n"/>
    </row>
    <row r="65" ht="18" customHeight="1">
      <c r="A65" s="33" t="n">
        <v>6</v>
      </c>
      <c r="B65" s="35" t="n"/>
      <c r="D65" s="36" t="n"/>
      <c r="E65" s="30">
        <f>IFERROR(SUM(D60:D65),"")</f>
        <v/>
      </c>
      <c r="F65" s="30">
        <f>IFERROR(IF(D65="","",FLOOR(E64/F57,1)+1),"")</f>
        <v/>
      </c>
      <c r="G65" s="30">
        <f>IFERROR(IF(D65="","",CEILING(E65/F57,1)),"")</f>
        <v/>
      </c>
      <c r="H65" s="30">
        <f>IFERROR(IF(D65="","",TEXT('Getting Started'!B7+(F65-1)*7,"MMM D")),"")</f>
        <v/>
      </c>
      <c r="I65" s="30">
        <f>IFERROR(IF(D65="","",TEXT('Getting Started'!B7+(G65)*7,"MMM D")),"")</f>
        <v/>
      </c>
      <c r="J65" s="34" t="n"/>
    </row>
    <row r="66" ht="20" customHeight="1">
      <c r="A66" s="45" t="inlineStr">
        <is>
          <t>Notes:</t>
        </is>
      </c>
      <c r="B66" s="37" t="n"/>
    </row>
    <row r="67" ht="24" customHeight="1">
      <c r="A67" s="46" t="inlineStr">
        <is>
          <t xml:space="preserve">  SCIENCE</t>
        </is>
      </c>
    </row>
    <row r="68" ht="20" customHeight="1">
      <c r="A68" s="47" t="inlineStr">
        <is>
          <t>Curriculum / Title:</t>
        </is>
      </c>
      <c r="B68" s="27" t="n"/>
      <c r="F68" s="47" t="inlineStr">
        <is>
          <t>Unit type:</t>
        </is>
      </c>
      <c r="G68" s="27" t="inlineStr">
        <is>
          <t>pages</t>
        </is>
      </c>
      <c r="I68" s="28" t="inlineStr">
        <is>
          <t>← type: pages, lessons, chapters…</t>
        </is>
      </c>
      <c r="J68" s="29" t="n"/>
    </row>
    <row r="69" ht="22" customHeight="1">
      <c r="A69" s="47" t="inlineStr">
        <is>
          <t>Total Units:</t>
        </is>
      </c>
      <c r="B69" s="27" t="n"/>
      <c r="C69" s="47" t="inlineStr">
        <is>
          <t>School Weeks:</t>
        </is>
      </c>
      <c r="D69" s="30">
        <f>'Getting Started'!B9</f>
        <v/>
      </c>
      <c r="E69" s="47" t="inlineStr">
        <is>
          <t>Units / Week:</t>
        </is>
      </c>
      <c r="F69" s="12">
        <f>IFERROR(IF(B69="","",ROUND(B69/D69,1)),"")</f>
        <v/>
      </c>
      <c r="G69" s="47" t="inlineStr">
        <is>
          <t>Units / Day:</t>
        </is>
      </c>
      <c r="H69" s="12">
        <f>IFERROR(IF(F69="","",ROUND(F69/'Getting Started'!B10,1)),"")</f>
        <v/>
      </c>
      <c r="I69" s="47" t="inlineStr">
        <is>
          <t>Est. End Date:</t>
        </is>
      </c>
      <c r="J69" s="12">
        <f>IFERROR(IF(B69="","",TEXT('Getting Started'!B7+(B69/'Getting Started'!B10),"MMM D, YYYY")),"")</f>
        <v/>
      </c>
    </row>
    <row r="70" ht="18" customHeight="1">
      <c r="A70" s="31" t="inlineStr">
        <is>
          <t xml:space="preserve">  Optional: Component / Volume Breakdown  (fill in if curriculum has multiple books or parts)</t>
        </is>
      </c>
    </row>
    <row r="71" ht="18" customHeight="1">
      <c r="A71" s="32" t="inlineStr">
        <is>
          <t>#</t>
        </is>
      </c>
      <c r="B71" s="32" t="inlineStr">
        <is>
          <t>Component / Book Title</t>
        </is>
      </c>
      <c r="C71" s="29" t="n"/>
      <c r="D71" s="32" t="inlineStr">
        <is>
          <t>Total Units
in Component</t>
        </is>
      </c>
      <c r="E71" s="32" t="inlineStr">
        <is>
          <t>Cumulative
Units</t>
        </is>
      </c>
      <c r="F71" s="32" t="inlineStr">
        <is>
          <t>Start
Week</t>
        </is>
      </c>
      <c r="G71" s="32" t="inlineStr">
        <is>
          <t>End
Week</t>
        </is>
      </c>
      <c r="H71" s="32" t="inlineStr">
        <is>
          <t>Start
Date</t>
        </is>
      </c>
      <c r="I71" s="32" t="inlineStr">
        <is>
          <t>End
Date</t>
        </is>
      </c>
      <c r="J71" s="32" t="inlineStr">
        <is>
          <t>Complete?</t>
        </is>
      </c>
    </row>
    <row r="72" ht="18" customHeight="1">
      <c r="A72" s="33" t="n">
        <v>1</v>
      </c>
      <c r="B72" s="27" t="n"/>
      <c r="D72" s="34" t="n"/>
      <c r="E72" s="30">
        <f>IFERROR(SUM(D72:D72),"")</f>
        <v/>
      </c>
      <c r="F72" s="30">
        <f>IF(D72="","",1)</f>
        <v/>
      </c>
      <c r="G72" s="30">
        <f>IFERROR(IF(D72="","",CEILING(E72/F69,1)),"")</f>
        <v/>
      </c>
      <c r="H72" s="30">
        <f>IFERROR(IF(D72="","",TEXT('Getting Started'!B7+(F72-1)*7,"MMM D")),"")</f>
        <v/>
      </c>
      <c r="I72" s="30">
        <f>IFERROR(IF(D72="","",TEXT('Getting Started'!B7+(G72)*7,"MMM D")),"")</f>
        <v/>
      </c>
      <c r="J72" s="34" t="n"/>
    </row>
    <row r="73" ht="18" customHeight="1">
      <c r="A73" s="33" t="n">
        <v>2</v>
      </c>
      <c r="B73" s="35" t="n"/>
      <c r="D73" s="36" t="n"/>
      <c r="E73" s="30">
        <f>IFERROR(SUM(D72:D73),"")</f>
        <v/>
      </c>
      <c r="F73" s="30">
        <f>IFERROR(IF(D73="","",FLOOR(E72/F69,1)+1),"")</f>
        <v/>
      </c>
      <c r="G73" s="30">
        <f>IFERROR(IF(D73="","",CEILING(E73/F69,1)),"")</f>
        <v/>
      </c>
      <c r="H73" s="30">
        <f>IFERROR(IF(D73="","",TEXT('Getting Started'!B7+(F73-1)*7,"MMM D")),"")</f>
        <v/>
      </c>
      <c r="I73" s="30">
        <f>IFERROR(IF(D73="","",TEXT('Getting Started'!B7+(G73)*7,"MMM D")),"")</f>
        <v/>
      </c>
      <c r="J73" s="34" t="n"/>
    </row>
    <row r="74" ht="18" customHeight="1">
      <c r="A74" s="33" t="n">
        <v>3</v>
      </c>
      <c r="B74" s="27" t="n"/>
      <c r="D74" s="34" t="n"/>
      <c r="E74" s="30">
        <f>IFERROR(SUM(D72:D74),"")</f>
        <v/>
      </c>
      <c r="F74" s="30">
        <f>IFERROR(IF(D74="","",FLOOR(E73/F69,1)+1),"")</f>
        <v/>
      </c>
      <c r="G74" s="30">
        <f>IFERROR(IF(D74="","",CEILING(E74/F69,1)),"")</f>
        <v/>
      </c>
      <c r="H74" s="30">
        <f>IFERROR(IF(D74="","",TEXT('Getting Started'!B7+(F74-1)*7,"MMM D")),"")</f>
        <v/>
      </c>
      <c r="I74" s="30">
        <f>IFERROR(IF(D74="","",TEXT('Getting Started'!B7+(G74)*7,"MMM D")),"")</f>
        <v/>
      </c>
      <c r="J74" s="34" t="n"/>
    </row>
    <row r="75" ht="18" customHeight="1">
      <c r="A75" s="33" t="n">
        <v>4</v>
      </c>
      <c r="B75" s="35" t="n"/>
      <c r="D75" s="36" t="n"/>
      <c r="E75" s="30">
        <f>IFERROR(SUM(D72:D75),"")</f>
        <v/>
      </c>
      <c r="F75" s="30">
        <f>IFERROR(IF(D75="","",FLOOR(E74/F69,1)+1),"")</f>
        <v/>
      </c>
      <c r="G75" s="30">
        <f>IFERROR(IF(D75="","",CEILING(E75/F69,1)),"")</f>
        <v/>
      </c>
      <c r="H75" s="30">
        <f>IFERROR(IF(D75="","",TEXT('Getting Started'!B7+(F75-1)*7,"MMM D")),"")</f>
        <v/>
      </c>
      <c r="I75" s="30">
        <f>IFERROR(IF(D75="","",TEXT('Getting Started'!B7+(G75)*7,"MMM D")),"")</f>
        <v/>
      </c>
      <c r="J75" s="34" t="n"/>
    </row>
    <row r="76" ht="18" customHeight="1">
      <c r="A76" s="33" t="n">
        <v>5</v>
      </c>
      <c r="B76" s="27" t="n"/>
      <c r="D76" s="34" t="n"/>
      <c r="E76" s="30">
        <f>IFERROR(SUM(D72:D76),"")</f>
        <v/>
      </c>
      <c r="F76" s="30">
        <f>IFERROR(IF(D76="","",FLOOR(E75/F69,1)+1),"")</f>
        <v/>
      </c>
      <c r="G76" s="30">
        <f>IFERROR(IF(D76="","",CEILING(E76/F69,1)),"")</f>
        <v/>
      </c>
      <c r="H76" s="30">
        <f>IFERROR(IF(D76="","",TEXT('Getting Started'!B7+(F76-1)*7,"MMM D")),"")</f>
        <v/>
      </c>
      <c r="I76" s="30">
        <f>IFERROR(IF(D76="","",TEXT('Getting Started'!B7+(G76)*7,"MMM D")),"")</f>
        <v/>
      </c>
      <c r="J76" s="34" t="n"/>
    </row>
    <row r="77" ht="18" customHeight="1">
      <c r="A77" s="33" t="n">
        <v>6</v>
      </c>
      <c r="B77" s="35" t="n"/>
      <c r="D77" s="36" t="n"/>
      <c r="E77" s="30">
        <f>IFERROR(SUM(D72:D77),"")</f>
        <v/>
      </c>
      <c r="F77" s="30">
        <f>IFERROR(IF(D77="","",FLOOR(E76/F69,1)+1),"")</f>
        <v/>
      </c>
      <c r="G77" s="30">
        <f>IFERROR(IF(D77="","",CEILING(E77/F69,1)),"")</f>
        <v/>
      </c>
      <c r="H77" s="30">
        <f>IFERROR(IF(D77="","",TEXT('Getting Started'!B7+(F77-1)*7,"MMM D")),"")</f>
        <v/>
      </c>
      <c r="I77" s="30">
        <f>IFERROR(IF(D77="","",TEXT('Getting Started'!B7+(G77)*7,"MMM D")),"")</f>
        <v/>
      </c>
      <c r="J77" s="34" t="n"/>
    </row>
    <row r="78" ht="20" customHeight="1">
      <c r="A78" s="47" t="inlineStr">
        <is>
          <t>Notes:</t>
        </is>
      </c>
      <c r="B78" s="37" t="n"/>
    </row>
    <row r="79" ht="24" customHeight="1">
      <c r="A79" s="48" t="inlineStr">
        <is>
          <t xml:space="preserve">  SOCIAL STUDIES / HISTORY</t>
        </is>
      </c>
    </row>
    <row r="80" ht="20" customHeight="1">
      <c r="A80" s="49" t="inlineStr">
        <is>
          <t>Curriculum / Title:</t>
        </is>
      </c>
      <c r="B80" s="27" t="n"/>
      <c r="F80" s="49" t="inlineStr">
        <is>
          <t>Unit type:</t>
        </is>
      </c>
      <c r="G80" s="27" t="inlineStr">
        <is>
          <t>pages</t>
        </is>
      </c>
      <c r="I80" s="28" t="inlineStr">
        <is>
          <t>← type: pages, lessons, chapters…</t>
        </is>
      </c>
      <c r="J80" s="29" t="n"/>
    </row>
    <row r="81" ht="22" customHeight="1">
      <c r="A81" s="49" t="inlineStr">
        <is>
          <t>Total Units:</t>
        </is>
      </c>
      <c r="B81" s="27" t="n"/>
      <c r="C81" s="49" t="inlineStr">
        <is>
          <t>School Weeks:</t>
        </is>
      </c>
      <c r="D81" s="30">
        <f>'Getting Started'!B9</f>
        <v/>
      </c>
      <c r="E81" s="49" t="inlineStr">
        <is>
          <t>Units / Week:</t>
        </is>
      </c>
      <c r="F81" s="12">
        <f>IFERROR(IF(B81="","",ROUND(B81/D81,1)),"")</f>
        <v/>
      </c>
      <c r="G81" s="49" t="inlineStr">
        <is>
          <t>Units / Day:</t>
        </is>
      </c>
      <c r="H81" s="12">
        <f>IFERROR(IF(F81="","",ROUND(F81/'Getting Started'!B10,1)),"")</f>
        <v/>
      </c>
      <c r="I81" s="49" t="inlineStr">
        <is>
          <t>Est. End Date:</t>
        </is>
      </c>
      <c r="J81" s="12">
        <f>IFERROR(IF(B81="","",TEXT('Getting Started'!B7+(B81/'Getting Started'!B10),"MMM D, YYYY")),"")</f>
        <v/>
      </c>
    </row>
    <row r="82" ht="18" customHeight="1">
      <c r="A82" s="31" t="inlineStr">
        <is>
          <t xml:space="preserve">  Optional: Component / Volume Breakdown  (fill in if curriculum has multiple books or parts)</t>
        </is>
      </c>
    </row>
    <row r="83" ht="18" customHeight="1">
      <c r="A83" s="32" t="inlineStr">
        <is>
          <t>#</t>
        </is>
      </c>
      <c r="B83" s="32" t="inlineStr">
        <is>
          <t>Component / Book Title</t>
        </is>
      </c>
      <c r="C83" s="29" t="n"/>
      <c r="D83" s="32" t="inlineStr">
        <is>
          <t>Total Units
in Component</t>
        </is>
      </c>
      <c r="E83" s="32" t="inlineStr">
        <is>
          <t>Cumulative
Units</t>
        </is>
      </c>
      <c r="F83" s="32" t="inlineStr">
        <is>
          <t>Start
Week</t>
        </is>
      </c>
      <c r="G83" s="32" t="inlineStr">
        <is>
          <t>End
Week</t>
        </is>
      </c>
      <c r="H83" s="32" t="inlineStr">
        <is>
          <t>Start
Date</t>
        </is>
      </c>
      <c r="I83" s="32" t="inlineStr">
        <is>
          <t>End
Date</t>
        </is>
      </c>
      <c r="J83" s="32" t="inlineStr">
        <is>
          <t>Complete?</t>
        </is>
      </c>
    </row>
    <row r="84" ht="18" customHeight="1">
      <c r="A84" s="33" t="n">
        <v>1</v>
      </c>
      <c r="B84" s="27" t="n"/>
      <c r="D84" s="34" t="n"/>
      <c r="E84" s="30">
        <f>IFERROR(SUM(D84:D84),"")</f>
        <v/>
      </c>
      <c r="F84" s="30">
        <f>IF(D84="","",1)</f>
        <v/>
      </c>
      <c r="G84" s="30">
        <f>IFERROR(IF(D84="","",CEILING(E84/F81,1)),"")</f>
        <v/>
      </c>
      <c r="H84" s="30">
        <f>IFERROR(IF(D84="","",TEXT('Getting Started'!B7+(F84-1)*7,"MMM D")),"")</f>
        <v/>
      </c>
      <c r="I84" s="30">
        <f>IFERROR(IF(D84="","",TEXT('Getting Started'!B7+(G84)*7,"MMM D")),"")</f>
        <v/>
      </c>
      <c r="J84" s="34" t="n"/>
    </row>
    <row r="85" ht="18" customHeight="1">
      <c r="A85" s="33" t="n">
        <v>2</v>
      </c>
      <c r="B85" s="35" t="n"/>
      <c r="D85" s="36" t="n"/>
      <c r="E85" s="30">
        <f>IFERROR(SUM(D84:D85),"")</f>
        <v/>
      </c>
      <c r="F85" s="30">
        <f>IFERROR(IF(D85="","",FLOOR(E84/F81,1)+1),"")</f>
        <v/>
      </c>
      <c r="G85" s="30">
        <f>IFERROR(IF(D85="","",CEILING(E85/F81,1)),"")</f>
        <v/>
      </c>
      <c r="H85" s="30">
        <f>IFERROR(IF(D85="","",TEXT('Getting Started'!B7+(F85-1)*7,"MMM D")),"")</f>
        <v/>
      </c>
      <c r="I85" s="30">
        <f>IFERROR(IF(D85="","",TEXT('Getting Started'!B7+(G85)*7,"MMM D")),"")</f>
        <v/>
      </c>
      <c r="J85" s="34" t="n"/>
    </row>
    <row r="86" ht="18" customHeight="1">
      <c r="A86" s="33" t="n">
        <v>3</v>
      </c>
      <c r="B86" s="27" t="n"/>
      <c r="D86" s="34" t="n"/>
      <c r="E86" s="30">
        <f>IFERROR(SUM(D84:D86),"")</f>
        <v/>
      </c>
      <c r="F86" s="30">
        <f>IFERROR(IF(D86="","",FLOOR(E85/F81,1)+1),"")</f>
        <v/>
      </c>
      <c r="G86" s="30">
        <f>IFERROR(IF(D86="","",CEILING(E86/F81,1)),"")</f>
        <v/>
      </c>
      <c r="H86" s="30">
        <f>IFERROR(IF(D86="","",TEXT('Getting Started'!B7+(F86-1)*7,"MMM D")),"")</f>
        <v/>
      </c>
      <c r="I86" s="30">
        <f>IFERROR(IF(D86="","",TEXT('Getting Started'!B7+(G86)*7,"MMM D")),"")</f>
        <v/>
      </c>
      <c r="J86" s="34" t="n"/>
    </row>
    <row r="87" ht="18" customHeight="1">
      <c r="A87" s="33" t="n">
        <v>4</v>
      </c>
      <c r="B87" s="35" t="n"/>
      <c r="D87" s="36" t="n"/>
      <c r="E87" s="30">
        <f>IFERROR(SUM(D84:D87),"")</f>
        <v/>
      </c>
      <c r="F87" s="30">
        <f>IFERROR(IF(D87="","",FLOOR(E86/F81,1)+1),"")</f>
        <v/>
      </c>
      <c r="G87" s="30">
        <f>IFERROR(IF(D87="","",CEILING(E87/F81,1)),"")</f>
        <v/>
      </c>
      <c r="H87" s="30">
        <f>IFERROR(IF(D87="","",TEXT('Getting Started'!B7+(F87-1)*7,"MMM D")),"")</f>
        <v/>
      </c>
      <c r="I87" s="30">
        <f>IFERROR(IF(D87="","",TEXT('Getting Started'!B7+(G87)*7,"MMM D")),"")</f>
        <v/>
      </c>
      <c r="J87" s="34" t="n"/>
    </row>
    <row r="88" ht="18" customHeight="1">
      <c r="A88" s="33" t="n">
        <v>5</v>
      </c>
      <c r="B88" s="27" t="n"/>
      <c r="D88" s="34" t="n"/>
      <c r="E88" s="30">
        <f>IFERROR(SUM(D84:D88),"")</f>
        <v/>
      </c>
      <c r="F88" s="30">
        <f>IFERROR(IF(D88="","",FLOOR(E87/F81,1)+1),"")</f>
        <v/>
      </c>
      <c r="G88" s="30">
        <f>IFERROR(IF(D88="","",CEILING(E88/F81,1)),"")</f>
        <v/>
      </c>
      <c r="H88" s="30">
        <f>IFERROR(IF(D88="","",TEXT('Getting Started'!B7+(F88-1)*7,"MMM D")),"")</f>
        <v/>
      </c>
      <c r="I88" s="30">
        <f>IFERROR(IF(D88="","",TEXT('Getting Started'!B7+(G88)*7,"MMM D")),"")</f>
        <v/>
      </c>
      <c r="J88" s="34" t="n"/>
    </row>
    <row r="89" ht="18" customHeight="1">
      <c r="A89" s="33" t="n">
        <v>6</v>
      </c>
      <c r="B89" s="35" t="n"/>
      <c r="D89" s="36" t="n"/>
      <c r="E89" s="30">
        <f>IFERROR(SUM(D84:D89),"")</f>
        <v/>
      </c>
      <c r="F89" s="30">
        <f>IFERROR(IF(D89="","",FLOOR(E88/F81,1)+1),"")</f>
        <v/>
      </c>
      <c r="G89" s="30">
        <f>IFERROR(IF(D89="","",CEILING(E89/F81,1)),"")</f>
        <v/>
      </c>
      <c r="H89" s="30">
        <f>IFERROR(IF(D89="","",TEXT('Getting Started'!B7+(F89-1)*7,"MMM D")),"")</f>
        <v/>
      </c>
      <c r="I89" s="30">
        <f>IFERROR(IF(D89="","",TEXT('Getting Started'!B7+(G89)*7,"MMM D")),"")</f>
        <v/>
      </c>
      <c r="J89" s="34" t="n"/>
    </row>
    <row r="90" ht="20" customHeight="1">
      <c r="A90" s="49" t="inlineStr">
        <is>
          <t>Notes:</t>
        </is>
      </c>
      <c r="B90" s="37" t="n"/>
    </row>
    <row r="91" ht="24" customHeight="1">
      <c r="A91" s="50" t="inlineStr">
        <is>
          <t xml:space="preserve">  HEALTH</t>
        </is>
      </c>
    </row>
    <row r="92" ht="20" customHeight="1">
      <c r="A92" s="51" t="inlineStr">
        <is>
          <t>Curriculum / Title:</t>
        </is>
      </c>
      <c r="B92" s="27" t="n"/>
      <c r="F92" s="51" t="inlineStr">
        <is>
          <t>Unit type:</t>
        </is>
      </c>
      <c r="G92" s="27" t="inlineStr">
        <is>
          <t>pages</t>
        </is>
      </c>
      <c r="I92" s="28" t="inlineStr">
        <is>
          <t>← type: pages, lessons, chapters…</t>
        </is>
      </c>
      <c r="J92" s="29" t="n"/>
    </row>
    <row r="93" ht="22" customHeight="1">
      <c r="A93" s="51" t="inlineStr">
        <is>
          <t>Total Units:</t>
        </is>
      </c>
      <c r="B93" s="27" t="n"/>
      <c r="C93" s="51" t="inlineStr">
        <is>
          <t>School Weeks:</t>
        </is>
      </c>
      <c r="D93" s="30">
        <f>'Getting Started'!B9</f>
        <v/>
      </c>
      <c r="E93" s="51" t="inlineStr">
        <is>
          <t>Units / Week:</t>
        </is>
      </c>
      <c r="F93" s="12">
        <f>IFERROR(IF(B93="","",ROUND(B93/D93,1)),"")</f>
        <v/>
      </c>
      <c r="G93" s="51" t="inlineStr">
        <is>
          <t>Units / Day:</t>
        </is>
      </c>
      <c r="H93" s="12">
        <f>IFERROR(IF(F93="","",ROUND(F93/'Getting Started'!B10,1)),"")</f>
        <v/>
      </c>
      <c r="I93" s="51" t="inlineStr">
        <is>
          <t>Est. End Date:</t>
        </is>
      </c>
      <c r="J93" s="12">
        <f>IFERROR(IF(B93="","",TEXT('Getting Started'!B7+(B93/'Getting Started'!B10),"MMM D, YYYY")),"")</f>
        <v/>
      </c>
    </row>
    <row r="94" ht="18" customHeight="1">
      <c r="A94" s="31" t="inlineStr">
        <is>
          <t xml:space="preserve">  Optional: Component / Volume Breakdown  (fill in if curriculum has multiple books or parts)</t>
        </is>
      </c>
    </row>
    <row r="95" ht="18" customHeight="1">
      <c r="A95" s="32" t="inlineStr">
        <is>
          <t>#</t>
        </is>
      </c>
      <c r="B95" s="32" t="inlineStr">
        <is>
          <t>Component / Book Title</t>
        </is>
      </c>
      <c r="C95" s="29" t="n"/>
      <c r="D95" s="32" t="inlineStr">
        <is>
          <t>Total Units
in Component</t>
        </is>
      </c>
      <c r="E95" s="32" t="inlineStr">
        <is>
          <t>Cumulative
Units</t>
        </is>
      </c>
      <c r="F95" s="32" t="inlineStr">
        <is>
          <t>Start
Week</t>
        </is>
      </c>
      <c r="G95" s="32" t="inlineStr">
        <is>
          <t>End
Week</t>
        </is>
      </c>
      <c r="H95" s="32" t="inlineStr">
        <is>
          <t>Start
Date</t>
        </is>
      </c>
      <c r="I95" s="32" t="inlineStr">
        <is>
          <t>End
Date</t>
        </is>
      </c>
      <c r="J95" s="32" t="inlineStr">
        <is>
          <t>Complete?</t>
        </is>
      </c>
    </row>
    <row r="96" ht="18" customHeight="1">
      <c r="A96" s="33" t="n">
        <v>1</v>
      </c>
      <c r="B96" s="27" t="n"/>
      <c r="D96" s="34" t="n"/>
      <c r="E96" s="30">
        <f>IFERROR(SUM(D96:D96),"")</f>
        <v/>
      </c>
      <c r="F96" s="30">
        <f>IF(D96="","",1)</f>
        <v/>
      </c>
      <c r="G96" s="30">
        <f>IFERROR(IF(D96="","",CEILING(E96/F93,1)),"")</f>
        <v/>
      </c>
      <c r="H96" s="30">
        <f>IFERROR(IF(D96="","",TEXT('Getting Started'!B7+(F96-1)*7,"MMM D")),"")</f>
        <v/>
      </c>
      <c r="I96" s="30">
        <f>IFERROR(IF(D96="","",TEXT('Getting Started'!B7+(G96)*7,"MMM D")),"")</f>
        <v/>
      </c>
      <c r="J96" s="34" t="n"/>
    </row>
    <row r="97" ht="18" customHeight="1">
      <c r="A97" s="33" t="n">
        <v>2</v>
      </c>
      <c r="B97" s="35" t="n"/>
      <c r="D97" s="36" t="n"/>
      <c r="E97" s="30">
        <f>IFERROR(SUM(D96:D97),"")</f>
        <v/>
      </c>
      <c r="F97" s="30">
        <f>IFERROR(IF(D97="","",FLOOR(E96/F93,1)+1),"")</f>
        <v/>
      </c>
      <c r="G97" s="30">
        <f>IFERROR(IF(D97="","",CEILING(E97/F93,1)),"")</f>
        <v/>
      </c>
      <c r="H97" s="30">
        <f>IFERROR(IF(D97="","",TEXT('Getting Started'!B7+(F97-1)*7,"MMM D")),"")</f>
        <v/>
      </c>
      <c r="I97" s="30">
        <f>IFERROR(IF(D97="","",TEXT('Getting Started'!B7+(G97)*7,"MMM D")),"")</f>
        <v/>
      </c>
      <c r="J97" s="34" t="n"/>
    </row>
    <row r="98" ht="18" customHeight="1">
      <c r="A98" s="33" t="n">
        <v>3</v>
      </c>
      <c r="B98" s="27" t="n"/>
      <c r="D98" s="34" t="n"/>
      <c r="E98" s="30">
        <f>IFERROR(SUM(D96:D98),"")</f>
        <v/>
      </c>
      <c r="F98" s="30">
        <f>IFERROR(IF(D98="","",FLOOR(E97/F93,1)+1),"")</f>
        <v/>
      </c>
      <c r="G98" s="30">
        <f>IFERROR(IF(D98="","",CEILING(E98/F93,1)),"")</f>
        <v/>
      </c>
      <c r="H98" s="30">
        <f>IFERROR(IF(D98="","",TEXT('Getting Started'!B7+(F98-1)*7,"MMM D")),"")</f>
        <v/>
      </c>
      <c r="I98" s="30">
        <f>IFERROR(IF(D98="","",TEXT('Getting Started'!B7+(G98)*7,"MMM D")),"")</f>
        <v/>
      </c>
      <c r="J98" s="34" t="n"/>
    </row>
    <row r="99" ht="18" customHeight="1">
      <c r="A99" s="33" t="n">
        <v>4</v>
      </c>
      <c r="B99" s="35" t="n"/>
      <c r="D99" s="36" t="n"/>
      <c r="E99" s="30">
        <f>IFERROR(SUM(D96:D99),"")</f>
        <v/>
      </c>
      <c r="F99" s="30">
        <f>IFERROR(IF(D99="","",FLOOR(E98/F93,1)+1),"")</f>
        <v/>
      </c>
      <c r="G99" s="30">
        <f>IFERROR(IF(D99="","",CEILING(E99/F93,1)),"")</f>
        <v/>
      </c>
      <c r="H99" s="30">
        <f>IFERROR(IF(D99="","",TEXT('Getting Started'!B7+(F99-1)*7,"MMM D")),"")</f>
        <v/>
      </c>
      <c r="I99" s="30">
        <f>IFERROR(IF(D99="","",TEXT('Getting Started'!B7+(G99)*7,"MMM D")),"")</f>
        <v/>
      </c>
      <c r="J99" s="34" t="n"/>
    </row>
    <row r="100" ht="18" customHeight="1">
      <c r="A100" s="33" t="n">
        <v>5</v>
      </c>
      <c r="B100" s="27" t="n"/>
      <c r="D100" s="34" t="n"/>
      <c r="E100" s="30">
        <f>IFERROR(SUM(D96:D100),"")</f>
        <v/>
      </c>
      <c r="F100" s="30">
        <f>IFERROR(IF(D100="","",FLOOR(E99/F93,1)+1),"")</f>
        <v/>
      </c>
      <c r="G100" s="30">
        <f>IFERROR(IF(D100="","",CEILING(E100/F93,1)),"")</f>
        <v/>
      </c>
      <c r="H100" s="30">
        <f>IFERROR(IF(D100="","",TEXT('Getting Started'!B7+(F100-1)*7,"MMM D")),"")</f>
        <v/>
      </c>
      <c r="I100" s="30">
        <f>IFERROR(IF(D100="","",TEXT('Getting Started'!B7+(G100)*7,"MMM D")),"")</f>
        <v/>
      </c>
      <c r="J100" s="34" t="n"/>
    </row>
    <row r="101" ht="18" customHeight="1">
      <c r="A101" s="33" t="n">
        <v>6</v>
      </c>
      <c r="B101" s="35" t="n"/>
      <c r="D101" s="36" t="n"/>
      <c r="E101" s="30">
        <f>IFERROR(SUM(D96:D101),"")</f>
        <v/>
      </c>
      <c r="F101" s="30">
        <f>IFERROR(IF(D101="","",FLOOR(E100/F93,1)+1),"")</f>
        <v/>
      </c>
      <c r="G101" s="30">
        <f>IFERROR(IF(D101="","",CEILING(E101/F93,1)),"")</f>
        <v/>
      </c>
      <c r="H101" s="30">
        <f>IFERROR(IF(D101="","",TEXT('Getting Started'!B7+(F101-1)*7,"MMM D")),"")</f>
        <v/>
      </c>
      <c r="I101" s="30">
        <f>IFERROR(IF(D101="","",TEXT('Getting Started'!B7+(G101)*7,"MMM D")),"")</f>
        <v/>
      </c>
      <c r="J101" s="34" t="n"/>
    </row>
    <row r="102" ht="20" customHeight="1">
      <c r="A102" s="51" t="inlineStr">
        <is>
          <t>Notes:</t>
        </is>
      </c>
      <c r="B102" s="37" t="n"/>
    </row>
    <row r="103" ht="24" customHeight="1">
      <c r="A103" s="52" t="inlineStr">
        <is>
          <t xml:space="preserve">  PHYSICAL EDUCATION</t>
        </is>
      </c>
    </row>
    <row r="104" ht="20" customHeight="1">
      <c r="A104" s="53" t="inlineStr">
        <is>
          <t>Curriculum / Title:</t>
        </is>
      </c>
      <c r="B104" s="27" t="n"/>
      <c r="F104" s="53" t="inlineStr">
        <is>
          <t>Unit type:</t>
        </is>
      </c>
      <c r="G104" s="27" t="inlineStr">
        <is>
          <t>pages</t>
        </is>
      </c>
      <c r="I104" s="28" t="inlineStr">
        <is>
          <t>← type: pages, lessons, chapters…</t>
        </is>
      </c>
      <c r="J104" s="29" t="n"/>
    </row>
    <row r="105" ht="22" customHeight="1">
      <c r="A105" s="53" t="inlineStr">
        <is>
          <t>Total Units:</t>
        </is>
      </c>
      <c r="B105" s="27" t="n"/>
      <c r="C105" s="53" t="inlineStr">
        <is>
          <t>School Weeks:</t>
        </is>
      </c>
      <c r="D105" s="30">
        <f>'Getting Started'!B9</f>
        <v/>
      </c>
      <c r="E105" s="53" t="inlineStr">
        <is>
          <t>Units / Week:</t>
        </is>
      </c>
      <c r="F105" s="12">
        <f>IFERROR(IF(B105="","",ROUND(B105/D105,1)),"")</f>
        <v/>
      </c>
      <c r="G105" s="53" t="inlineStr">
        <is>
          <t>Units / Day:</t>
        </is>
      </c>
      <c r="H105" s="12">
        <f>IFERROR(IF(F105="","",ROUND(F105/'Getting Started'!B10,1)),"")</f>
        <v/>
      </c>
      <c r="I105" s="53" t="inlineStr">
        <is>
          <t>Est. End Date:</t>
        </is>
      </c>
      <c r="J105" s="12">
        <f>IFERROR(IF(B105="","",TEXT('Getting Started'!B7+(B105/'Getting Started'!B10),"MMM D, YYYY")),"")</f>
        <v/>
      </c>
    </row>
    <row r="106" ht="18" customHeight="1">
      <c r="A106" s="31" t="inlineStr">
        <is>
          <t xml:space="preserve">  Optional: Component / Volume Breakdown  (fill in if curriculum has multiple books or parts)</t>
        </is>
      </c>
    </row>
    <row r="107" ht="18" customHeight="1">
      <c r="A107" s="32" t="inlineStr">
        <is>
          <t>#</t>
        </is>
      </c>
      <c r="B107" s="32" t="inlineStr">
        <is>
          <t>Component / Book Title</t>
        </is>
      </c>
      <c r="C107" s="29" t="n"/>
      <c r="D107" s="32" t="inlineStr">
        <is>
          <t>Total Units
in Component</t>
        </is>
      </c>
      <c r="E107" s="32" t="inlineStr">
        <is>
          <t>Cumulative
Units</t>
        </is>
      </c>
      <c r="F107" s="32" t="inlineStr">
        <is>
          <t>Start
Week</t>
        </is>
      </c>
      <c r="G107" s="32" t="inlineStr">
        <is>
          <t>End
Week</t>
        </is>
      </c>
      <c r="H107" s="32" t="inlineStr">
        <is>
          <t>Start
Date</t>
        </is>
      </c>
      <c r="I107" s="32" t="inlineStr">
        <is>
          <t>End
Date</t>
        </is>
      </c>
      <c r="J107" s="32" t="inlineStr">
        <is>
          <t>Complete?</t>
        </is>
      </c>
    </row>
    <row r="108" ht="18" customHeight="1">
      <c r="A108" s="33" t="n">
        <v>1</v>
      </c>
      <c r="B108" s="27" t="n"/>
      <c r="D108" s="34" t="n"/>
      <c r="E108" s="30">
        <f>IFERROR(SUM(D108:D108),"")</f>
        <v/>
      </c>
      <c r="F108" s="30">
        <f>IF(D108="","",1)</f>
        <v/>
      </c>
      <c r="G108" s="30">
        <f>IFERROR(IF(D108="","",CEILING(E108/F105,1)),"")</f>
        <v/>
      </c>
      <c r="H108" s="30">
        <f>IFERROR(IF(D108="","",TEXT('Getting Started'!B7+(F108-1)*7,"MMM D")),"")</f>
        <v/>
      </c>
      <c r="I108" s="30">
        <f>IFERROR(IF(D108="","",TEXT('Getting Started'!B7+(G108)*7,"MMM D")),"")</f>
        <v/>
      </c>
      <c r="J108" s="34" t="n"/>
    </row>
    <row r="109" ht="18" customHeight="1">
      <c r="A109" s="33" t="n">
        <v>2</v>
      </c>
      <c r="B109" s="35" t="n"/>
      <c r="D109" s="36" t="n"/>
      <c r="E109" s="30">
        <f>IFERROR(SUM(D108:D109),"")</f>
        <v/>
      </c>
      <c r="F109" s="30">
        <f>IFERROR(IF(D109="","",FLOOR(E108/F105,1)+1),"")</f>
        <v/>
      </c>
      <c r="G109" s="30">
        <f>IFERROR(IF(D109="","",CEILING(E109/F105,1)),"")</f>
        <v/>
      </c>
      <c r="H109" s="30">
        <f>IFERROR(IF(D109="","",TEXT('Getting Started'!B7+(F109-1)*7,"MMM D")),"")</f>
        <v/>
      </c>
      <c r="I109" s="30">
        <f>IFERROR(IF(D109="","",TEXT('Getting Started'!B7+(G109)*7,"MMM D")),"")</f>
        <v/>
      </c>
      <c r="J109" s="34" t="n"/>
    </row>
    <row r="110" ht="18" customHeight="1">
      <c r="A110" s="33" t="n">
        <v>3</v>
      </c>
      <c r="B110" s="27" t="n"/>
      <c r="D110" s="34" t="n"/>
      <c r="E110" s="30">
        <f>IFERROR(SUM(D108:D110),"")</f>
        <v/>
      </c>
      <c r="F110" s="30">
        <f>IFERROR(IF(D110="","",FLOOR(E109/F105,1)+1),"")</f>
        <v/>
      </c>
      <c r="G110" s="30">
        <f>IFERROR(IF(D110="","",CEILING(E110/F105,1)),"")</f>
        <v/>
      </c>
      <c r="H110" s="30">
        <f>IFERROR(IF(D110="","",TEXT('Getting Started'!B7+(F110-1)*7,"MMM D")),"")</f>
        <v/>
      </c>
      <c r="I110" s="30">
        <f>IFERROR(IF(D110="","",TEXT('Getting Started'!B7+(G110)*7,"MMM D")),"")</f>
        <v/>
      </c>
      <c r="J110" s="34" t="n"/>
    </row>
    <row r="111" ht="18" customHeight="1">
      <c r="A111" s="33" t="n">
        <v>4</v>
      </c>
      <c r="B111" s="35" t="n"/>
      <c r="D111" s="36" t="n"/>
      <c r="E111" s="30">
        <f>IFERROR(SUM(D108:D111),"")</f>
        <v/>
      </c>
      <c r="F111" s="30">
        <f>IFERROR(IF(D111="","",FLOOR(E110/F105,1)+1),"")</f>
        <v/>
      </c>
      <c r="G111" s="30">
        <f>IFERROR(IF(D111="","",CEILING(E111/F105,1)),"")</f>
        <v/>
      </c>
      <c r="H111" s="30">
        <f>IFERROR(IF(D111="","",TEXT('Getting Started'!B7+(F111-1)*7,"MMM D")),"")</f>
        <v/>
      </c>
      <c r="I111" s="30">
        <f>IFERROR(IF(D111="","",TEXT('Getting Started'!B7+(G111)*7,"MMM D")),"")</f>
        <v/>
      </c>
      <c r="J111" s="34" t="n"/>
    </row>
    <row r="112" ht="18" customHeight="1">
      <c r="A112" s="33" t="n">
        <v>5</v>
      </c>
      <c r="B112" s="27" t="n"/>
      <c r="D112" s="34" t="n"/>
      <c r="E112" s="30">
        <f>IFERROR(SUM(D108:D112),"")</f>
        <v/>
      </c>
      <c r="F112" s="30">
        <f>IFERROR(IF(D112="","",FLOOR(E111/F105,1)+1),"")</f>
        <v/>
      </c>
      <c r="G112" s="30">
        <f>IFERROR(IF(D112="","",CEILING(E112/F105,1)),"")</f>
        <v/>
      </c>
      <c r="H112" s="30">
        <f>IFERROR(IF(D112="","",TEXT('Getting Started'!B7+(F112-1)*7,"MMM D")),"")</f>
        <v/>
      </c>
      <c r="I112" s="30">
        <f>IFERROR(IF(D112="","",TEXT('Getting Started'!B7+(G112)*7,"MMM D")),"")</f>
        <v/>
      </c>
      <c r="J112" s="34" t="n"/>
    </row>
    <row r="113" ht="18" customHeight="1">
      <c r="A113" s="33" t="n">
        <v>6</v>
      </c>
      <c r="B113" s="35" t="n"/>
      <c r="D113" s="36" t="n"/>
      <c r="E113" s="30">
        <f>IFERROR(SUM(D108:D113),"")</f>
        <v/>
      </c>
      <c r="F113" s="30">
        <f>IFERROR(IF(D113="","",FLOOR(E112/F105,1)+1),"")</f>
        <v/>
      </c>
      <c r="G113" s="30">
        <f>IFERROR(IF(D113="","",CEILING(E113/F105,1)),"")</f>
        <v/>
      </c>
      <c r="H113" s="30">
        <f>IFERROR(IF(D113="","",TEXT('Getting Started'!B7+(F113-1)*7,"MMM D")),"")</f>
        <v/>
      </c>
      <c r="I113" s="30">
        <f>IFERROR(IF(D113="","",TEXT('Getting Started'!B7+(G113)*7,"MMM D")),"")</f>
        <v/>
      </c>
      <c r="J113" s="34" t="n"/>
    </row>
    <row r="114" ht="20" customHeight="1">
      <c r="A114" s="53" t="inlineStr">
        <is>
          <t>Notes:</t>
        </is>
      </c>
      <c r="B114" s="37" t="n"/>
    </row>
    <row r="115" ht="24" customHeight="1">
      <c r="A115" s="54" t="inlineStr">
        <is>
          <t xml:space="preserve">  ART / MUSIC</t>
        </is>
      </c>
    </row>
    <row r="116" ht="20" customHeight="1">
      <c r="A116" s="55" t="inlineStr">
        <is>
          <t>Curriculum / Title:</t>
        </is>
      </c>
      <c r="B116" s="27" t="n"/>
      <c r="F116" s="55" t="inlineStr">
        <is>
          <t>Unit type:</t>
        </is>
      </c>
      <c r="G116" s="27" t="inlineStr">
        <is>
          <t>pages</t>
        </is>
      </c>
      <c r="I116" s="28" t="inlineStr">
        <is>
          <t>← type: pages, lessons, chapters…</t>
        </is>
      </c>
      <c r="J116" s="29" t="n"/>
    </row>
    <row r="117" ht="22" customHeight="1">
      <c r="A117" s="55" t="inlineStr">
        <is>
          <t>Total Units:</t>
        </is>
      </c>
      <c r="B117" s="27" t="n"/>
      <c r="C117" s="55" t="inlineStr">
        <is>
          <t>School Weeks:</t>
        </is>
      </c>
      <c r="D117" s="30">
        <f>'Getting Started'!B9</f>
        <v/>
      </c>
      <c r="E117" s="55" t="inlineStr">
        <is>
          <t>Units / Week:</t>
        </is>
      </c>
      <c r="F117" s="12">
        <f>IFERROR(IF(B117="","",ROUND(B117/D117,1)),"")</f>
        <v/>
      </c>
      <c r="G117" s="55" t="inlineStr">
        <is>
          <t>Units / Day:</t>
        </is>
      </c>
      <c r="H117" s="12">
        <f>IFERROR(IF(F117="","",ROUND(F117/'Getting Started'!B10,1)),"")</f>
        <v/>
      </c>
      <c r="I117" s="55" t="inlineStr">
        <is>
          <t>Est. End Date:</t>
        </is>
      </c>
      <c r="J117" s="12">
        <f>IFERROR(IF(B117="","",TEXT('Getting Started'!B7+(B117/'Getting Started'!B10),"MMM D, YYYY")),"")</f>
        <v/>
      </c>
    </row>
    <row r="118" ht="18" customHeight="1">
      <c r="A118" s="31" t="inlineStr">
        <is>
          <t xml:space="preserve">  Optional: Component / Volume Breakdown  (fill in if curriculum has multiple books or parts)</t>
        </is>
      </c>
    </row>
    <row r="119" ht="18" customHeight="1">
      <c r="A119" s="32" t="inlineStr">
        <is>
          <t>#</t>
        </is>
      </c>
      <c r="B119" s="32" t="inlineStr">
        <is>
          <t>Component / Book Title</t>
        </is>
      </c>
      <c r="C119" s="29" t="n"/>
      <c r="D119" s="32" t="inlineStr">
        <is>
          <t>Total Units
in Component</t>
        </is>
      </c>
      <c r="E119" s="32" t="inlineStr">
        <is>
          <t>Cumulative
Units</t>
        </is>
      </c>
      <c r="F119" s="32" t="inlineStr">
        <is>
          <t>Start
Week</t>
        </is>
      </c>
      <c r="G119" s="32" t="inlineStr">
        <is>
          <t>End
Week</t>
        </is>
      </c>
      <c r="H119" s="32" t="inlineStr">
        <is>
          <t>Start
Date</t>
        </is>
      </c>
      <c r="I119" s="32" t="inlineStr">
        <is>
          <t>End
Date</t>
        </is>
      </c>
      <c r="J119" s="32" t="inlineStr">
        <is>
          <t>Complete?</t>
        </is>
      </c>
    </row>
    <row r="120" ht="18" customHeight="1">
      <c r="A120" s="33" t="n">
        <v>1</v>
      </c>
      <c r="B120" s="27" t="n"/>
      <c r="D120" s="34" t="n"/>
      <c r="E120" s="30">
        <f>IFERROR(SUM(D120:D120),"")</f>
        <v/>
      </c>
      <c r="F120" s="30">
        <f>IF(D120="","",1)</f>
        <v/>
      </c>
      <c r="G120" s="30">
        <f>IFERROR(IF(D120="","",CEILING(E120/F117,1)),"")</f>
        <v/>
      </c>
      <c r="H120" s="30">
        <f>IFERROR(IF(D120="","",TEXT('Getting Started'!B7+(F120-1)*7,"MMM D")),"")</f>
        <v/>
      </c>
      <c r="I120" s="30">
        <f>IFERROR(IF(D120="","",TEXT('Getting Started'!B7+(G120)*7,"MMM D")),"")</f>
        <v/>
      </c>
      <c r="J120" s="34" t="n"/>
    </row>
    <row r="121" ht="18" customHeight="1">
      <c r="A121" s="33" t="n">
        <v>2</v>
      </c>
      <c r="B121" s="35" t="n"/>
      <c r="D121" s="36" t="n"/>
      <c r="E121" s="30">
        <f>IFERROR(SUM(D120:D121),"")</f>
        <v/>
      </c>
      <c r="F121" s="30">
        <f>IFERROR(IF(D121="","",FLOOR(E120/F117,1)+1),"")</f>
        <v/>
      </c>
      <c r="G121" s="30">
        <f>IFERROR(IF(D121="","",CEILING(E121/F117,1)),"")</f>
        <v/>
      </c>
      <c r="H121" s="30">
        <f>IFERROR(IF(D121="","",TEXT('Getting Started'!B7+(F121-1)*7,"MMM D")),"")</f>
        <v/>
      </c>
      <c r="I121" s="30">
        <f>IFERROR(IF(D121="","",TEXT('Getting Started'!B7+(G121)*7,"MMM D")),"")</f>
        <v/>
      </c>
      <c r="J121" s="34" t="n"/>
    </row>
    <row r="122" ht="18" customHeight="1">
      <c r="A122" s="33" t="n">
        <v>3</v>
      </c>
      <c r="B122" s="27" t="n"/>
      <c r="D122" s="34" t="n"/>
      <c r="E122" s="30">
        <f>IFERROR(SUM(D120:D122),"")</f>
        <v/>
      </c>
      <c r="F122" s="30">
        <f>IFERROR(IF(D122="","",FLOOR(E121/F117,1)+1),"")</f>
        <v/>
      </c>
      <c r="G122" s="30">
        <f>IFERROR(IF(D122="","",CEILING(E122/F117,1)),"")</f>
        <v/>
      </c>
      <c r="H122" s="30">
        <f>IFERROR(IF(D122="","",TEXT('Getting Started'!B7+(F122-1)*7,"MMM D")),"")</f>
        <v/>
      </c>
      <c r="I122" s="30">
        <f>IFERROR(IF(D122="","",TEXT('Getting Started'!B7+(G122)*7,"MMM D")),"")</f>
        <v/>
      </c>
      <c r="J122" s="34" t="n"/>
    </row>
    <row r="123" ht="18" customHeight="1">
      <c r="A123" s="33" t="n">
        <v>4</v>
      </c>
      <c r="B123" s="35" t="n"/>
      <c r="D123" s="36" t="n"/>
      <c r="E123" s="30">
        <f>IFERROR(SUM(D120:D123),"")</f>
        <v/>
      </c>
      <c r="F123" s="30">
        <f>IFERROR(IF(D123="","",FLOOR(E122/F117,1)+1),"")</f>
        <v/>
      </c>
      <c r="G123" s="30">
        <f>IFERROR(IF(D123="","",CEILING(E123/F117,1)),"")</f>
        <v/>
      </c>
      <c r="H123" s="30">
        <f>IFERROR(IF(D123="","",TEXT('Getting Started'!B7+(F123-1)*7,"MMM D")),"")</f>
        <v/>
      </c>
      <c r="I123" s="30">
        <f>IFERROR(IF(D123="","",TEXT('Getting Started'!B7+(G123)*7,"MMM D")),"")</f>
        <v/>
      </c>
      <c r="J123" s="34" t="n"/>
    </row>
    <row r="124" ht="18" customHeight="1">
      <c r="A124" s="33" t="n">
        <v>5</v>
      </c>
      <c r="B124" s="27" t="n"/>
      <c r="D124" s="34" t="n"/>
      <c r="E124" s="30">
        <f>IFERROR(SUM(D120:D124),"")</f>
        <v/>
      </c>
      <c r="F124" s="30">
        <f>IFERROR(IF(D124="","",FLOOR(E123/F117,1)+1),"")</f>
        <v/>
      </c>
      <c r="G124" s="30">
        <f>IFERROR(IF(D124="","",CEILING(E124/F117,1)),"")</f>
        <v/>
      </c>
      <c r="H124" s="30">
        <f>IFERROR(IF(D124="","",TEXT('Getting Started'!B7+(F124-1)*7,"MMM D")),"")</f>
        <v/>
      </c>
      <c r="I124" s="30">
        <f>IFERROR(IF(D124="","",TEXT('Getting Started'!B7+(G124)*7,"MMM D")),"")</f>
        <v/>
      </c>
      <c r="J124" s="34" t="n"/>
    </row>
    <row r="125" ht="18" customHeight="1">
      <c r="A125" s="33" t="n">
        <v>6</v>
      </c>
      <c r="B125" s="35" t="n"/>
      <c r="D125" s="36" t="n"/>
      <c r="E125" s="30">
        <f>IFERROR(SUM(D120:D125),"")</f>
        <v/>
      </c>
      <c r="F125" s="30">
        <f>IFERROR(IF(D125="","",FLOOR(E124/F117,1)+1),"")</f>
        <v/>
      </c>
      <c r="G125" s="30">
        <f>IFERROR(IF(D125="","",CEILING(E125/F117,1)),"")</f>
        <v/>
      </c>
      <c r="H125" s="30">
        <f>IFERROR(IF(D125="","",TEXT('Getting Started'!B7+(F125-1)*7,"MMM D")),"")</f>
        <v/>
      </c>
      <c r="I125" s="30">
        <f>IFERROR(IF(D125="","",TEXT('Getting Started'!B7+(G125)*7,"MMM D")),"")</f>
        <v/>
      </c>
      <c r="J125" s="34" t="n"/>
    </row>
    <row r="126" ht="20" customHeight="1">
      <c r="A126" s="55" t="inlineStr">
        <is>
          <t>Notes:</t>
        </is>
      </c>
      <c r="B126" s="37" t="n"/>
    </row>
  </sheetData>
  <mergeCells count="133">
    <mergeCell ref="B100:C100"/>
    <mergeCell ref="I104:J104"/>
    <mergeCell ref="B68:E68"/>
    <mergeCell ref="A91:J91"/>
    <mergeCell ref="A43:J43"/>
    <mergeCell ref="B12:C12"/>
    <mergeCell ref="B77:C77"/>
    <mergeCell ref="B78:J78"/>
    <mergeCell ref="A115:J115"/>
    <mergeCell ref="B86:C86"/>
    <mergeCell ref="B61:C61"/>
    <mergeCell ref="A34:J34"/>
    <mergeCell ref="B101:C101"/>
    <mergeCell ref="B14:C14"/>
    <mergeCell ref="B13:C13"/>
    <mergeCell ref="B38:C38"/>
    <mergeCell ref="G68:H68"/>
    <mergeCell ref="B112:C112"/>
    <mergeCell ref="B40:C40"/>
    <mergeCell ref="B49:C49"/>
    <mergeCell ref="I44:J44"/>
    <mergeCell ref="A118:J118"/>
    <mergeCell ref="G20:H20"/>
    <mergeCell ref="B24:C24"/>
    <mergeCell ref="B64:C64"/>
    <mergeCell ref="I20:J20"/>
    <mergeCell ref="B90:J90"/>
    <mergeCell ref="B51:C51"/>
    <mergeCell ref="B66:J66"/>
    <mergeCell ref="A55:J55"/>
    <mergeCell ref="B18:J18"/>
    <mergeCell ref="G44:H44"/>
    <mergeCell ref="B63:C63"/>
    <mergeCell ref="B26:C26"/>
    <mergeCell ref="B41:C41"/>
    <mergeCell ref="B35:C35"/>
    <mergeCell ref="B16:C16"/>
    <mergeCell ref="B25:C25"/>
    <mergeCell ref="A106:J106"/>
    <mergeCell ref="I80:J80"/>
    <mergeCell ref="A4:J4"/>
    <mergeCell ref="B104:E104"/>
    <mergeCell ref="B27:C27"/>
    <mergeCell ref="B32:E32"/>
    <mergeCell ref="A31:J31"/>
    <mergeCell ref="B11:C11"/>
    <mergeCell ref="A58:J58"/>
    <mergeCell ref="I32:J32"/>
    <mergeCell ref="A67:J67"/>
    <mergeCell ref="A82:J82"/>
    <mergeCell ref="B53:C53"/>
    <mergeCell ref="I56:J56"/>
    <mergeCell ref="B119:C119"/>
    <mergeCell ref="B29:C29"/>
    <mergeCell ref="B37:C37"/>
    <mergeCell ref="G104:H104"/>
    <mergeCell ref="A7:J7"/>
    <mergeCell ref="B84:C84"/>
    <mergeCell ref="I8:J8"/>
    <mergeCell ref="B54:J54"/>
    <mergeCell ref="B15:C15"/>
    <mergeCell ref="B95:C95"/>
    <mergeCell ref="B89:C89"/>
    <mergeCell ref="B116:E116"/>
    <mergeCell ref="A2:J2"/>
    <mergeCell ref="B97:C97"/>
    <mergeCell ref="B125:C125"/>
    <mergeCell ref="B72:C72"/>
    <mergeCell ref="A22:J22"/>
    <mergeCell ref="B42:J42"/>
    <mergeCell ref="B121:C121"/>
    <mergeCell ref="I116:J116"/>
    <mergeCell ref="B80:E80"/>
    <mergeCell ref="B122:C122"/>
    <mergeCell ref="B96:C96"/>
    <mergeCell ref="B71:C71"/>
    <mergeCell ref="B52:C52"/>
    <mergeCell ref="G116:H116"/>
    <mergeCell ref="B120:C120"/>
    <mergeCell ref="B98:C98"/>
    <mergeCell ref="B107:C107"/>
    <mergeCell ref="B60:C60"/>
    <mergeCell ref="B17:C17"/>
    <mergeCell ref="B88:C88"/>
    <mergeCell ref="B30:J30"/>
    <mergeCell ref="B56:E56"/>
    <mergeCell ref="A79:J79"/>
    <mergeCell ref="A70:J70"/>
    <mergeCell ref="B28:C28"/>
    <mergeCell ref="G80:H80"/>
    <mergeCell ref="B99:C99"/>
    <mergeCell ref="B108:C108"/>
    <mergeCell ref="B126:J126"/>
    <mergeCell ref="B83:C83"/>
    <mergeCell ref="B124:C124"/>
    <mergeCell ref="G32:H32"/>
    <mergeCell ref="B76:C76"/>
    <mergeCell ref="B44:E44"/>
    <mergeCell ref="B85:C85"/>
    <mergeCell ref="G56:H56"/>
    <mergeCell ref="B75:C75"/>
    <mergeCell ref="B109:C109"/>
    <mergeCell ref="B47:C47"/>
    <mergeCell ref="B62:C62"/>
    <mergeCell ref="B59:C59"/>
    <mergeCell ref="B92:E92"/>
    <mergeCell ref="B20:E20"/>
    <mergeCell ref="G8:H8"/>
    <mergeCell ref="A10:J10"/>
    <mergeCell ref="A19:J19"/>
    <mergeCell ref="B39:C39"/>
    <mergeCell ref="B48:C48"/>
    <mergeCell ref="B111:C111"/>
    <mergeCell ref="B23:C23"/>
    <mergeCell ref="B73:C73"/>
    <mergeCell ref="A1:J1"/>
    <mergeCell ref="B87:C87"/>
    <mergeCell ref="I68:J68"/>
    <mergeCell ref="A94:J94"/>
    <mergeCell ref="G92:H92"/>
    <mergeCell ref="A103:J103"/>
    <mergeCell ref="B114:J114"/>
    <mergeCell ref="I92:J92"/>
    <mergeCell ref="B65:C65"/>
    <mergeCell ref="B74:C74"/>
    <mergeCell ref="A46:J46"/>
    <mergeCell ref="B8:E8"/>
    <mergeCell ref="B123:C123"/>
    <mergeCell ref="B36:C36"/>
    <mergeCell ref="B102:J102"/>
    <mergeCell ref="B50:C50"/>
    <mergeCell ref="B110:C110"/>
    <mergeCell ref="B113:C11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E6655"/>
    <outlinePr summaryBelow="1" summaryRight="1"/>
    <pageSetUpPr/>
  </sheetPr>
  <dimension ref="A1:J126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44" customHeight="1">
      <c r="A1" s="21">
        <f>'Getting Started'!C20</f>
        <v/>
      </c>
    </row>
    <row r="2" ht="24" customHeight="1">
      <c r="A2" s="22">
        <f>IFERROR("Grade: "&amp;'Getting Started'!G20&amp;"   |   School Year: "&amp;'Getting Started'!C6&amp;"   |   "  &amp;TEXT('Getting Started'!B7,"MMM D, YYYY")&amp;"  –  "&amp;TEXT('Getting Started'!B8,"MMM D, YYYY"),"")</f>
        <v/>
      </c>
    </row>
    <row r="3" ht="8" customHeight="1"/>
    <row r="4" ht="22" customHeight="1">
      <c r="A4" s="23" t="inlineStr">
        <is>
          <t>SCHOOL YEAR OVERVIEW  (from Getting Started)</t>
        </is>
      </c>
    </row>
    <row r="5" ht="20" customHeight="1">
      <c r="B5" s="24" t="inlineStr">
        <is>
          <t>Start Date:</t>
        </is>
      </c>
      <c r="C5" s="12">
        <f>IF('Getting Started'!B7&lt;&gt;"",TEXT('Getting Started'!B7,"MMM D, YYYY"),"")</f>
        <v/>
      </c>
      <c r="D5" s="24" t="inlineStr">
        <is>
          <t>End Date:</t>
        </is>
      </c>
      <c r="E5" s="12">
        <f>IF('Getting Started'!B8&lt;&gt;"",TEXT('Getting Started'!B8,"MMM D, YYYY"),"")</f>
        <v/>
      </c>
      <c r="F5" s="24" t="inlineStr">
        <is>
          <t>Total Weeks:</t>
        </is>
      </c>
      <c r="G5" s="12">
        <f>'Getting Started'!B9</f>
        <v/>
      </c>
      <c r="H5" s="24" t="inlineStr">
        <is>
          <t>Days/Week:</t>
        </is>
      </c>
      <c r="I5" s="12">
        <f>'Getting Started'!B10</f>
        <v/>
      </c>
    </row>
    <row r="7" ht="24" customHeight="1">
      <c r="A7" s="25" t="inlineStr">
        <is>
          <t xml:space="preserve">  BIBLE</t>
        </is>
      </c>
    </row>
    <row r="8" ht="20" customHeight="1">
      <c r="A8" s="26" t="inlineStr">
        <is>
          <t>Curriculum / Title:</t>
        </is>
      </c>
      <c r="B8" s="27" t="n"/>
      <c r="F8" s="26" t="inlineStr">
        <is>
          <t>Unit type:</t>
        </is>
      </c>
      <c r="G8" s="27" t="inlineStr">
        <is>
          <t>pages</t>
        </is>
      </c>
      <c r="I8" s="28" t="inlineStr">
        <is>
          <t>← type: pages, lessons, chapters…</t>
        </is>
      </c>
      <c r="J8" s="29" t="n"/>
    </row>
    <row r="9" ht="22" customHeight="1">
      <c r="A9" s="26" t="inlineStr">
        <is>
          <t>Total Units:</t>
        </is>
      </c>
      <c r="B9" s="27" t="n"/>
      <c r="C9" s="26" t="inlineStr">
        <is>
          <t>School Weeks:</t>
        </is>
      </c>
      <c r="D9" s="30">
        <f>'Getting Started'!B9</f>
        <v/>
      </c>
      <c r="E9" s="26" t="inlineStr">
        <is>
          <t>Units / Week:</t>
        </is>
      </c>
      <c r="F9" s="12">
        <f>IFERROR(IF(B9="","",ROUND(B9/D9,1)),"")</f>
        <v/>
      </c>
      <c r="G9" s="26" t="inlineStr">
        <is>
          <t>Units / Day:</t>
        </is>
      </c>
      <c r="H9" s="12">
        <f>IFERROR(IF(F9="","",ROUND(F9/'Getting Started'!B10,1)),"")</f>
        <v/>
      </c>
      <c r="I9" s="26" t="inlineStr">
        <is>
          <t>Est. End Date:</t>
        </is>
      </c>
      <c r="J9" s="12">
        <f>IFERROR(IF(B9="","",TEXT('Getting Started'!B7+(B9/'Getting Started'!B10),"MMM D, YYYY")),"")</f>
        <v/>
      </c>
    </row>
    <row r="10" ht="18" customHeight="1">
      <c r="A10" s="31" t="inlineStr">
        <is>
          <t xml:space="preserve">  Optional: Component / Volume Breakdown  (fill in if curriculum has multiple books or parts)</t>
        </is>
      </c>
    </row>
    <row r="11" ht="18" customHeight="1">
      <c r="A11" s="32" t="inlineStr">
        <is>
          <t>#</t>
        </is>
      </c>
      <c r="B11" s="32" t="inlineStr">
        <is>
          <t>Component / Book Title</t>
        </is>
      </c>
      <c r="C11" s="29" t="n"/>
      <c r="D11" s="32" t="inlineStr">
        <is>
          <t>Total Units
in Component</t>
        </is>
      </c>
      <c r="E11" s="32" t="inlineStr">
        <is>
          <t>Cumulative
Units</t>
        </is>
      </c>
      <c r="F11" s="32" t="inlineStr">
        <is>
          <t>Start
Week</t>
        </is>
      </c>
      <c r="G11" s="32" t="inlineStr">
        <is>
          <t>End
Week</t>
        </is>
      </c>
      <c r="H11" s="32" t="inlineStr">
        <is>
          <t>Start
Date</t>
        </is>
      </c>
      <c r="I11" s="32" t="inlineStr">
        <is>
          <t>End
Date</t>
        </is>
      </c>
      <c r="J11" s="32" t="inlineStr">
        <is>
          <t>Complete?</t>
        </is>
      </c>
    </row>
    <row r="12" ht="18" customHeight="1">
      <c r="A12" s="33" t="n">
        <v>1</v>
      </c>
      <c r="B12" s="27" t="n"/>
      <c r="D12" s="34" t="n"/>
      <c r="E12" s="30">
        <f>IFERROR(SUM(D12:D12),"")</f>
        <v/>
      </c>
      <c r="F12" s="30">
        <f>IF(D12="","",1)</f>
        <v/>
      </c>
      <c r="G12" s="30">
        <f>IFERROR(IF(D12="","",CEILING(E12/F9,1)),"")</f>
        <v/>
      </c>
      <c r="H12" s="30">
        <f>IFERROR(IF(D12="","",TEXT('Getting Started'!B7+(F12-1)*7,"MMM D")),"")</f>
        <v/>
      </c>
      <c r="I12" s="30">
        <f>IFERROR(IF(D12="","",TEXT('Getting Started'!B7+(G12)*7,"MMM D")),"")</f>
        <v/>
      </c>
      <c r="J12" s="34" t="n"/>
    </row>
    <row r="13" ht="18" customHeight="1">
      <c r="A13" s="33" t="n">
        <v>2</v>
      </c>
      <c r="B13" s="35" t="n"/>
      <c r="D13" s="36" t="n"/>
      <c r="E13" s="30">
        <f>IFERROR(SUM(D12:D13),"")</f>
        <v/>
      </c>
      <c r="F13" s="30">
        <f>IFERROR(IF(D13="","",FLOOR(E12/F9,1)+1),"")</f>
        <v/>
      </c>
      <c r="G13" s="30">
        <f>IFERROR(IF(D13="","",CEILING(E13/F9,1)),"")</f>
        <v/>
      </c>
      <c r="H13" s="30">
        <f>IFERROR(IF(D13="","",TEXT('Getting Started'!B7+(F13-1)*7,"MMM D")),"")</f>
        <v/>
      </c>
      <c r="I13" s="30">
        <f>IFERROR(IF(D13="","",TEXT('Getting Started'!B7+(G13)*7,"MMM D")),"")</f>
        <v/>
      </c>
      <c r="J13" s="34" t="n"/>
    </row>
    <row r="14" ht="18" customHeight="1">
      <c r="A14" s="33" t="n">
        <v>3</v>
      </c>
      <c r="B14" s="27" t="n"/>
      <c r="D14" s="34" t="n"/>
      <c r="E14" s="30">
        <f>IFERROR(SUM(D12:D14),"")</f>
        <v/>
      </c>
      <c r="F14" s="30">
        <f>IFERROR(IF(D14="","",FLOOR(E13/F9,1)+1),"")</f>
        <v/>
      </c>
      <c r="G14" s="30">
        <f>IFERROR(IF(D14="","",CEILING(E14/F9,1)),"")</f>
        <v/>
      </c>
      <c r="H14" s="30">
        <f>IFERROR(IF(D14="","",TEXT('Getting Started'!B7+(F14-1)*7,"MMM D")),"")</f>
        <v/>
      </c>
      <c r="I14" s="30">
        <f>IFERROR(IF(D14="","",TEXT('Getting Started'!B7+(G14)*7,"MMM D")),"")</f>
        <v/>
      </c>
      <c r="J14" s="34" t="n"/>
    </row>
    <row r="15" ht="18" customHeight="1">
      <c r="A15" s="33" t="n">
        <v>4</v>
      </c>
      <c r="B15" s="35" t="n"/>
      <c r="D15" s="36" t="n"/>
      <c r="E15" s="30">
        <f>IFERROR(SUM(D12:D15),"")</f>
        <v/>
      </c>
      <c r="F15" s="30">
        <f>IFERROR(IF(D15="","",FLOOR(E14/F9,1)+1),"")</f>
        <v/>
      </c>
      <c r="G15" s="30">
        <f>IFERROR(IF(D15="","",CEILING(E15/F9,1)),"")</f>
        <v/>
      </c>
      <c r="H15" s="30">
        <f>IFERROR(IF(D15="","",TEXT('Getting Started'!B7+(F15-1)*7,"MMM D")),"")</f>
        <v/>
      </c>
      <c r="I15" s="30">
        <f>IFERROR(IF(D15="","",TEXT('Getting Started'!B7+(G15)*7,"MMM D")),"")</f>
        <v/>
      </c>
      <c r="J15" s="34" t="n"/>
    </row>
    <row r="16" ht="18" customHeight="1">
      <c r="A16" s="33" t="n">
        <v>5</v>
      </c>
      <c r="B16" s="27" t="n"/>
      <c r="D16" s="34" t="n"/>
      <c r="E16" s="30">
        <f>IFERROR(SUM(D12:D16),"")</f>
        <v/>
      </c>
      <c r="F16" s="30">
        <f>IFERROR(IF(D16="","",FLOOR(E15/F9,1)+1),"")</f>
        <v/>
      </c>
      <c r="G16" s="30">
        <f>IFERROR(IF(D16="","",CEILING(E16/F9,1)),"")</f>
        <v/>
      </c>
      <c r="H16" s="30">
        <f>IFERROR(IF(D16="","",TEXT('Getting Started'!B7+(F16-1)*7,"MMM D")),"")</f>
        <v/>
      </c>
      <c r="I16" s="30">
        <f>IFERROR(IF(D16="","",TEXT('Getting Started'!B7+(G16)*7,"MMM D")),"")</f>
        <v/>
      </c>
      <c r="J16" s="34" t="n"/>
    </row>
    <row r="17" ht="18" customHeight="1">
      <c r="A17" s="33" t="n">
        <v>6</v>
      </c>
      <c r="B17" s="35" t="n"/>
      <c r="D17" s="36" t="n"/>
      <c r="E17" s="30">
        <f>IFERROR(SUM(D12:D17),"")</f>
        <v/>
      </c>
      <c r="F17" s="30">
        <f>IFERROR(IF(D17="","",FLOOR(E16/F9,1)+1),"")</f>
        <v/>
      </c>
      <c r="G17" s="30">
        <f>IFERROR(IF(D17="","",CEILING(E17/F9,1)),"")</f>
        <v/>
      </c>
      <c r="H17" s="30">
        <f>IFERROR(IF(D17="","",TEXT('Getting Started'!B7+(F17-1)*7,"MMM D")),"")</f>
        <v/>
      </c>
      <c r="I17" s="30">
        <f>IFERROR(IF(D17="","",TEXT('Getting Started'!B7+(G17)*7,"MMM D")),"")</f>
        <v/>
      </c>
      <c r="J17" s="34" t="n"/>
    </row>
    <row r="18" ht="20" customHeight="1">
      <c r="A18" s="26" t="inlineStr">
        <is>
          <t>Notes:</t>
        </is>
      </c>
      <c r="B18" s="37" t="n"/>
    </row>
    <row r="19" ht="24" customHeight="1">
      <c r="A19" s="38" t="inlineStr">
        <is>
          <t xml:space="preserve">  MATH</t>
        </is>
      </c>
    </row>
    <row r="20" ht="20" customHeight="1">
      <c r="A20" s="39" t="inlineStr">
        <is>
          <t>Curriculum / Title:</t>
        </is>
      </c>
      <c r="B20" s="27" t="n"/>
      <c r="F20" s="39" t="inlineStr">
        <is>
          <t>Unit type:</t>
        </is>
      </c>
      <c r="G20" s="27" t="inlineStr">
        <is>
          <t>pages</t>
        </is>
      </c>
      <c r="I20" s="28" t="inlineStr">
        <is>
          <t>← type: pages, lessons, chapters…</t>
        </is>
      </c>
      <c r="J20" s="29" t="n"/>
    </row>
    <row r="21" ht="22" customHeight="1">
      <c r="A21" s="39" t="inlineStr">
        <is>
          <t>Total Units:</t>
        </is>
      </c>
      <c r="B21" s="27" t="n"/>
      <c r="C21" s="39" t="inlineStr">
        <is>
          <t>School Weeks:</t>
        </is>
      </c>
      <c r="D21" s="30">
        <f>'Getting Started'!B9</f>
        <v/>
      </c>
      <c r="E21" s="39" t="inlineStr">
        <is>
          <t>Units / Week:</t>
        </is>
      </c>
      <c r="F21" s="12">
        <f>IFERROR(IF(B21="","",ROUND(B21/D21,1)),"")</f>
        <v/>
      </c>
      <c r="G21" s="39" t="inlineStr">
        <is>
          <t>Units / Day:</t>
        </is>
      </c>
      <c r="H21" s="12">
        <f>IFERROR(IF(F21="","",ROUND(F21/'Getting Started'!B10,1)),"")</f>
        <v/>
      </c>
      <c r="I21" s="39" t="inlineStr">
        <is>
          <t>Est. End Date:</t>
        </is>
      </c>
      <c r="J21" s="12">
        <f>IFERROR(IF(B21="","",TEXT('Getting Started'!B7+(B21/'Getting Started'!B10),"MMM D, YYYY")),"")</f>
        <v/>
      </c>
    </row>
    <row r="22" ht="18" customHeight="1">
      <c r="A22" s="31" t="inlineStr">
        <is>
          <t xml:space="preserve">  Optional: Component / Volume Breakdown  (fill in if curriculum has multiple books or parts)</t>
        </is>
      </c>
    </row>
    <row r="23" ht="18" customHeight="1">
      <c r="A23" s="32" t="inlineStr">
        <is>
          <t>#</t>
        </is>
      </c>
      <c r="B23" s="32" t="inlineStr">
        <is>
          <t>Component / Book Title</t>
        </is>
      </c>
      <c r="C23" s="29" t="n"/>
      <c r="D23" s="32" t="inlineStr">
        <is>
          <t>Total Units
in Component</t>
        </is>
      </c>
      <c r="E23" s="32" t="inlineStr">
        <is>
          <t>Cumulative
Units</t>
        </is>
      </c>
      <c r="F23" s="32" t="inlineStr">
        <is>
          <t>Start
Week</t>
        </is>
      </c>
      <c r="G23" s="32" t="inlineStr">
        <is>
          <t>End
Week</t>
        </is>
      </c>
      <c r="H23" s="32" t="inlineStr">
        <is>
          <t>Start
Date</t>
        </is>
      </c>
      <c r="I23" s="32" t="inlineStr">
        <is>
          <t>End
Date</t>
        </is>
      </c>
      <c r="J23" s="32" t="inlineStr">
        <is>
          <t>Complete?</t>
        </is>
      </c>
    </row>
    <row r="24" ht="18" customHeight="1">
      <c r="A24" s="33" t="n">
        <v>1</v>
      </c>
      <c r="B24" s="27" t="n"/>
      <c r="D24" s="34" t="n"/>
      <c r="E24" s="30">
        <f>IFERROR(SUM(D24:D24),"")</f>
        <v/>
      </c>
      <c r="F24" s="30">
        <f>IF(D24="","",1)</f>
        <v/>
      </c>
      <c r="G24" s="30">
        <f>IFERROR(IF(D24="","",CEILING(E24/F21,1)),"")</f>
        <v/>
      </c>
      <c r="H24" s="30">
        <f>IFERROR(IF(D24="","",TEXT('Getting Started'!B7+(F24-1)*7,"MMM D")),"")</f>
        <v/>
      </c>
      <c r="I24" s="30">
        <f>IFERROR(IF(D24="","",TEXT('Getting Started'!B7+(G24)*7,"MMM D")),"")</f>
        <v/>
      </c>
      <c r="J24" s="34" t="n"/>
    </row>
    <row r="25" ht="18" customHeight="1">
      <c r="A25" s="33" t="n">
        <v>2</v>
      </c>
      <c r="B25" s="35" t="n"/>
      <c r="D25" s="36" t="n"/>
      <c r="E25" s="30">
        <f>IFERROR(SUM(D24:D25),"")</f>
        <v/>
      </c>
      <c r="F25" s="30">
        <f>IFERROR(IF(D25="","",FLOOR(E24/F21,1)+1),"")</f>
        <v/>
      </c>
      <c r="G25" s="30">
        <f>IFERROR(IF(D25="","",CEILING(E25/F21,1)),"")</f>
        <v/>
      </c>
      <c r="H25" s="30">
        <f>IFERROR(IF(D25="","",TEXT('Getting Started'!B7+(F25-1)*7,"MMM D")),"")</f>
        <v/>
      </c>
      <c r="I25" s="30">
        <f>IFERROR(IF(D25="","",TEXT('Getting Started'!B7+(G25)*7,"MMM D")),"")</f>
        <v/>
      </c>
      <c r="J25" s="34" t="n"/>
    </row>
    <row r="26" ht="18" customHeight="1">
      <c r="A26" s="33" t="n">
        <v>3</v>
      </c>
      <c r="B26" s="27" t="n"/>
      <c r="D26" s="34" t="n"/>
      <c r="E26" s="30">
        <f>IFERROR(SUM(D24:D26),"")</f>
        <v/>
      </c>
      <c r="F26" s="30">
        <f>IFERROR(IF(D26="","",FLOOR(E25/F21,1)+1),"")</f>
        <v/>
      </c>
      <c r="G26" s="30">
        <f>IFERROR(IF(D26="","",CEILING(E26/F21,1)),"")</f>
        <v/>
      </c>
      <c r="H26" s="30">
        <f>IFERROR(IF(D26="","",TEXT('Getting Started'!B7+(F26-1)*7,"MMM D")),"")</f>
        <v/>
      </c>
      <c r="I26" s="30">
        <f>IFERROR(IF(D26="","",TEXT('Getting Started'!B7+(G26)*7,"MMM D")),"")</f>
        <v/>
      </c>
      <c r="J26" s="34" t="n"/>
    </row>
    <row r="27" ht="18" customHeight="1">
      <c r="A27" s="33" t="n">
        <v>4</v>
      </c>
      <c r="B27" s="35" t="n"/>
      <c r="D27" s="36" t="n"/>
      <c r="E27" s="30">
        <f>IFERROR(SUM(D24:D27),"")</f>
        <v/>
      </c>
      <c r="F27" s="30">
        <f>IFERROR(IF(D27="","",FLOOR(E26/F21,1)+1),"")</f>
        <v/>
      </c>
      <c r="G27" s="30">
        <f>IFERROR(IF(D27="","",CEILING(E27/F21,1)),"")</f>
        <v/>
      </c>
      <c r="H27" s="30">
        <f>IFERROR(IF(D27="","",TEXT('Getting Started'!B7+(F27-1)*7,"MMM D")),"")</f>
        <v/>
      </c>
      <c r="I27" s="30">
        <f>IFERROR(IF(D27="","",TEXT('Getting Started'!B7+(G27)*7,"MMM D")),"")</f>
        <v/>
      </c>
      <c r="J27" s="34" t="n"/>
    </row>
    <row r="28" ht="18" customHeight="1">
      <c r="A28" s="33" t="n">
        <v>5</v>
      </c>
      <c r="B28" s="27" t="n"/>
      <c r="D28" s="34" t="n"/>
      <c r="E28" s="30">
        <f>IFERROR(SUM(D24:D28),"")</f>
        <v/>
      </c>
      <c r="F28" s="30">
        <f>IFERROR(IF(D28="","",FLOOR(E27/F21,1)+1),"")</f>
        <v/>
      </c>
      <c r="G28" s="30">
        <f>IFERROR(IF(D28="","",CEILING(E28/F21,1)),"")</f>
        <v/>
      </c>
      <c r="H28" s="30">
        <f>IFERROR(IF(D28="","",TEXT('Getting Started'!B7+(F28-1)*7,"MMM D")),"")</f>
        <v/>
      </c>
      <c r="I28" s="30">
        <f>IFERROR(IF(D28="","",TEXT('Getting Started'!B7+(G28)*7,"MMM D")),"")</f>
        <v/>
      </c>
      <c r="J28" s="34" t="n"/>
    </row>
    <row r="29" ht="18" customHeight="1">
      <c r="A29" s="33" t="n">
        <v>6</v>
      </c>
      <c r="B29" s="35" t="n"/>
      <c r="D29" s="36" t="n"/>
      <c r="E29" s="30">
        <f>IFERROR(SUM(D24:D29),"")</f>
        <v/>
      </c>
      <c r="F29" s="30">
        <f>IFERROR(IF(D29="","",FLOOR(E28/F21,1)+1),"")</f>
        <v/>
      </c>
      <c r="G29" s="30">
        <f>IFERROR(IF(D29="","",CEILING(E29/F21,1)),"")</f>
        <v/>
      </c>
      <c r="H29" s="30">
        <f>IFERROR(IF(D29="","",TEXT('Getting Started'!B7+(F29-1)*7,"MMM D")),"")</f>
        <v/>
      </c>
      <c r="I29" s="30">
        <f>IFERROR(IF(D29="","",TEXT('Getting Started'!B7+(G29)*7,"MMM D")),"")</f>
        <v/>
      </c>
      <c r="J29" s="34" t="n"/>
    </row>
    <row r="30" ht="20" customHeight="1">
      <c r="A30" s="39" t="inlineStr">
        <is>
          <t>Notes:</t>
        </is>
      </c>
      <c r="B30" s="37" t="n"/>
    </row>
    <row r="31" ht="24" customHeight="1">
      <c r="A31" s="40" t="inlineStr">
        <is>
          <t xml:space="preserve">  ENGLISH / LANGUAGE ARTS</t>
        </is>
      </c>
    </row>
    <row r="32" ht="20" customHeight="1">
      <c r="A32" s="41" t="inlineStr">
        <is>
          <t>Curriculum / Title:</t>
        </is>
      </c>
      <c r="B32" s="27" t="n"/>
      <c r="F32" s="41" t="inlineStr">
        <is>
          <t>Unit type:</t>
        </is>
      </c>
      <c r="G32" s="27" t="inlineStr">
        <is>
          <t>pages</t>
        </is>
      </c>
      <c r="I32" s="28" t="inlineStr">
        <is>
          <t>← type: pages, lessons, chapters…</t>
        </is>
      </c>
      <c r="J32" s="29" t="n"/>
    </row>
    <row r="33" ht="22" customHeight="1">
      <c r="A33" s="41" t="inlineStr">
        <is>
          <t>Total Units:</t>
        </is>
      </c>
      <c r="B33" s="27" t="n"/>
      <c r="C33" s="41" t="inlineStr">
        <is>
          <t>School Weeks:</t>
        </is>
      </c>
      <c r="D33" s="30">
        <f>'Getting Started'!B9</f>
        <v/>
      </c>
      <c r="E33" s="41" t="inlineStr">
        <is>
          <t>Units / Week:</t>
        </is>
      </c>
      <c r="F33" s="12">
        <f>IFERROR(IF(B33="","",ROUND(B33/D33,1)),"")</f>
        <v/>
      </c>
      <c r="G33" s="41" t="inlineStr">
        <is>
          <t>Units / Day:</t>
        </is>
      </c>
      <c r="H33" s="12">
        <f>IFERROR(IF(F33="","",ROUND(F33/'Getting Started'!B10,1)),"")</f>
        <v/>
      </c>
      <c r="I33" s="41" t="inlineStr">
        <is>
          <t>Est. End Date:</t>
        </is>
      </c>
      <c r="J33" s="12">
        <f>IFERROR(IF(B33="","",TEXT('Getting Started'!B7+(B33/'Getting Started'!B10),"MMM D, YYYY")),"")</f>
        <v/>
      </c>
    </row>
    <row r="34" ht="18" customHeight="1">
      <c r="A34" s="31" t="inlineStr">
        <is>
          <t xml:space="preserve">  Optional: Component / Volume Breakdown  (fill in if curriculum has multiple books or parts)</t>
        </is>
      </c>
    </row>
    <row r="35" ht="18" customHeight="1">
      <c r="A35" s="32" t="inlineStr">
        <is>
          <t>#</t>
        </is>
      </c>
      <c r="B35" s="32" t="inlineStr">
        <is>
          <t>Component / Book Title</t>
        </is>
      </c>
      <c r="C35" s="29" t="n"/>
      <c r="D35" s="32" t="inlineStr">
        <is>
          <t>Total Units
in Component</t>
        </is>
      </c>
      <c r="E35" s="32" t="inlineStr">
        <is>
          <t>Cumulative
Units</t>
        </is>
      </c>
      <c r="F35" s="32" t="inlineStr">
        <is>
          <t>Start
Week</t>
        </is>
      </c>
      <c r="G35" s="32" t="inlineStr">
        <is>
          <t>End
Week</t>
        </is>
      </c>
      <c r="H35" s="32" t="inlineStr">
        <is>
          <t>Start
Date</t>
        </is>
      </c>
      <c r="I35" s="32" t="inlineStr">
        <is>
          <t>End
Date</t>
        </is>
      </c>
      <c r="J35" s="32" t="inlineStr">
        <is>
          <t>Complete?</t>
        </is>
      </c>
    </row>
    <row r="36" ht="18" customHeight="1">
      <c r="A36" s="33" t="n">
        <v>1</v>
      </c>
      <c r="B36" s="27" t="n"/>
      <c r="D36" s="34" t="n"/>
      <c r="E36" s="30">
        <f>IFERROR(SUM(D36:D36),"")</f>
        <v/>
      </c>
      <c r="F36" s="30">
        <f>IF(D36="","",1)</f>
        <v/>
      </c>
      <c r="G36" s="30">
        <f>IFERROR(IF(D36="","",CEILING(E36/F33,1)),"")</f>
        <v/>
      </c>
      <c r="H36" s="30">
        <f>IFERROR(IF(D36="","",TEXT('Getting Started'!B7+(F36-1)*7,"MMM D")),"")</f>
        <v/>
      </c>
      <c r="I36" s="30">
        <f>IFERROR(IF(D36="","",TEXT('Getting Started'!B7+(G36)*7,"MMM D")),"")</f>
        <v/>
      </c>
      <c r="J36" s="34" t="n"/>
    </row>
    <row r="37" ht="18" customHeight="1">
      <c r="A37" s="33" t="n">
        <v>2</v>
      </c>
      <c r="B37" s="35" t="n"/>
      <c r="D37" s="36" t="n"/>
      <c r="E37" s="30">
        <f>IFERROR(SUM(D36:D37),"")</f>
        <v/>
      </c>
      <c r="F37" s="30">
        <f>IFERROR(IF(D37="","",FLOOR(E36/F33,1)+1),"")</f>
        <v/>
      </c>
      <c r="G37" s="30">
        <f>IFERROR(IF(D37="","",CEILING(E37/F33,1)),"")</f>
        <v/>
      </c>
      <c r="H37" s="30">
        <f>IFERROR(IF(D37="","",TEXT('Getting Started'!B7+(F37-1)*7,"MMM D")),"")</f>
        <v/>
      </c>
      <c r="I37" s="30">
        <f>IFERROR(IF(D37="","",TEXT('Getting Started'!B7+(G37)*7,"MMM D")),"")</f>
        <v/>
      </c>
      <c r="J37" s="34" t="n"/>
    </row>
    <row r="38" ht="18" customHeight="1">
      <c r="A38" s="33" t="n">
        <v>3</v>
      </c>
      <c r="B38" s="27" t="n"/>
      <c r="D38" s="34" t="n"/>
      <c r="E38" s="30">
        <f>IFERROR(SUM(D36:D38),"")</f>
        <v/>
      </c>
      <c r="F38" s="30">
        <f>IFERROR(IF(D38="","",FLOOR(E37/F33,1)+1),"")</f>
        <v/>
      </c>
      <c r="G38" s="30">
        <f>IFERROR(IF(D38="","",CEILING(E38/F33,1)),"")</f>
        <v/>
      </c>
      <c r="H38" s="30">
        <f>IFERROR(IF(D38="","",TEXT('Getting Started'!B7+(F38-1)*7,"MMM D")),"")</f>
        <v/>
      </c>
      <c r="I38" s="30">
        <f>IFERROR(IF(D38="","",TEXT('Getting Started'!B7+(G38)*7,"MMM D")),"")</f>
        <v/>
      </c>
      <c r="J38" s="34" t="n"/>
    </row>
    <row r="39" ht="18" customHeight="1">
      <c r="A39" s="33" t="n">
        <v>4</v>
      </c>
      <c r="B39" s="35" t="n"/>
      <c r="D39" s="36" t="n"/>
      <c r="E39" s="30">
        <f>IFERROR(SUM(D36:D39),"")</f>
        <v/>
      </c>
      <c r="F39" s="30">
        <f>IFERROR(IF(D39="","",FLOOR(E38/F33,1)+1),"")</f>
        <v/>
      </c>
      <c r="G39" s="30">
        <f>IFERROR(IF(D39="","",CEILING(E39/F33,1)),"")</f>
        <v/>
      </c>
      <c r="H39" s="30">
        <f>IFERROR(IF(D39="","",TEXT('Getting Started'!B7+(F39-1)*7,"MMM D")),"")</f>
        <v/>
      </c>
      <c r="I39" s="30">
        <f>IFERROR(IF(D39="","",TEXT('Getting Started'!B7+(G39)*7,"MMM D")),"")</f>
        <v/>
      </c>
      <c r="J39" s="34" t="n"/>
    </row>
    <row r="40" ht="18" customHeight="1">
      <c r="A40" s="33" t="n">
        <v>5</v>
      </c>
      <c r="B40" s="27" t="n"/>
      <c r="D40" s="34" t="n"/>
      <c r="E40" s="30">
        <f>IFERROR(SUM(D36:D40),"")</f>
        <v/>
      </c>
      <c r="F40" s="30">
        <f>IFERROR(IF(D40="","",FLOOR(E39/F33,1)+1),"")</f>
        <v/>
      </c>
      <c r="G40" s="30">
        <f>IFERROR(IF(D40="","",CEILING(E40/F33,1)),"")</f>
        <v/>
      </c>
      <c r="H40" s="30">
        <f>IFERROR(IF(D40="","",TEXT('Getting Started'!B7+(F40-1)*7,"MMM D")),"")</f>
        <v/>
      </c>
      <c r="I40" s="30">
        <f>IFERROR(IF(D40="","",TEXT('Getting Started'!B7+(G40)*7,"MMM D")),"")</f>
        <v/>
      </c>
      <c r="J40" s="34" t="n"/>
    </row>
    <row r="41" ht="18" customHeight="1">
      <c r="A41" s="33" t="n">
        <v>6</v>
      </c>
      <c r="B41" s="35" t="n"/>
      <c r="D41" s="36" t="n"/>
      <c r="E41" s="30">
        <f>IFERROR(SUM(D36:D41),"")</f>
        <v/>
      </c>
      <c r="F41" s="30">
        <f>IFERROR(IF(D41="","",FLOOR(E40/F33,1)+1),"")</f>
        <v/>
      </c>
      <c r="G41" s="30">
        <f>IFERROR(IF(D41="","",CEILING(E41/F33,1)),"")</f>
        <v/>
      </c>
      <c r="H41" s="30">
        <f>IFERROR(IF(D41="","",TEXT('Getting Started'!B7+(F41-1)*7,"MMM D")),"")</f>
        <v/>
      </c>
      <c r="I41" s="30">
        <f>IFERROR(IF(D41="","",TEXT('Getting Started'!B7+(G41)*7,"MMM D")),"")</f>
        <v/>
      </c>
      <c r="J41" s="34" t="n"/>
    </row>
    <row r="42" ht="20" customHeight="1">
      <c r="A42" s="41" t="inlineStr">
        <is>
          <t>Notes:</t>
        </is>
      </c>
      <c r="B42" s="37" t="n"/>
    </row>
    <row r="43" ht="24" customHeight="1">
      <c r="A43" s="42" t="inlineStr">
        <is>
          <t xml:space="preserve">  READING</t>
        </is>
      </c>
    </row>
    <row r="44" ht="20" customHeight="1">
      <c r="A44" s="43" t="inlineStr">
        <is>
          <t>Curriculum / Title:</t>
        </is>
      </c>
      <c r="B44" s="27" t="n"/>
      <c r="F44" s="43" t="inlineStr">
        <is>
          <t>Unit type:</t>
        </is>
      </c>
      <c r="G44" s="27" t="inlineStr">
        <is>
          <t>pages</t>
        </is>
      </c>
      <c r="I44" s="28" t="inlineStr">
        <is>
          <t>← type: pages, lessons, chapters…</t>
        </is>
      </c>
      <c r="J44" s="29" t="n"/>
    </row>
    <row r="45" ht="22" customHeight="1">
      <c r="A45" s="43" t="inlineStr">
        <is>
          <t>Total Units:</t>
        </is>
      </c>
      <c r="B45" s="27" t="n"/>
      <c r="C45" s="43" t="inlineStr">
        <is>
          <t>School Weeks:</t>
        </is>
      </c>
      <c r="D45" s="30">
        <f>'Getting Started'!B9</f>
        <v/>
      </c>
      <c r="E45" s="43" t="inlineStr">
        <is>
          <t>Units / Week:</t>
        </is>
      </c>
      <c r="F45" s="12">
        <f>IFERROR(IF(B45="","",ROUND(B45/D45,1)),"")</f>
        <v/>
      </c>
      <c r="G45" s="43" t="inlineStr">
        <is>
          <t>Units / Day:</t>
        </is>
      </c>
      <c r="H45" s="12">
        <f>IFERROR(IF(F45="","",ROUND(F45/'Getting Started'!B10,1)),"")</f>
        <v/>
      </c>
      <c r="I45" s="43" t="inlineStr">
        <is>
          <t>Est. End Date:</t>
        </is>
      </c>
      <c r="J45" s="12">
        <f>IFERROR(IF(B45="","",TEXT('Getting Started'!B7+(B45/'Getting Started'!B10),"MMM D, YYYY")),"")</f>
        <v/>
      </c>
    </row>
    <row r="46" ht="18" customHeight="1">
      <c r="A46" s="31" t="inlineStr">
        <is>
          <t xml:space="preserve">  Optional: Component / Volume Breakdown  (fill in if curriculum has multiple books or parts)</t>
        </is>
      </c>
    </row>
    <row r="47" ht="18" customHeight="1">
      <c r="A47" s="32" t="inlineStr">
        <is>
          <t>#</t>
        </is>
      </c>
      <c r="B47" s="32" t="inlineStr">
        <is>
          <t>Component / Book Title</t>
        </is>
      </c>
      <c r="C47" s="29" t="n"/>
      <c r="D47" s="32" t="inlineStr">
        <is>
          <t>Total Units
in Component</t>
        </is>
      </c>
      <c r="E47" s="32" t="inlineStr">
        <is>
          <t>Cumulative
Units</t>
        </is>
      </c>
      <c r="F47" s="32" t="inlineStr">
        <is>
          <t>Start
Week</t>
        </is>
      </c>
      <c r="G47" s="32" t="inlineStr">
        <is>
          <t>End
Week</t>
        </is>
      </c>
      <c r="H47" s="32" t="inlineStr">
        <is>
          <t>Start
Date</t>
        </is>
      </c>
      <c r="I47" s="32" t="inlineStr">
        <is>
          <t>End
Date</t>
        </is>
      </c>
      <c r="J47" s="32" t="inlineStr">
        <is>
          <t>Complete?</t>
        </is>
      </c>
    </row>
    <row r="48" ht="18" customHeight="1">
      <c r="A48" s="33" t="n">
        <v>1</v>
      </c>
      <c r="B48" s="27" t="n"/>
      <c r="D48" s="34" t="n"/>
      <c r="E48" s="30">
        <f>IFERROR(SUM(D48:D48),"")</f>
        <v/>
      </c>
      <c r="F48" s="30">
        <f>IF(D48="","",1)</f>
        <v/>
      </c>
      <c r="G48" s="30">
        <f>IFERROR(IF(D48="","",CEILING(E48/F45,1)),"")</f>
        <v/>
      </c>
      <c r="H48" s="30">
        <f>IFERROR(IF(D48="","",TEXT('Getting Started'!B7+(F48-1)*7,"MMM D")),"")</f>
        <v/>
      </c>
      <c r="I48" s="30">
        <f>IFERROR(IF(D48="","",TEXT('Getting Started'!B7+(G48)*7,"MMM D")),"")</f>
        <v/>
      </c>
      <c r="J48" s="34" t="n"/>
    </row>
    <row r="49" ht="18" customHeight="1">
      <c r="A49" s="33" t="n">
        <v>2</v>
      </c>
      <c r="B49" s="35" t="n"/>
      <c r="D49" s="36" t="n"/>
      <c r="E49" s="30">
        <f>IFERROR(SUM(D48:D49),"")</f>
        <v/>
      </c>
      <c r="F49" s="30">
        <f>IFERROR(IF(D49="","",FLOOR(E48/F45,1)+1),"")</f>
        <v/>
      </c>
      <c r="G49" s="30">
        <f>IFERROR(IF(D49="","",CEILING(E49/F45,1)),"")</f>
        <v/>
      </c>
      <c r="H49" s="30">
        <f>IFERROR(IF(D49="","",TEXT('Getting Started'!B7+(F49-1)*7,"MMM D")),"")</f>
        <v/>
      </c>
      <c r="I49" s="30">
        <f>IFERROR(IF(D49="","",TEXT('Getting Started'!B7+(G49)*7,"MMM D")),"")</f>
        <v/>
      </c>
      <c r="J49" s="34" t="n"/>
    </row>
    <row r="50" ht="18" customHeight="1">
      <c r="A50" s="33" t="n">
        <v>3</v>
      </c>
      <c r="B50" s="27" t="n"/>
      <c r="D50" s="34" t="n"/>
      <c r="E50" s="30">
        <f>IFERROR(SUM(D48:D50),"")</f>
        <v/>
      </c>
      <c r="F50" s="30">
        <f>IFERROR(IF(D50="","",FLOOR(E49/F45,1)+1),"")</f>
        <v/>
      </c>
      <c r="G50" s="30">
        <f>IFERROR(IF(D50="","",CEILING(E50/F45,1)),"")</f>
        <v/>
      </c>
      <c r="H50" s="30">
        <f>IFERROR(IF(D50="","",TEXT('Getting Started'!B7+(F50-1)*7,"MMM D")),"")</f>
        <v/>
      </c>
      <c r="I50" s="30">
        <f>IFERROR(IF(D50="","",TEXT('Getting Started'!B7+(G50)*7,"MMM D")),"")</f>
        <v/>
      </c>
      <c r="J50" s="34" t="n"/>
    </row>
    <row r="51" ht="18" customHeight="1">
      <c r="A51" s="33" t="n">
        <v>4</v>
      </c>
      <c r="B51" s="35" t="n"/>
      <c r="D51" s="36" t="n"/>
      <c r="E51" s="30">
        <f>IFERROR(SUM(D48:D51),"")</f>
        <v/>
      </c>
      <c r="F51" s="30">
        <f>IFERROR(IF(D51="","",FLOOR(E50/F45,1)+1),"")</f>
        <v/>
      </c>
      <c r="G51" s="30">
        <f>IFERROR(IF(D51="","",CEILING(E51/F45,1)),"")</f>
        <v/>
      </c>
      <c r="H51" s="30">
        <f>IFERROR(IF(D51="","",TEXT('Getting Started'!B7+(F51-1)*7,"MMM D")),"")</f>
        <v/>
      </c>
      <c r="I51" s="30">
        <f>IFERROR(IF(D51="","",TEXT('Getting Started'!B7+(G51)*7,"MMM D")),"")</f>
        <v/>
      </c>
      <c r="J51" s="34" t="n"/>
    </row>
    <row r="52" ht="18" customHeight="1">
      <c r="A52" s="33" t="n">
        <v>5</v>
      </c>
      <c r="B52" s="27" t="n"/>
      <c r="D52" s="34" t="n"/>
      <c r="E52" s="30">
        <f>IFERROR(SUM(D48:D52),"")</f>
        <v/>
      </c>
      <c r="F52" s="30">
        <f>IFERROR(IF(D52="","",FLOOR(E51/F45,1)+1),"")</f>
        <v/>
      </c>
      <c r="G52" s="30">
        <f>IFERROR(IF(D52="","",CEILING(E52/F45,1)),"")</f>
        <v/>
      </c>
      <c r="H52" s="30">
        <f>IFERROR(IF(D52="","",TEXT('Getting Started'!B7+(F52-1)*7,"MMM D")),"")</f>
        <v/>
      </c>
      <c r="I52" s="30">
        <f>IFERROR(IF(D52="","",TEXT('Getting Started'!B7+(G52)*7,"MMM D")),"")</f>
        <v/>
      </c>
      <c r="J52" s="34" t="n"/>
    </row>
    <row r="53" ht="18" customHeight="1">
      <c r="A53" s="33" t="n">
        <v>6</v>
      </c>
      <c r="B53" s="35" t="n"/>
      <c r="D53" s="36" t="n"/>
      <c r="E53" s="30">
        <f>IFERROR(SUM(D48:D53),"")</f>
        <v/>
      </c>
      <c r="F53" s="30">
        <f>IFERROR(IF(D53="","",FLOOR(E52/F45,1)+1),"")</f>
        <v/>
      </c>
      <c r="G53" s="30">
        <f>IFERROR(IF(D53="","",CEILING(E53/F45,1)),"")</f>
        <v/>
      </c>
      <c r="H53" s="30">
        <f>IFERROR(IF(D53="","",TEXT('Getting Started'!B7+(F53-1)*7,"MMM D")),"")</f>
        <v/>
      </c>
      <c r="I53" s="30">
        <f>IFERROR(IF(D53="","",TEXT('Getting Started'!B7+(G53)*7,"MMM D")),"")</f>
        <v/>
      </c>
      <c r="J53" s="34" t="n"/>
    </row>
    <row r="54" ht="20" customHeight="1">
      <c r="A54" s="43" t="inlineStr">
        <is>
          <t>Notes:</t>
        </is>
      </c>
      <c r="B54" s="37" t="n"/>
    </row>
    <row r="55" ht="24" customHeight="1">
      <c r="A55" s="44" t="inlineStr">
        <is>
          <t xml:space="preserve">  WRITING / COMPOSITION</t>
        </is>
      </c>
    </row>
    <row r="56" ht="20" customHeight="1">
      <c r="A56" s="45" t="inlineStr">
        <is>
          <t>Curriculum / Title:</t>
        </is>
      </c>
      <c r="B56" s="27" t="n"/>
      <c r="F56" s="45" t="inlineStr">
        <is>
          <t>Unit type:</t>
        </is>
      </c>
      <c r="G56" s="27" t="inlineStr">
        <is>
          <t>pages</t>
        </is>
      </c>
      <c r="I56" s="28" t="inlineStr">
        <is>
          <t>← type: pages, lessons, chapters…</t>
        </is>
      </c>
      <c r="J56" s="29" t="n"/>
    </row>
    <row r="57" ht="22" customHeight="1">
      <c r="A57" s="45" t="inlineStr">
        <is>
          <t>Total Units:</t>
        </is>
      </c>
      <c r="B57" s="27" t="n"/>
      <c r="C57" s="45" t="inlineStr">
        <is>
          <t>School Weeks:</t>
        </is>
      </c>
      <c r="D57" s="30">
        <f>'Getting Started'!B9</f>
        <v/>
      </c>
      <c r="E57" s="45" t="inlineStr">
        <is>
          <t>Units / Week:</t>
        </is>
      </c>
      <c r="F57" s="12">
        <f>IFERROR(IF(B57="","",ROUND(B57/D57,1)),"")</f>
        <v/>
      </c>
      <c r="G57" s="45" t="inlineStr">
        <is>
          <t>Units / Day:</t>
        </is>
      </c>
      <c r="H57" s="12">
        <f>IFERROR(IF(F57="","",ROUND(F57/'Getting Started'!B10,1)),"")</f>
        <v/>
      </c>
      <c r="I57" s="45" t="inlineStr">
        <is>
          <t>Est. End Date:</t>
        </is>
      </c>
      <c r="J57" s="12">
        <f>IFERROR(IF(B57="","",TEXT('Getting Started'!B7+(B57/'Getting Started'!B10),"MMM D, YYYY")),"")</f>
        <v/>
      </c>
    </row>
    <row r="58" ht="18" customHeight="1">
      <c r="A58" s="31" t="inlineStr">
        <is>
          <t xml:space="preserve">  Optional: Component / Volume Breakdown  (fill in if curriculum has multiple books or parts)</t>
        </is>
      </c>
    </row>
    <row r="59" ht="18" customHeight="1">
      <c r="A59" s="32" t="inlineStr">
        <is>
          <t>#</t>
        </is>
      </c>
      <c r="B59" s="32" t="inlineStr">
        <is>
          <t>Component / Book Title</t>
        </is>
      </c>
      <c r="C59" s="29" t="n"/>
      <c r="D59" s="32" t="inlineStr">
        <is>
          <t>Total Units
in Component</t>
        </is>
      </c>
      <c r="E59" s="32" t="inlineStr">
        <is>
          <t>Cumulative
Units</t>
        </is>
      </c>
      <c r="F59" s="32" t="inlineStr">
        <is>
          <t>Start
Week</t>
        </is>
      </c>
      <c r="G59" s="32" t="inlineStr">
        <is>
          <t>End
Week</t>
        </is>
      </c>
      <c r="H59" s="32" t="inlineStr">
        <is>
          <t>Start
Date</t>
        </is>
      </c>
      <c r="I59" s="32" t="inlineStr">
        <is>
          <t>End
Date</t>
        </is>
      </c>
      <c r="J59" s="32" t="inlineStr">
        <is>
          <t>Complete?</t>
        </is>
      </c>
    </row>
    <row r="60" ht="18" customHeight="1">
      <c r="A60" s="33" t="n">
        <v>1</v>
      </c>
      <c r="B60" s="27" t="n"/>
      <c r="D60" s="34" t="n"/>
      <c r="E60" s="30">
        <f>IFERROR(SUM(D60:D60),"")</f>
        <v/>
      </c>
      <c r="F60" s="30">
        <f>IF(D60="","",1)</f>
        <v/>
      </c>
      <c r="G60" s="30">
        <f>IFERROR(IF(D60="","",CEILING(E60/F57,1)),"")</f>
        <v/>
      </c>
      <c r="H60" s="30">
        <f>IFERROR(IF(D60="","",TEXT('Getting Started'!B7+(F60-1)*7,"MMM D")),"")</f>
        <v/>
      </c>
      <c r="I60" s="30">
        <f>IFERROR(IF(D60="","",TEXT('Getting Started'!B7+(G60)*7,"MMM D")),"")</f>
        <v/>
      </c>
      <c r="J60" s="34" t="n"/>
    </row>
    <row r="61" ht="18" customHeight="1">
      <c r="A61" s="33" t="n">
        <v>2</v>
      </c>
      <c r="B61" s="35" t="n"/>
      <c r="D61" s="36" t="n"/>
      <c r="E61" s="30">
        <f>IFERROR(SUM(D60:D61),"")</f>
        <v/>
      </c>
      <c r="F61" s="30">
        <f>IFERROR(IF(D61="","",FLOOR(E60/F57,1)+1),"")</f>
        <v/>
      </c>
      <c r="G61" s="30">
        <f>IFERROR(IF(D61="","",CEILING(E61/F57,1)),"")</f>
        <v/>
      </c>
      <c r="H61" s="30">
        <f>IFERROR(IF(D61="","",TEXT('Getting Started'!B7+(F61-1)*7,"MMM D")),"")</f>
        <v/>
      </c>
      <c r="I61" s="30">
        <f>IFERROR(IF(D61="","",TEXT('Getting Started'!B7+(G61)*7,"MMM D")),"")</f>
        <v/>
      </c>
      <c r="J61" s="34" t="n"/>
    </row>
    <row r="62" ht="18" customHeight="1">
      <c r="A62" s="33" t="n">
        <v>3</v>
      </c>
      <c r="B62" s="27" t="n"/>
      <c r="D62" s="34" t="n"/>
      <c r="E62" s="30">
        <f>IFERROR(SUM(D60:D62),"")</f>
        <v/>
      </c>
      <c r="F62" s="30">
        <f>IFERROR(IF(D62="","",FLOOR(E61/F57,1)+1),"")</f>
        <v/>
      </c>
      <c r="G62" s="30">
        <f>IFERROR(IF(D62="","",CEILING(E62/F57,1)),"")</f>
        <v/>
      </c>
      <c r="H62" s="30">
        <f>IFERROR(IF(D62="","",TEXT('Getting Started'!B7+(F62-1)*7,"MMM D")),"")</f>
        <v/>
      </c>
      <c r="I62" s="30">
        <f>IFERROR(IF(D62="","",TEXT('Getting Started'!B7+(G62)*7,"MMM D")),"")</f>
        <v/>
      </c>
      <c r="J62" s="34" t="n"/>
    </row>
    <row r="63" ht="18" customHeight="1">
      <c r="A63" s="33" t="n">
        <v>4</v>
      </c>
      <c r="B63" s="35" t="n"/>
      <c r="D63" s="36" t="n"/>
      <c r="E63" s="30">
        <f>IFERROR(SUM(D60:D63),"")</f>
        <v/>
      </c>
      <c r="F63" s="30">
        <f>IFERROR(IF(D63="","",FLOOR(E62/F57,1)+1),"")</f>
        <v/>
      </c>
      <c r="G63" s="30">
        <f>IFERROR(IF(D63="","",CEILING(E63/F57,1)),"")</f>
        <v/>
      </c>
      <c r="H63" s="30">
        <f>IFERROR(IF(D63="","",TEXT('Getting Started'!B7+(F63-1)*7,"MMM D")),"")</f>
        <v/>
      </c>
      <c r="I63" s="30">
        <f>IFERROR(IF(D63="","",TEXT('Getting Started'!B7+(G63)*7,"MMM D")),"")</f>
        <v/>
      </c>
      <c r="J63" s="34" t="n"/>
    </row>
    <row r="64" ht="18" customHeight="1">
      <c r="A64" s="33" t="n">
        <v>5</v>
      </c>
      <c r="B64" s="27" t="n"/>
      <c r="D64" s="34" t="n"/>
      <c r="E64" s="30">
        <f>IFERROR(SUM(D60:D64),"")</f>
        <v/>
      </c>
      <c r="F64" s="30">
        <f>IFERROR(IF(D64="","",FLOOR(E63/F57,1)+1),"")</f>
        <v/>
      </c>
      <c r="G64" s="30">
        <f>IFERROR(IF(D64="","",CEILING(E64/F57,1)),"")</f>
        <v/>
      </c>
      <c r="H64" s="30">
        <f>IFERROR(IF(D64="","",TEXT('Getting Started'!B7+(F64-1)*7,"MMM D")),"")</f>
        <v/>
      </c>
      <c r="I64" s="30">
        <f>IFERROR(IF(D64="","",TEXT('Getting Started'!B7+(G64)*7,"MMM D")),"")</f>
        <v/>
      </c>
      <c r="J64" s="34" t="n"/>
    </row>
    <row r="65" ht="18" customHeight="1">
      <c r="A65" s="33" t="n">
        <v>6</v>
      </c>
      <c r="B65" s="35" t="n"/>
      <c r="D65" s="36" t="n"/>
      <c r="E65" s="30">
        <f>IFERROR(SUM(D60:D65),"")</f>
        <v/>
      </c>
      <c r="F65" s="30">
        <f>IFERROR(IF(D65="","",FLOOR(E64/F57,1)+1),"")</f>
        <v/>
      </c>
      <c r="G65" s="30">
        <f>IFERROR(IF(D65="","",CEILING(E65/F57,1)),"")</f>
        <v/>
      </c>
      <c r="H65" s="30">
        <f>IFERROR(IF(D65="","",TEXT('Getting Started'!B7+(F65-1)*7,"MMM D")),"")</f>
        <v/>
      </c>
      <c r="I65" s="30">
        <f>IFERROR(IF(D65="","",TEXT('Getting Started'!B7+(G65)*7,"MMM D")),"")</f>
        <v/>
      </c>
      <c r="J65" s="34" t="n"/>
    </row>
    <row r="66" ht="20" customHeight="1">
      <c r="A66" s="45" t="inlineStr">
        <is>
          <t>Notes:</t>
        </is>
      </c>
      <c r="B66" s="37" t="n"/>
    </row>
    <row r="67" ht="24" customHeight="1">
      <c r="A67" s="46" t="inlineStr">
        <is>
          <t xml:space="preserve">  SCIENCE</t>
        </is>
      </c>
    </row>
    <row r="68" ht="20" customHeight="1">
      <c r="A68" s="47" t="inlineStr">
        <is>
          <t>Curriculum / Title:</t>
        </is>
      </c>
      <c r="B68" s="27" t="n"/>
      <c r="F68" s="47" t="inlineStr">
        <is>
          <t>Unit type:</t>
        </is>
      </c>
      <c r="G68" s="27" t="inlineStr">
        <is>
          <t>pages</t>
        </is>
      </c>
      <c r="I68" s="28" t="inlineStr">
        <is>
          <t>← type: pages, lessons, chapters…</t>
        </is>
      </c>
      <c r="J68" s="29" t="n"/>
    </row>
    <row r="69" ht="22" customHeight="1">
      <c r="A69" s="47" t="inlineStr">
        <is>
          <t>Total Units:</t>
        </is>
      </c>
      <c r="B69" s="27" t="n"/>
      <c r="C69" s="47" t="inlineStr">
        <is>
          <t>School Weeks:</t>
        </is>
      </c>
      <c r="D69" s="30">
        <f>'Getting Started'!B9</f>
        <v/>
      </c>
      <c r="E69" s="47" t="inlineStr">
        <is>
          <t>Units / Week:</t>
        </is>
      </c>
      <c r="F69" s="12">
        <f>IFERROR(IF(B69="","",ROUND(B69/D69,1)),"")</f>
        <v/>
      </c>
      <c r="G69" s="47" t="inlineStr">
        <is>
          <t>Units / Day:</t>
        </is>
      </c>
      <c r="H69" s="12">
        <f>IFERROR(IF(F69="","",ROUND(F69/'Getting Started'!B10,1)),"")</f>
        <v/>
      </c>
      <c r="I69" s="47" t="inlineStr">
        <is>
          <t>Est. End Date:</t>
        </is>
      </c>
      <c r="J69" s="12">
        <f>IFERROR(IF(B69="","",TEXT('Getting Started'!B7+(B69/'Getting Started'!B10),"MMM D, YYYY")),"")</f>
        <v/>
      </c>
    </row>
    <row r="70" ht="18" customHeight="1">
      <c r="A70" s="31" t="inlineStr">
        <is>
          <t xml:space="preserve">  Optional: Component / Volume Breakdown  (fill in if curriculum has multiple books or parts)</t>
        </is>
      </c>
    </row>
    <row r="71" ht="18" customHeight="1">
      <c r="A71" s="32" t="inlineStr">
        <is>
          <t>#</t>
        </is>
      </c>
      <c r="B71" s="32" t="inlineStr">
        <is>
          <t>Component / Book Title</t>
        </is>
      </c>
      <c r="C71" s="29" t="n"/>
      <c r="D71" s="32" t="inlineStr">
        <is>
          <t>Total Units
in Component</t>
        </is>
      </c>
      <c r="E71" s="32" t="inlineStr">
        <is>
          <t>Cumulative
Units</t>
        </is>
      </c>
      <c r="F71" s="32" t="inlineStr">
        <is>
          <t>Start
Week</t>
        </is>
      </c>
      <c r="G71" s="32" t="inlineStr">
        <is>
          <t>End
Week</t>
        </is>
      </c>
      <c r="H71" s="32" t="inlineStr">
        <is>
          <t>Start
Date</t>
        </is>
      </c>
      <c r="I71" s="32" t="inlineStr">
        <is>
          <t>End
Date</t>
        </is>
      </c>
      <c r="J71" s="32" t="inlineStr">
        <is>
          <t>Complete?</t>
        </is>
      </c>
    </row>
    <row r="72" ht="18" customHeight="1">
      <c r="A72" s="33" t="n">
        <v>1</v>
      </c>
      <c r="B72" s="27" t="n"/>
      <c r="D72" s="34" t="n"/>
      <c r="E72" s="30">
        <f>IFERROR(SUM(D72:D72),"")</f>
        <v/>
      </c>
      <c r="F72" s="30">
        <f>IF(D72="","",1)</f>
        <v/>
      </c>
      <c r="G72" s="30">
        <f>IFERROR(IF(D72="","",CEILING(E72/F69,1)),"")</f>
        <v/>
      </c>
      <c r="H72" s="30">
        <f>IFERROR(IF(D72="","",TEXT('Getting Started'!B7+(F72-1)*7,"MMM D")),"")</f>
        <v/>
      </c>
      <c r="I72" s="30">
        <f>IFERROR(IF(D72="","",TEXT('Getting Started'!B7+(G72)*7,"MMM D")),"")</f>
        <v/>
      </c>
      <c r="J72" s="34" t="n"/>
    </row>
    <row r="73" ht="18" customHeight="1">
      <c r="A73" s="33" t="n">
        <v>2</v>
      </c>
      <c r="B73" s="35" t="n"/>
      <c r="D73" s="36" t="n"/>
      <c r="E73" s="30">
        <f>IFERROR(SUM(D72:D73),"")</f>
        <v/>
      </c>
      <c r="F73" s="30">
        <f>IFERROR(IF(D73="","",FLOOR(E72/F69,1)+1),"")</f>
        <v/>
      </c>
      <c r="G73" s="30">
        <f>IFERROR(IF(D73="","",CEILING(E73/F69,1)),"")</f>
        <v/>
      </c>
      <c r="H73" s="30">
        <f>IFERROR(IF(D73="","",TEXT('Getting Started'!B7+(F73-1)*7,"MMM D")),"")</f>
        <v/>
      </c>
      <c r="I73" s="30">
        <f>IFERROR(IF(D73="","",TEXT('Getting Started'!B7+(G73)*7,"MMM D")),"")</f>
        <v/>
      </c>
      <c r="J73" s="34" t="n"/>
    </row>
    <row r="74" ht="18" customHeight="1">
      <c r="A74" s="33" t="n">
        <v>3</v>
      </c>
      <c r="B74" s="27" t="n"/>
      <c r="D74" s="34" t="n"/>
      <c r="E74" s="30">
        <f>IFERROR(SUM(D72:D74),"")</f>
        <v/>
      </c>
      <c r="F74" s="30">
        <f>IFERROR(IF(D74="","",FLOOR(E73/F69,1)+1),"")</f>
        <v/>
      </c>
      <c r="G74" s="30">
        <f>IFERROR(IF(D74="","",CEILING(E74/F69,1)),"")</f>
        <v/>
      </c>
      <c r="H74" s="30">
        <f>IFERROR(IF(D74="","",TEXT('Getting Started'!B7+(F74-1)*7,"MMM D")),"")</f>
        <v/>
      </c>
      <c r="I74" s="30">
        <f>IFERROR(IF(D74="","",TEXT('Getting Started'!B7+(G74)*7,"MMM D")),"")</f>
        <v/>
      </c>
      <c r="J74" s="34" t="n"/>
    </row>
    <row r="75" ht="18" customHeight="1">
      <c r="A75" s="33" t="n">
        <v>4</v>
      </c>
      <c r="B75" s="35" t="n"/>
      <c r="D75" s="36" t="n"/>
      <c r="E75" s="30">
        <f>IFERROR(SUM(D72:D75),"")</f>
        <v/>
      </c>
      <c r="F75" s="30">
        <f>IFERROR(IF(D75="","",FLOOR(E74/F69,1)+1),"")</f>
        <v/>
      </c>
      <c r="G75" s="30">
        <f>IFERROR(IF(D75="","",CEILING(E75/F69,1)),"")</f>
        <v/>
      </c>
      <c r="H75" s="30">
        <f>IFERROR(IF(D75="","",TEXT('Getting Started'!B7+(F75-1)*7,"MMM D")),"")</f>
        <v/>
      </c>
      <c r="I75" s="30">
        <f>IFERROR(IF(D75="","",TEXT('Getting Started'!B7+(G75)*7,"MMM D")),"")</f>
        <v/>
      </c>
      <c r="J75" s="34" t="n"/>
    </row>
    <row r="76" ht="18" customHeight="1">
      <c r="A76" s="33" t="n">
        <v>5</v>
      </c>
      <c r="B76" s="27" t="n"/>
      <c r="D76" s="34" t="n"/>
      <c r="E76" s="30">
        <f>IFERROR(SUM(D72:D76),"")</f>
        <v/>
      </c>
      <c r="F76" s="30">
        <f>IFERROR(IF(D76="","",FLOOR(E75/F69,1)+1),"")</f>
        <v/>
      </c>
      <c r="G76" s="30">
        <f>IFERROR(IF(D76="","",CEILING(E76/F69,1)),"")</f>
        <v/>
      </c>
      <c r="H76" s="30">
        <f>IFERROR(IF(D76="","",TEXT('Getting Started'!B7+(F76-1)*7,"MMM D")),"")</f>
        <v/>
      </c>
      <c r="I76" s="30">
        <f>IFERROR(IF(D76="","",TEXT('Getting Started'!B7+(G76)*7,"MMM D")),"")</f>
        <v/>
      </c>
      <c r="J76" s="34" t="n"/>
    </row>
    <row r="77" ht="18" customHeight="1">
      <c r="A77" s="33" t="n">
        <v>6</v>
      </c>
      <c r="B77" s="35" t="n"/>
      <c r="D77" s="36" t="n"/>
      <c r="E77" s="30">
        <f>IFERROR(SUM(D72:D77),"")</f>
        <v/>
      </c>
      <c r="F77" s="30">
        <f>IFERROR(IF(D77="","",FLOOR(E76/F69,1)+1),"")</f>
        <v/>
      </c>
      <c r="G77" s="30">
        <f>IFERROR(IF(D77="","",CEILING(E77/F69,1)),"")</f>
        <v/>
      </c>
      <c r="H77" s="30">
        <f>IFERROR(IF(D77="","",TEXT('Getting Started'!B7+(F77-1)*7,"MMM D")),"")</f>
        <v/>
      </c>
      <c r="I77" s="30">
        <f>IFERROR(IF(D77="","",TEXT('Getting Started'!B7+(G77)*7,"MMM D")),"")</f>
        <v/>
      </c>
      <c r="J77" s="34" t="n"/>
    </row>
    <row r="78" ht="20" customHeight="1">
      <c r="A78" s="47" t="inlineStr">
        <is>
          <t>Notes:</t>
        </is>
      </c>
      <c r="B78" s="37" t="n"/>
    </row>
    <row r="79" ht="24" customHeight="1">
      <c r="A79" s="48" t="inlineStr">
        <is>
          <t xml:space="preserve">  SOCIAL STUDIES / HISTORY</t>
        </is>
      </c>
    </row>
    <row r="80" ht="20" customHeight="1">
      <c r="A80" s="49" t="inlineStr">
        <is>
          <t>Curriculum / Title:</t>
        </is>
      </c>
      <c r="B80" s="27" t="n"/>
      <c r="F80" s="49" t="inlineStr">
        <is>
          <t>Unit type:</t>
        </is>
      </c>
      <c r="G80" s="27" t="inlineStr">
        <is>
          <t>pages</t>
        </is>
      </c>
      <c r="I80" s="28" t="inlineStr">
        <is>
          <t>← type: pages, lessons, chapters…</t>
        </is>
      </c>
      <c r="J80" s="29" t="n"/>
    </row>
    <row r="81" ht="22" customHeight="1">
      <c r="A81" s="49" t="inlineStr">
        <is>
          <t>Total Units:</t>
        </is>
      </c>
      <c r="B81" s="27" t="n"/>
      <c r="C81" s="49" t="inlineStr">
        <is>
          <t>School Weeks:</t>
        </is>
      </c>
      <c r="D81" s="30">
        <f>'Getting Started'!B9</f>
        <v/>
      </c>
      <c r="E81" s="49" t="inlineStr">
        <is>
          <t>Units / Week:</t>
        </is>
      </c>
      <c r="F81" s="12">
        <f>IFERROR(IF(B81="","",ROUND(B81/D81,1)),"")</f>
        <v/>
      </c>
      <c r="G81" s="49" t="inlineStr">
        <is>
          <t>Units / Day:</t>
        </is>
      </c>
      <c r="H81" s="12">
        <f>IFERROR(IF(F81="","",ROUND(F81/'Getting Started'!B10,1)),"")</f>
        <v/>
      </c>
      <c r="I81" s="49" t="inlineStr">
        <is>
          <t>Est. End Date:</t>
        </is>
      </c>
      <c r="J81" s="12">
        <f>IFERROR(IF(B81="","",TEXT('Getting Started'!B7+(B81/'Getting Started'!B10),"MMM D, YYYY")),"")</f>
        <v/>
      </c>
    </row>
    <row r="82" ht="18" customHeight="1">
      <c r="A82" s="31" t="inlineStr">
        <is>
          <t xml:space="preserve">  Optional: Component / Volume Breakdown  (fill in if curriculum has multiple books or parts)</t>
        </is>
      </c>
    </row>
    <row r="83" ht="18" customHeight="1">
      <c r="A83" s="32" t="inlineStr">
        <is>
          <t>#</t>
        </is>
      </c>
      <c r="B83" s="32" t="inlineStr">
        <is>
          <t>Component / Book Title</t>
        </is>
      </c>
      <c r="C83" s="29" t="n"/>
      <c r="D83" s="32" t="inlineStr">
        <is>
          <t>Total Units
in Component</t>
        </is>
      </c>
      <c r="E83" s="32" t="inlineStr">
        <is>
          <t>Cumulative
Units</t>
        </is>
      </c>
      <c r="F83" s="32" t="inlineStr">
        <is>
          <t>Start
Week</t>
        </is>
      </c>
      <c r="G83" s="32" t="inlineStr">
        <is>
          <t>End
Week</t>
        </is>
      </c>
      <c r="H83" s="32" t="inlineStr">
        <is>
          <t>Start
Date</t>
        </is>
      </c>
      <c r="I83" s="32" t="inlineStr">
        <is>
          <t>End
Date</t>
        </is>
      </c>
      <c r="J83" s="32" t="inlineStr">
        <is>
          <t>Complete?</t>
        </is>
      </c>
    </row>
    <row r="84" ht="18" customHeight="1">
      <c r="A84" s="33" t="n">
        <v>1</v>
      </c>
      <c r="B84" s="27" t="n"/>
      <c r="D84" s="34" t="n"/>
      <c r="E84" s="30">
        <f>IFERROR(SUM(D84:D84),"")</f>
        <v/>
      </c>
      <c r="F84" s="30">
        <f>IF(D84="","",1)</f>
        <v/>
      </c>
      <c r="G84" s="30">
        <f>IFERROR(IF(D84="","",CEILING(E84/F81,1)),"")</f>
        <v/>
      </c>
      <c r="H84" s="30">
        <f>IFERROR(IF(D84="","",TEXT('Getting Started'!B7+(F84-1)*7,"MMM D")),"")</f>
        <v/>
      </c>
      <c r="I84" s="30">
        <f>IFERROR(IF(D84="","",TEXT('Getting Started'!B7+(G84)*7,"MMM D")),"")</f>
        <v/>
      </c>
      <c r="J84" s="34" t="n"/>
    </row>
    <row r="85" ht="18" customHeight="1">
      <c r="A85" s="33" t="n">
        <v>2</v>
      </c>
      <c r="B85" s="35" t="n"/>
      <c r="D85" s="36" t="n"/>
      <c r="E85" s="30">
        <f>IFERROR(SUM(D84:D85),"")</f>
        <v/>
      </c>
      <c r="F85" s="30">
        <f>IFERROR(IF(D85="","",FLOOR(E84/F81,1)+1),"")</f>
        <v/>
      </c>
      <c r="G85" s="30">
        <f>IFERROR(IF(D85="","",CEILING(E85/F81,1)),"")</f>
        <v/>
      </c>
      <c r="H85" s="30">
        <f>IFERROR(IF(D85="","",TEXT('Getting Started'!B7+(F85-1)*7,"MMM D")),"")</f>
        <v/>
      </c>
      <c r="I85" s="30">
        <f>IFERROR(IF(D85="","",TEXT('Getting Started'!B7+(G85)*7,"MMM D")),"")</f>
        <v/>
      </c>
      <c r="J85" s="34" t="n"/>
    </row>
    <row r="86" ht="18" customHeight="1">
      <c r="A86" s="33" t="n">
        <v>3</v>
      </c>
      <c r="B86" s="27" t="n"/>
      <c r="D86" s="34" t="n"/>
      <c r="E86" s="30">
        <f>IFERROR(SUM(D84:D86),"")</f>
        <v/>
      </c>
      <c r="F86" s="30">
        <f>IFERROR(IF(D86="","",FLOOR(E85/F81,1)+1),"")</f>
        <v/>
      </c>
      <c r="G86" s="30">
        <f>IFERROR(IF(D86="","",CEILING(E86/F81,1)),"")</f>
        <v/>
      </c>
      <c r="H86" s="30">
        <f>IFERROR(IF(D86="","",TEXT('Getting Started'!B7+(F86-1)*7,"MMM D")),"")</f>
        <v/>
      </c>
      <c r="I86" s="30">
        <f>IFERROR(IF(D86="","",TEXT('Getting Started'!B7+(G86)*7,"MMM D")),"")</f>
        <v/>
      </c>
      <c r="J86" s="34" t="n"/>
    </row>
    <row r="87" ht="18" customHeight="1">
      <c r="A87" s="33" t="n">
        <v>4</v>
      </c>
      <c r="B87" s="35" t="n"/>
      <c r="D87" s="36" t="n"/>
      <c r="E87" s="30">
        <f>IFERROR(SUM(D84:D87),"")</f>
        <v/>
      </c>
      <c r="F87" s="30">
        <f>IFERROR(IF(D87="","",FLOOR(E86/F81,1)+1),"")</f>
        <v/>
      </c>
      <c r="G87" s="30">
        <f>IFERROR(IF(D87="","",CEILING(E87/F81,1)),"")</f>
        <v/>
      </c>
      <c r="H87" s="30">
        <f>IFERROR(IF(D87="","",TEXT('Getting Started'!B7+(F87-1)*7,"MMM D")),"")</f>
        <v/>
      </c>
      <c r="I87" s="30">
        <f>IFERROR(IF(D87="","",TEXT('Getting Started'!B7+(G87)*7,"MMM D")),"")</f>
        <v/>
      </c>
      <c r="J87" s="34" t="n"/>
    </row>
    <row r="88" ht="18" customHeight="1">
      <c r="A88" s="33" t="n">
        <v>5</v>
      </c>
      <c r="B88" s="27" t="n"/>
      <c r="D88" s="34" t="n"/>
      <c r="E88" s="30">
        <f>IFERROR(SUM(D84:D88),"")</f>
        <v/>
      </c>
      <c r="F88" s="30">
        <f>IFERROR(IF(D88="","",FLOOR(E87/F81,1)+1),"")</f>
        <v/>
      </c>
      <c r="G88" s="30">
        <f>IFERROR(IF(D88="","",CEILING(E88/F81,1)),"")</f>
        <v/>
      </c>
      <c r="H88" s="30">
        <f>IFERROR(IF(D88="","",TEXT('Getting Started'!B7+(F88-1)*7,"MMM D")),"")</f>
        <v/>
      </c>
      <c r="I88" s="30">
        <f>IFERROR(IF(D88="","",TEXT('Getting Started'!B7+(G88)*7,"MMM D")),"")</f>
        <v/>
      </c>
      <c r="J88" s="34" t="n"/>
    </row>
    <row r="89" ht="18" customHeight="1">
      <c r="A89" s="33" t="n">
        <v>6</v>
      </c>
      <c r="B89" s="35" t="n"/>
      <c r="D89" s="36" t="n"/>
      <c r="E89" s="30">
        <f>IFERROR(SUM(D84:D89),"")</f>
        <v/>
      </c>
      <c r="F89" s="30">
        <f>IFERROR(IF(D89="","",FLOOR(E88/F81,1)+1),"")</f>
        <v/>
      </c>
      <c r="G89" s="30">
        <f>IFERROR(IF(D89="","",CEILING(E89/F81,1)),"")</f>
        <v/>
      </c>
      <c r="H89" s="30">
        <f>IFERROR(IF(D89="","",TEXT('Getting Started'!B7+(F89-1)*7,"MMM D")),"")</f>
        <v/>
      </c>
      <c r="I89" s="30">
        <f>IFERROR(IF(D89="","",TEXT('Getting Started'!B7+(G89)*7,"MMM D")),"")</f>
        <v/>
      </c>
      <c r="J89" s="34" t="n"/>
    </row>
    <row r="90" ht="20" customHeight="1">
      <c r="A90" s="49" t="inlineStr">
        <is>
          <t>Notes:</t>
        </is>
      </c>
      <c r="B90" s="37" t="n"/>
    </row>
    <row r="91" ht="24" customHeight="1">
      <c r="A91" s="50" t="inlineStr">
        <is>
          <t xml:space="preserve">  HEALTH</t>
        </is>
      </c>
    </row>
    <row r="92" ht="20" customHeight="1">
      <c r="A92" s="51" t="inlineStr">
        <is>
          <t>Curriculum / Title:</t>
        </is>
      </c>
      <c r="B92" s="27" t="n"/>
      <c r="F92" s="51" t="inlineStr">
        <is>
          <t>Unit type:</t>
        </is>
      </c>
      <c r="G92" s="27" t="inlineStr">
        <is>
          <t>pages</t>
        </is>
      </c>
      <c r="I92" s="28" t="inlineStr">
        <is>
          <t>← type: pages, lessons, chapters…</t>
        </is>
      </c>
      <c r="J92" s="29" t="n"/>
    </row>
    <row r="93" ht="22" customHeight="1">
      <c r="A93" s="51" t="inlineStr">
        <is>
          <t>Total Units:</t>
        </is>
      </c>
      <c r="B93" s="27" t="n"/>
      <c r="C93" s="51" t="inlineStr">
        <is>
          <t>School Weeks:</t>
        </is>
      </c>
      <c r="D93" s="30">
        <f>'Getting Started'!B9</f>
        <v/>
      </c>
      <c r="E93" s="51" t="inlineStr">
        <is>
          <t>Units / Week:</t>
        </is>
      </c>
      <c r="F93" s="12">
        <f>IFERROR(IF(B93="","",ROUND(B93/D93,1)),"")</f>
        <v/>
      </c>
      <c r="G93" s="51" t="inlineStr">
        <is>
          <t>Units / Day:</t>
        </is>
      </c>
      <c r="H93" s="12">
        <f>IFERROR(IF(F93="","",ROUND(F93/'Getting Started'!B10,1)),"")</f>
        <v/>
      </c>
      <c r="I93" s="51" t="inlineStr">
        <is>
          <t>Est. End Date:</t>
        </is>
      </c>
      <c r="J93" s="12">
        <f>IFERROR(IF(B93="","",TEXT('Getting Started'!B7+(B93/'Getting Started'!B10),"MMM D, YYYY")),"")</f>
        <v/>
      </c>
    </row>
    <row r="94" ht="18" customHeight="1">
      <c r="A94" s="31" t="inlineStr">
        <is>
          <t xml:space="preserve">  Optional: Component / Volume Breakdown  (fill in if curriculum has multiple books or parts)</t>
        </is>
      </c>
    </row>
    <row r="95" ht="18" customHeight="1">
      <c r="A95" s="32" t="inlineStr">
        <is>
          <t>#</t>
        </is>
      </c>
      <c r="B95" s="32" t="inlineStr">
        <is>
          <t>Component / Book Title</t>
        </is>
      </c>
      <c r="C95" s="29" t="n"/>
      <c r="D95" s="32" t="inlineStr">
        <is>
          <t>Total Units
in Component</t>
        </is>
      </c>
      <c r="E95" s="32" t="inlineStr">
        <is>
          <t>Cumulative
Units</t>
        </is>
      </c>
      <c r="F95" s="32" t="inlineStr">
        <is>
          <t>Start
Week</t>
        </is>
      </c>
      <c r="G95" s="32" t="inlineStr">
        <is>
          <t>End
Week</t>
        </is>
      </c>
      <c r="H95" s="32" t="inlineStr">
        <is>
          <t>Start
Date</t>
        </is>
      </c>
      <c r="I95" s="32" t="inlineStr">
        <is>
          <t>End
Date</t>
        </is>
      </c>
      <c r="J95" s="32" t="inlineStr">
        <is>
          <t>Complete?</t>
        </is>
      </c>
    </row>
    <row r="96" ht="18" customHeight="1">
      <c r="A96" s="33" t="n">
        <v>1</v>
      </c>
      <c r="B96" s="27" t="n"/>
      <c r="D96" s="34" t="n"/>
      <c r="E96" s="30">
        <f>IFERROR(SUM(D96:D96),"")</f>
        <v/>
      </c>
      <c r="F96" s="30">
        <f>IF(D96="","",1)</f>
        <v/>
      </c>
      <c r="G96" s="30">
        <f>IFERROR(IF(D96="","",CEILING(E96/F93,1)),"")</f>
        <v/>
      </c>
      <c r="H96" s="30">
        <f>IFERROR(IF(D96="","",TEXT('Getting Started'!B7+(F96-1)*7,"MMM D")),"")</f>
        <v/>
      </c>
      <c r="I96" s="30">
        <f>IFERROR(IF(D96="","",TEXT('Getting Started'!B7+(G96)*7,"MMM D")),"")</f>
        <v/>
      </c>
      <c r="J96" s="34" t="n"/>
    </row>
    <row r="97" ht="18" customHeight="1">
      <c r="A97" s="33" t="n">
        <v>2</v>
      </c>
      <c r="B97" s="35" t="n"/>
      <c r="D97" s="36" t="n"/>
      <c r="E97" s="30">
        <f>IFERROR(SUM(D96:D97),"")</f>
        <v/>
      </c>
      <c r="F97" s="30">
        <f>IFERROR(IF(D97="","",FLOOR(E96/F93,1)+1),"")</f>
        <v/>
      </c>
      <c r="G97" s="30">
        <f>IFERROR(IF(D97="","",CEILING(E97/F93,1)),"")</f>
        <v/>
      </c>
      <c r="H97" s="30">
        <f>IFERROR(IF(D97="","",TEXT('Getting Started'!B7+(F97-1)*7,"MMM D")),"")</f>
        <v/>
      </c>
      <c r="I97" s="30">
        <f>IFERROR(IF(D97="","",TEXT('Getting Started'!B7+(G97)*7,"MMM D")),"")</f>
        <v/>
      </c>
      <c r="J97" s="34" t="n"/>
    </row>
    <row r="98" ht="18" customHeight="1">
      <c r="A98" s="33" t="n">
        <v>3</v>
      </c>
      <c r="B98" s="27" t="n"/>
      <c r="D98" s="34" t="n"/>
      <c r="E98" s="30">
        <f>IFERROR(SUM(D96:D98),"")</f>
        <v/>
      </c>
      <c r="F98" s="30">
        <f>IFERROR(IF(D98="","",FLOOR(E97/F93,1)+1),"")</f>
        <v/>
      </c>
      <c r="G98" s="30">
        <f>IFERROR(IF(D98="","",CEILING(E98/F93,1)),"")</f>
        <v/>
      </c>
      <c r="H98" s="30">
        <f>IFERROR(IF(D98="","",TEXT('Getting Started'!B7+(F98-1)*7,"MMM D")),"")</f>
        <v/>
      </c>
      <c r="I98" s="30">
        <f>IFERROR(IF(D98="","",TEXT('Getting Started'!B7+(G98)*7,"MMM D")),"")</f>
        <v/>
      </c>
      <c r="J98" s="34" t="n"/>
    </row>
    <row r="99" ht="18" customHeight="1">
      <c r="A99" s="33" t="n">
        <v>4</v>
      </c>
      <c r="B99" s="35" t="n"/>
      <c r="D99" s="36" t="n"/>
      <c r="E99" s="30">
        <f>IFERROR(SUM(D96:D99),"")</f>
        <v/>
      </c>
      <c r="F99" s="30">
        <f>IFERROR(IF(D99="","",FLOOR(E98/F93,1)+1),"")</f>
        <v/>
      </c>
      <c r="G99" s="30">
        <f>IFERROR(IF(D99="","",CEILING(E99/F93,1)),"")</f>
        <v/>
      </c>
      <c r="H99" s="30">
        <f>IFERROR(IF(D99="","",TEXT('Getting Started'!B7+(F99-1)*7,"MMM D")),"")</f>
        <v/>
      </c>
      <c r="I99" s="30">
        <f>IFERROR(IF(D99="","",TEXT('Getting Started'!B7+(G99)*7,"MMM D")),"")</f>
        <v/>
      </c>
      <c r="J99" s="34" t="n"/>
    </row>
    <row r="100" ht="18" customHeight="1">
      <c r="A100" s="33" t="n">
        <v>5</v>
      </c>
      <c r="B100" s="27" t="n"/>
      <c r="D100" s="34" t="n"/>
      <c r="E100" s="30">
        <f>IFERROR(SUM(D96:D100),"")</f>
        <v/>
      </c>
      <c r="F100" s="30">
        <f>IFERROR(IF(D100="","",FLOOR(E99/F93,1)+1),"")</f>
        <v/>
      </c>
      <c r="G100" s="30">
        <f>IFERROR(IF(D100="","",CEILING(E100/F93,1)),"")</f>
        <v/>
      </c>
      <c r="H100" s="30">
        <f>IFERROR(IF(D100="","",TEXT('Getting Started'!B7+(F100-1)*7,"MMM D")),"")</f>
        <v/>
      </c>
      <c r="I100" s="30">
        <f>IFERROR(IF(D100="","",TEXT('Getting Started'!B7+(G100)*7,"MMM D")),"")</f>
        <v/>
      </c>
      <c r="J100" s="34" t="n"/>
    </row>
    <row r="101" ht="18" customHeight="1">
      <c r="A101" s="33" t="n">
        <v>6</v>
      </c>
      <c r="B101" s="35" t="n"/>
      <c r="D101" s="36" t="n"/>
      <c r="E101" s="30">
        <f>IFERROR(SUM(D96:D101),"")</f>
        <v/>
      </c>
      <c r="F101" s="30">
        <f>IFERROR(IF(D101="","",FLOOR(E100/F93,1)+1),"")</f>
        <v/>
      </c>
      <c r="G101" s="30">
        <f>IFERROR(IF(D101="","",CEILING(E101/F93,1)),"")</f>
        <v/>
      </c>
      <c r="H101" s="30">
        <f>IFERROR(IF(D101="","",TEXT('Getting Started'!B7+(F101-1)*7,"MMM D")),"")</f>
        <v/>
      </c>
      <c r="I101" s="30">
        <f>IFERROR(IF(D101="","",TEXT('Getting Started'!B7+(G101)*7,"MMM D")),"")</f>
        <v/>
      </c>
      <c r="J101" s="34" t="n"/>
    </row>
    <row r="102" ht="20" customHeight="1">
      <c r="A102" s="51" t="inlineStr">
        <is>
          <t>Notes:</t>
        </is>
      </c>
      <c r="B102" s="37" t="n"/>
    </row>
    <row r="103" ht="24" customHeight="1">
      <c r="A103" s="52" t="inlineStr">
        <is>
          <t xml:space="preserve">  PHYSICAL EDUCATION</t>
        </is>
      </c>
    </row>
    <row r="104" ht="20" customHeight="1">
      <c r="A104" s="53" t="inlineStr">
        <is>
          <t>Curriculum / Title:</t>
        </is>
      </c>
      <c r="B104" s="27" t="n"/>
      <c r="F104" s="53" t="inlineStr">
        <is>
          <t>Unit type:</t>
        </is>
      </c>
      <c r="G104" s="27" t="inlineStr">
        <is>
          <t>pages</t>
        </is>
      </c>
      <c r="I104" s="28" t="inlineStr">
        <is>
          <t>← type: pages, lessons, chapters…</t>
        </is>
      </c>
      <c r="J104" s="29" t="n"/>
    </row>
    <row r="105" ht="22" customHeight="1">
      <c r="A105" s="53" t="inlineStr">
        <is>
          <t>Total Units:</t>
        </is>
      </c>
      <c r="B105" s="27" t="n"/>
      <c r="C105" s="53" t="inlineStr">
        <is>
          <t>School Weeks:</t>
        </is>
      </c>
      <c r="D105" s="30">
        <f>'Getting Started'!B9</f>
        <v/>
      </c>
      <c r="E105" s="53" t="inlineStr">
        <is>
          <t>Units / Week:</t>
        </is>
      </c>
      <c r="F105" s="12">
        <f>IFERROR(IF(B105="","",ROUND(B105/D105,1)),"")</f>
        <v/>
      </c>
      <c r="G105" s="53" t="inlineStr">
        <is>
          <t>Units / Day:</t>
        </is>
      </c>
      <c r="H105" s="12">
        <f>IFERROR(IF(F105="","",ROUND(F105/'Getting Started'!B10,1)),"")</f>
        <v/>
      </c>
      <c r="I105" s="53" t="inlineStr">
        <is>
          <t>Est. End Date:</t>
        </is>
      </c>
      <c r="J105" s="12">
        <f>IFERROR(IF(B105="","",TEXT('Getting Started'!B7+(B105/'Getting Started'!B10),"MMM D, YYYY")),"")</f>
        <v/>
      </c>
    </row>
    <row r="106" ht="18" customHeight="1">
      <c r="A106" s="31" t="inlineStr">
        <is>
          <t xml:space="preserve">  Optional: Component / Volume Breakdown  (fill in if curriculum has multiple books or parts)</t>
        </is>
      </c>
    </row>
    <row r="107" ht="18" customHeight="1">
      <c r="A107" s="32" t="inlineStr">
        <is>
          <t>#</t>
        </is>
      </c>
      <c r="B107" s="32" t="inlineStr">
        <is>
          <t>Component / Book Title</t>
        </is>
      </c>
      <c r="C107" s="29" t="n"/>
      <c r="D107" s="32" t="inlineStr">
        <is>
          <t>Total Units
in Component</t>
        </is>
      </c>
      <c r="E107" s="32" t="inlineStr">
        <is>
          <t>Cumulative
Units</t>
        </is>
      </c>
      <c r="F107" s="32" t="inlineStr">
        <is>
          <t>Start
Week</t>
        </is>
      </c>
      <c r="G107" s="32" t="inlineStr">
        <is>
          <t>End
Week</t>
        </is>
      </c>
      <c r="H107" s="32" t="inlineStr">
        <is>
          <t>Start
Date</t>
        </is>
      </c>
      <c r="I107" s="32" t="inlineStr">
        <is>
          <t>End
Date</t>
        </is>
      </c>
      <c r="J107" s="32" t="inlineStr">
        <is>
          <t>Complete?</t>
        </is>
      </c>
    </row>
    <row r="108" ht="18" customHeight="1">
      <c r="A108" s="33" t="n">
        <v>1</v>
      </c>
      <c r="B108" s="27" t="n"/>
      <c r="D108" s="34" t="n"/>
      <c r="E108" s="30">
        <f>IFERROR(SUM(D108:D108),"")</f>
        <v/>
      </c>
      <c r="F108" s="30">
        <f>IF(D108="","",1)</f>
        <v/>
      </c>
      <c r="G108" s="30">
        <f>IFERROR(IF(D108="","",CEILING(E108/F105,1)),"")</f>
        <v/>
      </c>
      <c r="H108" s="30">
        <f>IFERROR(IF(D108="","",TEXT('Getting Started'!B7+(F108-1)*7,"MMM D")),"")</f>
        <v/>
      </c>
      <c r="I108" s="30">
        <f>IFERROR(IF(D108="","",TEXT('Getting Started'!B7+(G108)*7,"MMM D")),"")</f>
        <v/>
      </c>
      <c r="J108" s="34" t="n"/>
    </row>
    <row r="109" ht="18" customHeight="1">
      <c r="A109" s="33" t="n">
        <v>2</v>
      </c>
      <c r="B109" s="35" t="n"/>
      <c r="D109" s="36" t="n"/>
      <c r="E109" s="30">
        <f>IFERROR(SUM(D108:D109),"")</f>
        <v/>
      </c>
      <c r="F109" s="30">
        <f>IFERROR(IF(D109="","",FLOOR(E108/F105,1)+1),"")</f>
        <v/>
      </c>
      <c r="G109" s="30">
        <f>IFERROR(IF(D109="","",CEILING(E109/F105,1)),"")</f>
        <v/>
      </c>
      <c r="H109" s="30">
        <f>IFERROR(IF(D109="","",TEXT('Getting Started'!B7+(F109-1)*7,"MMM D")),"")</f>
        <v/>
      </c>
      <c r="I109" s="30">
        <f>IFERROR(IF(D109="","",TEXT('Getting Started'!B7+(G109)*7,"MMM D")),"")</f>
        <v/>
      </c>
      <c r="J109" s="34" t="n"/>
    </row>
    <row r="110" ht="18" customHeight="1">
      <c r="A110" s="33" t="n">
        <v>3</v>
      </c>
      <c r="B110" s="27" t="n"/>
      <c r="D110" s="34" t="n"/>
      <c r="E110" s="30">
        <f>IFERROR(SUM(D108:D110),"")</f>
        <v/>
      </c>
      <c r="F110" s="30">
        <f>IFERROR(IF(D110="","",FLOOR(E109/F105,1)+1),"")</f>
        <v/>
      </c>
      <c r="G110" s="30">
        <f>IFERROR(IF(D110="","",CEILING(E110/F105,1)),"")</f>
        <v/>
      </c>
      <c r="H110" s="30">
        <f>IFERROR(IF(D110="","",TEXT('Getting Started'!B7+(F110-1)*7,"MMM D")),"")</f>
        <v/>
      </c>
      <c r="I110" s="30">
        <f>IFERROR(IF(D110="","",TEXT('Getting Started'!B7+(G110)*7,"MMM D")),"")</f>
        <v/>
      </c>
      <c r="J110" s="34" t="n"/>
    </row>
    <row r="111" ht="18" customHeight="1">
      <c r="A111" s="33" t="n">
        <v>4</v>
      </c>
      <c r="B111" s="35" t="n"/>
      <c r="D111" s="36" t="n"/>
      <c r="E111" s="30">
        <f>IFERROR(SUM(D108:D111),"")</f>
        <v/>
      </c>
      <c r="F111" s="30">
        <f>IFERROR(IF(D111="","",FLOOR(E110/F105,1)+1),"")</f>
        <v/>
      </c>
      <c r="G111" s="30">
        <f>IFERROR(IF(D111="","",CEILING(E111/F105,1)),"")</f>
        <v/>
      </c>
      <c r="H111" s="30">
        <f>IFERROR(IF(D111="","",TEXT('Getting Started'!B7+(F111-1)*7,"MMM D")),"")</f>
        <v/>
      </c>
      <c r="I111" s="30">
        <f>IFERROR(IF(D111="","",TEXT('Getting Started'!B7+(G111)*7,"MMM D")),"")</f>
        <v/>
      </c>
      <c r="J111" s="34" t="n"/>
    </row>
    <row r="112" ht="18" customHeight="1">
      <c r="A112" s="33" t="n">
        <v>5</v>
      </c>
      <c r="B112" s="27" t="n"/>
      <c r="D112" s="34" t="n"/>
      <c r="E112" s="30">
        <f>IFERROR(SUM(D108:D112),"")</f>
        <v/>
      </c>
      <c r="F112" s="30">
        <f>IFERROR(IF(D112="","",FLOOR(E111/F105,1)+1),"")</f>
        <v/>
      </c>
      <c r="G112" s="30">
        <f>IFERROR(IF(D112="","",CEILING(E112/F105,1)),"")</f>
        <v/>
      </c>
      <c r="H112" s="30">
        <f>IFERROR(IF(D112="","",TEXT('Getting Started'!B7+(F112-1)*7,"MMM D")),"")</f>
        <v/>
      </c>
      <c r="I112" s="30">
        <f>IFERROR(IF(D112="","",TEXT('Getting Started'!B7+(G112)*7,"MMM D")),"")</f>
        <v/>
      </c>
      <c r="J112" s="34" t="n"/>
    </row>
    <row r="113" ht="18" customHeight="1">
      <c r="A113" s="33" t="n">
        <v>6</v>
      </c>
      <c r="B113" s="35" t="n"/>
      <c r="D113" s="36" t="n"/>
      <c r="E113" s="30">
        <f>IFERROR(SUM(D108:D113),"")</f>
        <v/>
      </c>
      <c r="F113" s="30">
        <f>IFERROR(IF(D113="","",FLOOR(E112/F105,1)+1),"")</f>
        <v/>
      </c>
      <c r="G113" s="30">
        <f>IFERROR(IF(D113="","",CEILING(E113/F105,1)),"")</f>
        <v/>
      </c>
      <c r="H113" s="30">
        <f>IFERROR(IF(D113="","",TEXT('Getting Started'!B7+(F113-1)*7,"MMM D")),"")</f>
        <v/>
      </c>
      <c r="I113" s="30">
        <f>IFERROR(IF(D113="","",TEXT('Getting Started'!B7+(G113)*7,"MMM D")),"")</f>
        <v/>
      </c>
      <c r="J113" s="34" t="n"/>
    </row>
    <row r="114" ht="20" customHeight="1">
      <c r="A114" s="53" t="inlineStr">
        <is>
          <t>Notes:</t>
        </is>
      </c>
      <c r="B114" s="37" t="n"/>
    </row>
    <row r="115" ht="24" customHeight="1">
      <c r="A115" s="54" t="inlineStr">
        <is>
          <t xml:space="preserve">  ART / MUSIC</t>
        </is>
      </c>
    </row>
    <row r="116" ht="20" customHeight="1">
      <c r="A116" s="55" t="inlineStr">
        <is>
          <t>Curriculum / Title:</t>
        </is>
      </c>
      <c r="B116" s="27" t="n"/>
      <c r="F116" s="55" t="inlineStr">
        <is>
          <t>Unit type:</t>
        </is>
      </c>
      <c r="G116" s="27" t="inlineStr">
        <is>
          <t>pages</t>
        </is>
      </c>
      <c r="I116" s="28" t="inlineStr">
        <is>
          <t>← type: pages, lessons, chapters…</t>
        </is>
      </c>
      <c r="J116" s="29" t="n"/>
    </row>
    <row r="117" ht="22" customHeight="1">
      <c r="A117" s="55" t="inlineStr">
        <is>
          <t>Total Units:</t>
        </is>
      </c>
      <c r="B117" s="27" t="n"/>
      <c r="C117" s="55" t="inlineStr">
        <is>
          <t>School Weeks:</t>
        </is>
      </c>
      <c r="D117" s="30">
        <f>'Getting Started'!B9</f>
        <v/>
      </c>
      <c r="E117" s="55" t="inlineStr">
        <is>
          <t>Units / Week:</t>
        </is>
      </c>
      <c r="F117" s="12">
        <f>IFERROR(IF(B117="","",ROUND(B117/D117,1)),"")</f>
        <v/>
      </c>
      <c r="G117" s="55" t="inlineStr">
        <is>
          <t>Units / Day:</t>
        </is>
      </c>
      <c r="H117" s="12">
        <f>IFERROR(IF(F117="","",ROUND(F117/'Getting Started'!B10,1)),"")</f>
        <v/>
      </c>
      <c r="I117" s="55" t="inlineStr">
        <is>
          <t>Est. End Date:</t>
        </is>
      </c>
      <c r="J117" s="12">
        <f>IFERROR(IF(B117="","",TEXT('Getting Started'!B7+(B117/'Getting Started'!B10),"MMM D, YYYY")),"")</f>
        <v/>
      </c>
    </row>
    <row r="118" ht="18" customHeight="1">
      <c r="A118" s="31" t="inlineStr">
        <is>
          <t xml:space="preserve">  Optional: Component / Volume Breakdown  (fill in if curriculum has multiple books or parts)</t>
        </is>
      </c>
    </row>
    <row r="119" ht="18" customHeight="1">
      <c r="A119" s="32" t="inlineStr">
        <is>
          <t>#</t>
        </is>
      </c>
      <c r="B119" s="32" t="inlineStr">
        <is>
          <t>Component / Book Title</t>
        </is>
      </c>
      <c r="C119" s="29" t="n"/>
      <c r="D119" s="32" t="inlineStr">
        <is>
          <t>Total Units
in Component</t>
        </is>
      </c>
      <c r="E119" s="32" t="inlineStr">
        <is>
          <t>Cumulative
Units</t>
        </is>
      </c>
      <c r="F119" s="32" t="inlineStr">
        <is>
          <t>Start
Week</t>
        </is>
      </c>
      <c r="G119" s="32" t="inlineStr">
        <is>
          <t>End
Week</t>
        </is>
      </c>
      <c r="H119" s="32" t="inlineStr">
        <is>
          <t>Start
Date</t>
        </is>
      </c>
      <c r="I119" s="32" t="inlineStr">
        <is>
          <t>End
Date</t>
        </is>
      </c>
      <c r="J119" s="32" t="inlineStr">
        <is>
          <t>Complete?</t>
        </is>
      </c>
    </row>
    <row r="120" ht="18" customHeight="1">
      <c r="A120" s="33" t="n">
        <v>1</v>
      </c>
      <c r="B120" s="27" t="n"/>
      <c r="D120" s="34" t="n"/>
      <c r="E120" s="30">
        <f>IFERROR(SUM(D120:D120),"")</f>
        <v/>
      </c>
      <c r="F120" s="30">
        <f>IF(D120="","",1)</f>
        <v/>
      </c>
      <c r="G120" s="30">
        <f>IFERROR(IF(D120="","",CEILING(E120/F117,1)),"")</f>
        <v/>
      </c>
      <c r="H120" s="30">
        <f>IFERROR(IF(D120="","",TEXT('Getting Started'!B7+(F120-1)*7,"MMM D")),"")</f>
        <v/>
      </c>
      <c r="I120" s="30">
        <f>IFERROR(IF(D120="","",TEXT('Getting Started'!B7+(G120)*7,"MMM D")),"")</f>
        <v/>
      </c>
      <c r="J120" s="34" t="n"/>
    </row>
    <row r="121" ht="18" customHeight="1">
      <c r="A121" s="33" t="n">
        <v>2</v>
      </c>
      <c r="B121" s="35" t="n"/>
      <c r="D121" s="36" t="n"/>
      <c r="E121" s="30">
        <f>IFERROR(SUM(D120:D121),"")</f>
        <v/>
      </c>
      <c r="F121" s="30">
        <f>IFERROR(IF(D121="","",FLOOR(E120/F117,1)+1),"")</f>
        <v/>
      </c>
      <c r="G121" s="30">
        <f>IFERROR(IF(D121="","",CEILING(E121/F117,1)),"")</f>
        <v/>
      </c>
      <c r="H121" s="30">
        <f>IFERROR(IF(D121="","",TEXT('Getting Started'!B7+(F121-1)*7,"MMM D")),"")</f>
        <v/>
      </c>
      <c r="I121" s="30">
        <f>IFERROR(IF(D121="","",TEXT('Getting Started'!B7+(G121)*7,"MMM D")),"")</f>
        <v/>
      </c>
      <c r="J121" s="34" t="n"/>
    </row>
    <row r="122" ht="18" customHeight="1">
      <c r="A122" s="33" t="n">
        <v>3</v>
      </c>
      <c r="B122" s="27" t="n"/>
      <c r="D122" s="34" t="n"/>
      <c r="E122" s="30">
        <f>IFERROR(SUM(D120:D122),"")</f>
        <v/>
      </c>
      <c r="F122" s="30">
        <f>IFERROR(IF(D122="","",FLOOR(E121/F117,1)+1),"")</f>
        <v/>
      </c>
      <c r="G122" s="30">
        <f>IFERROR(IF(D122="","",CEILING(E122/F117,1)),"")</f>
        <v/>
      </c>
      <c r="H122" s="30">
        <f>IFERROR(IF(D122="","",TEXT('Getting Started'!B7+(F122-1)*7,"MMM D")),"")</f>
        <v/>
      </c>
      <c r="I122" s="30">
        <f>IFERROR(IF(D122="","",TEXT('Getting Started'!B7+(G122)*7,"MMM D")),"")</f>
        <v/>
      </c>
      <c r="J122" s="34" t="n"/>
    </row>
    <row r="123" ht="18" customHeight="1">
      <c r="A123" s="33" t="n">
        <v>4</v>
      </c>
      <c r="B123" s="35" t="n"/>
      <c r="D123" s="36" t="n"/>
      <c r="E123" s="30">
        <f>IFERROR(SUM(D120:D123),"")</f>
        <v/>
      </c>
      <c r="F123" s="30">
        <f>IFERROR(IF(D123="","",FLOOR(E122/F117,1)+1),"")</f>
        <v/>
      </c>
      <c r="G123" s="30">
        <f>IFERROR(IF(D123="","",CEILING(E123/F117,1)),"")</f>
        <v/>
      </c>
      <c r="H123" s="30">
        <f>IFERROR(IF(D123="","",TEXT('Getting Started'!B7+(F123-1)*7,"MMM D")),"")</f>
        <v/>
      </c>
      <c r="I123" s="30">
        <f>IFERROR(IF(D123="","",TEXT('Getting Started'!B7+(G123)*7,"MMM D")),"")</f>
        <v/>
      </c>
      <c r="J123" s="34" t="n"/>
    </row>
    <row r="124" ht="18" customHeight="1">
      <c r="A124" s="33" t="n">
        <v>5</v>
      </c>
      <c r="B124" s="27" t="n"/>
      <c r="D124" s="34" t="n"/>
      <c r="E124" s="30">
        <f>IFERROR(SUM(D120:D124),"")</f>
        <v/>
      </c>
      <c r="F124" s="30">
        <f>IFERROR(IF(D124="","",FLOOR(E123/F117,1)+1),"")</f>
        <v/>
      </c>
      <c r="G124" s="30">
        <f>IFERROR(IF(D124="","",CEILING(E124/F117,1)),"")</f>
        <v/>
      </c>
      <c r="H124" s="30">
        <f>IFERROR(IF(D124="","",TEXT('Getting Started'!B7+(F124-1)*7,"MMM D")),"")</f>
        <v/>
      </c>
      <c r="I124" s="30">
        <f>IFERROR(IF(D124="","",TEXT('Getting Started'!B7+(G124)*7,"MMM D")),"")</f>
        <v/>
      </c>
      <c r="J124" s="34" t="n"/>
    </row>
    <row r="125" ht="18" customHeight="1">
      <c r="A125" s="33" t="n">
        <v>6</v>
      </c>
      <c r="B125" s="35" t="n"/>
      <c r="D125" s="36" t="n"/>
      <c r="E125" s="30">
        <f>IFERROR(SUM(D120:D125),"")</f>
        <v/>
      </c>
      <c r="F125" s="30">
        <f>IFERROR(IF(D125="","",FLOOR(E124/F117,1)+1),"")</f>
        <v/>
      </c>
      <c r="G125" s="30">
        <f>IFERROR(IF(D125="","",CEILING(E125/F117,1)),"")</f>
        <v/>
      </c>
      <c r="H125" s="30">
        <f>IFERROR(IF(D125="","",TEXT('Getting Started'!B7+(F125-1)*7,"MMM D")),"")</f>
        <v/>
      </c>
      <c r="I125" s="30">
        <f>IFERROR(IF(D125="","",TEXT('Getting Started'!B7+(G125)*7,"MMM D")),"")</f>
        <v/>
      </c>
      <c r="J125" s="34" t="n"/>
    </row>
    <row r="126" ht="20" customHeight="1">
      <c r="A126" s="55" t="inlineStr">
        <is>
          <t>Notes:</t>
        </is>
      </c>
      <c r="B126" s="37" t="n"/>
    </row>
  </sheetData>
  <mergeCells count="133">
    <mergeCell ref="B100:C100"/>
    <mergeCell ref="I104:J104"/>
    <mergeCell ref="B68:E68"/>
    <mergeCell ref="A91:J91"/>
    <mergeCell ref="A43:J43"/>
    <mergeCell ref="B12:C12"/>
    <mergeCell ref="B77:C77"/>
    <mergeCell ref="B78:J78"/>
    <mergeCell ref="A115:J115"/>
    <mergeCell ref="B86:C86"/>
    <mergeCell ref="B61:C61"/>
    <mergeCell ref="A34:J34"/>
    <mergeCell ref="B101:C101"/>
    <mergeCell ref="B14:C14"/>
    <mergeCell ref="B13:C13"/>
    <mergeCell ref="B38:C38"/>
    <mergeCell ref="G68:H68"/>
    <mergeCell ref="B112:C112"/>
    <mergeCell ref="B40:C40"/>
    <mergeCell ref="B49:C49"/>
    <mergeCell ref="I44:J44"/>
    <mergeCell ref="A118:J118"/>
    <mergeCell ref="G20:H20"/>
    <mergeCell ref="B24:C24"/>
    <mergeCell ref="B64:C64"/>
    <mergeCell ref="I20:J20"/>
    <mergeCell ref="B90:J90"/>
    <mergeCell ref="B51:C51"/>
    <mergeCell ref="B66:J66"/>
    <mergeCell ref="A55:J55"/>
    <mergeCell ref="B18:J18"/>
    <mergeCell ref="G44:H44"/>
    <mergeCell ref="B63:C63"/>
    <mergeCell ref="B26:C26"/>
    <mergeCell ref="B41:C41"/>
    <mergeCell ref="B35:C35"/>
    <mergeCell ref="B16:C16"/>
    <mergeCell ref="B25:C25"/>
    <mergeCell ref="A106:J106"/>
    <mergeCell ref="I80:J80"/>
    <mergeCell ref="A4:J4"/>
    <mergeCell ref="B104:E104"/>
    <mergeCell ref="B27:C27"/>
    <mergeCell ref="B32:E32"/>
    <mergeCell ref="A31:J31"/>
    <mergeCell ref="B11:C11"/>
    <mergeCell ref="A58:J58"/>
    <mergeCell ref="I32:J32"/>
    <mergeCell ref="A67:J67"/>
    <mergeCell ref="A82:J82"/>
    <mergeCell ref="B53:C53"/>
    <mergeCell ref="I56:J56"/>
    <mergeCell ref="B119:C119"/>
    <mergeCell ref="B29:C29"/>
    <mergeCell ref="B37:C37"/>
    <mergeCell ref="G104:H104"/>
    <mergeCell ref="A7:J7"/>
    <mergeCell ref="B84:C84"/>
    <mergeCell ref="I8:J8"/>
    <mergeCell ref="B54:J54"/>
    <mergeCell ref="B15:C15"/>
    <mergeCell ref="B95:C95"/>
    <mergeCell ref="B89:C89"/>
    <mergeCell ref="B116:E116"/>
    <mergeCell ref="A2:J2"/>
    <mergeCell ref="B97:C97"/>
    <mergeCell ref="B125:C125"/>
    <mergeCell ref="B72:C72"/>
    <mergeCell ref="A22:J22"/>
    <mergeCell ref="B42:J42"/>
    <mergeCell ref="B121:C121"/>
    <mergeCell ref="I116:J116"/>
    <mergeCell ref="B80:E80"/>
    <mergeCell ref="B122:C122"/>
    <mergeCell ref="B96:C96"/>
    <mergeCell ref="B71:C71"/>
    <mergeCell ref="B52:C52"/>
    <mergeCell ref="G116:H116"/>
    <mergeCell ref="B120:C120"/>
    <mergeCell ref="B98:C98"/>
    <mergeCell ref="B107:C107"/>
    <mergeCell ref="B60:C60"/>
    <mergeCell ref="B17:C17"/>
    <mergeCell ref="B88:C88"/>
    <mergeCell ref="B30:J30"/>
    <mergeCell ref="B56:E56"/>
    <mergeCell ref="A79:J79"/>
    <mergeCell ref="A70:J70"/>
    <mergeCell ref="B28:C28"/>
    <mergeCell ref="G80:H80"/>
    <mergeCell ref="B99:C99"/>
    <mergeCell ref="B108:C108"/>
    <mergeCell ref="B126:J126"/>
    <mergeCell ref="B83:C83"/>
    <mergeCell ref="B124:C124"/>
    <mergeCell ref="G32:H32"/>
    <mergeCell ref="B76:C76"/>
    <mergeCell ref="B44:E44"/>
    <mergeCell ref="B85:C85"/>
    <mergeCell ref="G56:H56"/>
    <mergeCell ref="B75:C75"/>
    <mergeCell ref="B109:C109"/>
    <mergeCell ref="B47:C47"/>
    <mergeCell ref="B62:C62"/>
    <mergeCell ref="B59:C59"/>
    <mergeCell ref="B92:E92"/>
    <mergeCell ref="B20:E20"/>
    <mergeCell ref="G8:H8"/>
    <mergeCell ref="A10:J10"/>
    <mergeCell ref="A19:J19"/>
    <mergeCell ref="B39:C39"/>
    <mergeCell ref="B48:C48"/>
    <mergeCell ref="B111:C111"/>
    <mergeCell ref="B23:C23"/>
    <mergeCell ref="B73:C73"/>
    <mergeCell ref="A1:J1"/>
    <mergeCell ref="B87:C87"/>
    <mergeCell ref="I68:J68"/>
    <mergeCell ref="A94:J94"/>
    <mergeCell ref="G92:H92"/>
    <mergeCell ref="A103:J103"/>
    <mergeCell ref="B114:J114"/>
    <mergeCell ref="I92:J92"/>
    <mergeCell ref="B65:C65"/>
    <mergeCell ref="B74:C74"/>
    <mergeCell ref="A46:J46"/>
    <mergeCell ref="B8:E8"/>
    <mergeCell ref="B123:C123"/>
    <mergeCell ref="B36:C36"/>
    <mergeCell ref="B102:J102"/>
    <mergeCell ref="B50:C50"/>
    <mergeCell ref="B110:C110"/>
    <mergeCell ref="B113:C1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6E2F0E"/>
    <outlinePr summaryBelow="1" summaryRight="1"/>
    <pageSetUpPr/>
  </sheetPr>
  <dimension ref="A1:J126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44" customHeight="1">
      <c r="A1" s="21">
        <f>'Getting Started'!C21</f>
        <v/>
      </c>
    </row>
    <row r="2" ht="24" customHeight="1">
      <c r="A2" s="22">
        <f>IFERROR("Grade: "&amp;'Getting Started'!G21&amp;"   |   School Year: "&amp;'Getting Started'!C6&amp;"   |   "  &amp;TEXT('Getting Started'!B7,"MMM D, YYYY")&amp;"  –  "&amp;TEXT('Getting Started'!B8,"MMM D, YYYY"),"")</f>
        <v/>
      </c>
    </row>
    <row r="3" ht="8" customHeight="1"/>
    <row r="4" ht="22" customHeight="1">
      <c r="A4" s="23" t="inlineStr">
        <is>
          <t>SCHOOL YEAR OVERVIEW  (from Getting Started)</t>
        </is>
      </c>
    </row>
    <row r="5" ht="20" customHeight="1">
      <c r="B5" s="24" t="inlineStr">
        <is>
          <t>Start Date:</t>
        </is>
      </c>
      <c r="C5" s="12">
        <f>IF('Getting Started'!B7&lt;&gt;"",TEXT('Getting Started'!B7,"MMM D, YYYY"),"")</f>
        <v/>
      </c>
      <c r="D5" s="24" t="inlineStr">
        <is>
          <t>End Date:</t>
        </is>
      </c>
      <c r="E5" s="12">
        <f>IF('Getting Started'!B8&lt;&gt;"",TEXT('Getting Started'!B8,"MMM D, YYYY"),"")</f>
        <v/>
      </c>
      <c r="F5" s="24" t="inlineStr">
        <is>
          <t>Total Weeks:</t>
        </is>
      </c>
      <c r="G5" s="12">
        <f>'Getting Started'!B9</f>
        <v/>
      </c>
      <c r="H5" s="24" t="inlineStr">
        <is>
          <t>Days/Week:</t>
        </is>
      </c>
      <c r="I5" s="12">
        <f>'Getting Started'!B10</f>
        <v/>
      </c>
    </row>
    <row r="7" ht="24" customHeight="1">
      <c r="A7" s="25" t="inlineStr">
        <is>
          <t xml:space="preserve">  BIBLE</t>
        </is>
      </c>
    </row>
    <row r="8" ht="20" customHeight="1">
      <c r="A8" s="26" t="inlineStr">
        <is>
          <t>Curriculum / Title:</t>
        </is>
      </c>
      <c r="B8" s="27" t="n"/>
      <c r="F8" s="26" t="inlineStr">
        <is>
          <t>Unit type:</t>
        </is>
      </c>
      <c r="G8" s="27" t="inlineStr">
        <is>
          <t>pages</t>
        </is>
      </c>
      <c r="I8" s="28" t="inlineStr">
        <is>
          <t>← type: pages, lessons, chapters…</t>
        </is>
      </c>
      <c r="J8" s="29" t="n"/>
    </row>
    <row r="9" ht="22" customHeight="1">
      <c r="A9" s="26" t="inlineStr">
        <is>
          <t>Total Units:</t>
        </is>
      </c>
      <c r="B9" s="27" t="n"/>
      <c r="C9" s="26" t="inlineStr">
        <is>
          <t>School Weeks:</t>
        </is>
      </c>
      <c r="D9" s="30">
        <f>'Getting Started'!B9</f>
        <v/>
      </c>
      <c r="E9" s="26" t="inlineStr">
        <is>
          <t>Units / Week:</t>
        </is>
      </c>
      <c r="F9" s="12">
        <f>IFERROR(IF(B9="","",ROUND(B9/D9,1)),"")</f>
        <v/>
      </c>
      <c r="G9" s="26" t="inlineStr">
        <is>
          <t>Units / Day:</t>
        </is>
      </c>
      <c r="H9" s="12">
        <f>IFERROR(IF(F9="","",ROUND(F9/'Getting Started'!B10,1)),"")</f>
        <v/>
      </c>
      <c r="I9" s="26" t="inlineStr">
        <is>
          <t>Est. End Date:</t>
        </is>
      </c>
      <c r="J9" s="12">
        <f>IFERROR(IF(B9="","",TEXT('Getting Started'!B7+(B9/'Getting Started'!B10),"MMM D, YYYY")),"")</f>
        <v/>
      </c>
    </row>
    <row r="10" ht="18" customHeight="1">
      <c r="A10" s="31" t="inlineStr">
        <is>
          <t xml:space="preserve">  Optional: Component / Volume Breakdown  (fill in if curriculum has multiple books or parts)</t>
        </is>
      </c>
    </row>
    <row r="11" ht="18" customHeight="1">
      <c r="A11" s="32" t="inlineStr">
        <is>
          <t>#</t>
        </is>
      </c>
      <c r="B11" s="32" t="inlineStr">
        <is>
          <t>Component / Book Title</t>
        </is>
      </c>
      <c r="C11" s="29" t="n"/>
      <c r="D11" s="32" t="inlineStr">
        <is>
          <t>Total Units
in Component</t>
        </is>
      </c>
      <c r="E11" s="32" t="inlineStr">
        <is>
          <t>Cumulative
Units</t>
        </is>
      </c>
      <c r="F11" s="32" t="inlineStr">
        <is>
          <t>Start
Week</t>
        </is>
      </c>
      <c r="G11" s="32" t="inlineStr">
        <is>
          <t>End
Week</t>
        </is>
      </c>
      <c r="H11" s="32" t="inlineStr">
        <is>
          <t>Start
Date</t>
        </is>
      </c>
      <c r="I11" s="32" t="inlineStr">
        <is>
          <t>End
Date</t>
        </is>
      </c>
      <c r="J11" s="32" t="inlineStr">
        <is>
          <t>Complete?</t>
        </is>
      </c>
    </row>
    <row r="12" ht="18" customHeight="1">
      <c r="A12" s="33" t="n">
        <v>1</v>
      </c>
      <c r="B12" s="27" t="n"/>
      <c r="D12" s="34" t="n"/>
      <c r="E12" s="30">
        <f>IFERROR(SUM(D12:D12),"")</f>
        <v/>
      </c>
      <c r="F12" s="30">
        <f>IF(D12="","",1)</f>
        <v/>
      </c>
      <c r="G12" s="30">
        <f>IFERROR(IF(D12="","",CEILING(E12/F9,1)),"")</f>
        <v/>
      </c>
      <c r="H12" s="30">
        <f>IFERROR(IF(D12="","",TEXT('Getting Started'!B7+(F12-1)*7,"MMM D")),"")</f>
        <v/>
      </c>
      <c r="I12" s="30">
        <f>IFERROR(IF(D12="","",TEXT('Getting Started'!B7+(G12)*7,"MMM D")),"")</f>
        <v/>
      </c>
      <c r="J12" s="34" t="n"/>
    </row>
    <row r="13" ht="18" customHeight="1">
      <c r="A13" s="33" t="n">
        <v>2</v>
      </c>
      <c r="B13" s="35" t="n"/>
      <c r="D13" s="36" t="n"/>
      <c r="E13" s="30">
        <f>IFERROR(SUM(D12:D13),"")</f>
        <v/>
      </c>
      <c r="F13" s="30">
        <f>IFERROR(IF(D13="","",FLOOR(E12/F9,1)+1),"")</f>
        <v/>
      </c>
      <c r="G13" s="30">
        <f>IFERROR(IF(D13="","",CEILING(E13/F9,1)),"")</f>
        <v/>
      </c>
      <c r="H13" s="30">
        <f>IFERROR(IF(D13="","",TEXT('Getting Started'!B7+(F13-1)*7,"MMM D")),"")</f>
        <v/>
      </c>
      <c r="I13" s="30">
        <f>IFERROR(IF(D13="","",TEXT('Getting Started'!B7+(G13)*7,"MMM D")),"")</f>
        <v/>
      </c>
      <c r="J13" s="34" t="n"/>
    </row>
    <row r="14" ht="18" customHeight="1">
      <c r="A14" s="33" t="n">
        <v>3</v>
      </c>
      <c r="B14" s="27" t="n"/>
      <c r="D14" s="34" t="n"/>
      <c r="E14" s="30">
        <f>IFERROR(SUM(D12:D14),"")</f>
        <v/>
      </c>
      <c r="F14" s="30">
        <f>IFERROR(IF(D14="","",FLOOR(E13/F9,1)+1),"")</f>
        <v/>
      </c>
      <c r="G14" s="30">
        <f>IFERROR(IF(D14="","",CEILING(E14/F9,1)),"")</f>
        <v/>
      </c>
      <c r="H14" s="30">
        <f>IFERROR(IF(D14="","",TEXT('Getting Started'!B7+(F14-1)*7,"MMM D")),"")</f>
        <v/>
      </c>
      <c r="I14" s="30">
        <f>IFERROR(IF(D14="","",TEXT('Getting Started'!B7+(G14)*7,"MMM D")),"")</f>
        <v/>
      </c>
      <c r="J14" s="34" t="n"/>
    </row>
    <row r="15" ht="18" customHeight="1">
      <c r="A15" s="33" t="n">
        <v>4</v>
      </c>
      <c r="B15" s="35" t="n"/>
      <c r="D15" s="36" t="n"/>
      <c r="E15" s="30">
        <f>IFERROR(SUM(D12:D15),"")</f>
        <v/>
      </c>
      <c r="F15" s="30">
        <f>IFERROR(IF(D15="","",FLOOR(E14/F9,1)+1),"")</f>
        <v/>
      </c>
      <c r="G15" s="30">
        <f>IFERROR(IF(D15="","",CEILING(E15/F9,1)),"")</f>
        <v/>
      </c>
      <c r="H15" s="30">
        <f>IFERROR(IF(D15="","",TEXT('Getting Started'!B7+(F15-1)*7,"MMM D")),"")</f>
        <v/>
      </c>
      <c r="I15" s="30">
        <f>IFERROR(IF(D15="","",TEXT('Getting Started'!B7+(G15)*7,"MMM D")),"")</f>
        <v/>
      </c>
      <c r="J15" s="34" t="n"/>
    </row>
    <row r="16" ht="18" customHeight="1">
      <c r="A16" s="33" t="n">
        <v>5</v>
      </c>
      <c r="B16" s="27" t="n"/>
      <c r="D16" s="34" t="n"/>
      <c r="E16" s="30">
        <f>IFERROR(SUM(D12:D16),"")</f>
        <v/>
      </c>
      <c r="F16" s="30">
        <f>IFERROR(IF(D16="","",FLOOR(E15/F9,1)+1),"")</f>
        <v/>
      </c>
      <c r="G16" s="30">
        <f>IFERROR(IF(D16="","",CEILING(E16/F9,1)),"")</f>
        <v/>
      </c>
      <c r="H16" s="30">
        <f>IFERROR(IF(D16="","",TEXT('Getting Started'!B7+(F16-1)*7,"MMM D")),"")</f>
        <v/>
      </c>
      <c r="I16" s="30">
        <f>IFERROR(IF(D16="","",TEXT('Getting Started'!B7+(G16)*7,"MMM D")),"")</f>
        <v/>
      </c>
      <c r="J16" s="34" t="n"/>
    </row>
    <row r="17" ht="18" customHeight="1">
      <c r="A17" s="33" t="n">
        <v>6</v>
      </c>
      <c r="B17" s="35" t="n"/>
      <c r="D17" s="36" t="n"/>
      <c r="E17" s="30">
        <f>IFERROR(SUM(D12:D17),"")</f>
        <v/>
      </c>
      <c r="F17" s="30">
        <f>IFERROR(IF(D17="","",FLOOR(E16/F9,1)+1),"")</f>
        <v/>
      </c>
      <c r="G17" s="30">
        <f>IFERROR(IF(D17="","",CEILING(E17/F9,1)),"")</f>
        <v/>
      </c>
      <c r="H17" s="30">
        <f>IFERROR(IF(D17="","",TEXT('Getting Started'!B7+(F17-1)*7,"MMM D")),"")</f>
        <v/>
      </c>
      <c r="I17" s="30">
        <f>IFERROR(IF(D17="","",TEXT('Getting Started'!B7+(G17)*7,"MMM D")),"")</f>
        <v/>
      </c>
      <c r="J17" s="34" t="n"/>
    </row>
    <row r="18" ht="20" customHeight="1">
      <c r="A18" s="26" t="inlineStr">
        <is>
          <t>Notes:</t>
        </is>
      </c>
      <c r="B18" s="37" t="n"/>
    </row>
    <row r="19" ht="24" customHeight="1">
      <c r="A19" s="38" t="inlineStr">
        <is>
          <t xml:space="preserve">  MATH</t>
        </is>
      </c>
    </row>
    <row r="20" ht="20" customHeight="1">
      <c r="A20" s="39" t="inlineStr">
        <is>
          <t>Curriculum / Title:</t>
        </is>
      </c>
      <c r="B20" s="27" t="n"/>
      <c r="F20" s="39" t="inlineStr">
        <is>
          <t>Unit type:</t>
        </is>
      </c>
      <c r="G20" s="27" t="inlineStr">
        <is>
          <t>pages</t>
        </is>
      </c>
      <c r="I20" s="28" t="inlineStr">
        <is>
          <t>← type: pages, lessons, chapters…</t>
        </is>
      </c>
      <c r="J20" s="29" t="n"/>
    </row>
    <row r="21" ht="22" customHeight="1">
      <c r="A21" s="39" t="inlineStr">
        <is>
          <t>Total Units:</t>
        </is>
      </c>
      <c r="B21" s="27" t="n"/>
      <c r="C21" s="39" t="inlineStr">
        <is>
          <t>School Weeks:</t>
        </is>
      </c>
      <c r="D21" s="30">
        <f>'Getting Started'!B9</f>
        <v/>
      </c>
      <c r="E21" s="39" t="inlineStr">
        <is>
          <t>Units / Week:</t>
        </is>
      </c>
      <c r="F21" s="12">
        <f>IFERROR(IF(B21="","",ROUND(B21/D21,1)),"")</f>
        <v/>
      </c>
      <c r="G21" s="39" t="inlineStr">
        <is>
          <t>Units / Day:</t>
        </is>
      </c>
      <c r="H21" s="12">
        <f>IFERROR(IF(F21="","",ROUND(F21/'Getting Started'!B10,1)),"")</f>
        <v/>
      </c>
      <c r="I21" s="39" t="inlineStr">
        <is>
          <t>Est. End Date:</t>
        </is>
      </c>
      <c r="J21" s="12">
        <f>IFERROR(IF(B21="","",TEXT('Getting Started'!B7+(B21/'Getting Started'!B10),"MMM D, YYYY")),"")</f>
        <v/>
      </c>
    </row>
    <row r="22" ht="18" customHeight="1">
      <c r="A22" s="31" t="inlineStr">
        <is>
          <t xml:space="preserve">  Optional: Component / Volume Breakdown  (fill in if curriculum has multiple books or parts)</t>
        </is>
      </c>
    </row>
    <row r="23" ht="18" customHeight="1">
      <c r="A23" s="32" t="inlineStr">
        <is>
          <t>#</t>
        </is>
      </c>
      <c r="B23" s="32" t="inlineStr">
        <is>
          <t>Component / Book Title</t>
        </is>
      </c>
      <c r="C23" s="29" t="n"/>
      <c r="D23" s="32" t="inlineStr">
        <is>
          <t>Total Units
in Component</t>
        </is>
      </c>
      <c r="E23" s="32" t="inlineStr">
        <is>
          <t>Cumulative
Units</t>
        </is>
      </c>
      <c r="F23" s="32" t="inlineStr">
        <is>
          <t>Start
Week</t>
        </is>
      </c>
      <c r="G23" s="32" t="inlineStr">
        <is>
          <t>End
Week</t>
        </is>
      </c>
      <c r="H23" s="32" t="inlineStr">
        <is>
          <t>Start
Date</t>
        </is>
      </c>
      <c r="I23" s="32" t="inlineStr">
        <is>
          <t>End
Date</t>
        </is>
      </c>
      <c r="J23" s="32" t="inlineStr">
        <is>
          <t>Complete?</t>
        </is>
      </c>
    </row>
    <row r="24" ht="18" customHeight="1">
      <c r="A24" s="33" t="n">
        <v>1</v>
      </c>
      <c r="B24" s="27" t="n"/>
      <c r="D24" s="34" t="n"/>
      <c r="E24" s="30">
        <f>IFERROR(SUM(D24:D24),"")</f>
        <v/>
      </c>
      <c r="F24" s="30">
        <f>IF(D24="","",1)</f>
        <v/>
      </c>
      <c r="G24" s="30">
        <f>IFERROR(IF(D24="","",CEILING(E24/F21,1)),"")</f>
        <v/>
      </c>
      <c r="H24" s="30">
        <f>IFERROR(IF(D24="","",TEXT('Getting Started'!B7+(F24-1)*7,"MMM D")),"")</f>
        <v/>
      </c>
      <c r="I24" s="30">
        <f>IFERROR(IF(D24="","",TEXT('Getting Started'!B7+(G24)*7,"MMM D")),"")</f>
        <v/>
      </c>
      <c r="J24" s="34" t="n"/>
    </row>
    <row r="25" ht="18" customHeight="1">
      <c r="A25" s="33" t="n">
        <v>2</v>
      </c>
      <c r="B25" s="35" t="n"/>
      <c r="D25" s="36" t="n"/>
      <c r="E25" s="30">
        <f>IFERROR(SUM(D24:D25),"")</f>
        <v/>
      </c>
      <c r="F25" s="30">
        <f>IFERROR(IF(D25="","",FLOOR(E24/F21,1)+1),"")</f>
        <v/>
      </c>
      <c r="G25" s="30">
        <f>IFERROR(IF(D25="","",CEILING(E25/F21,1)),"")</f>
        <v/>
      </c>
      <c r="H25" s="30">
        <f>IFERROR(IF(D25="","",TEXT('Getting Started'!B7+(F25-1)*7,"MMM D")),"")</f>
        <v/>
      </c>
      <c r="I25" s="30">
        <f>IFERROR(IF(D25="","",TEXT('Getting Started'!B7+(G25)*7,"MMM D")),"")</f>
        <v/>
      </c>
      <c r="J25" s="34" t="n"/>
    </row>
    <row r="26" ht="18" customHeight="1">
      <c r="A26" s="33" t="n">
        <v>3</v>
      </c>
      <c r="B26" s="27" t="n"/>
      <c r="D26" s="34" t="n"/>
      <c r="E26" s="30">
        <f>IFERROR(SUM(D24:D26),"")</f>
        <v/>
      </c>
      <c r="F26" s="30">
        <f>IFERROR(IF(D26="","",FLOOR(E25/F21,1)+1),"")</f>
        <v/>
      </c>
      <c r="G26" s="30">
        <f>IFERROR(IF(D26="","",CEILING(E26/F21,1)),"")</f>
        <v/>
      </c>
      <c r="H26" s="30">
        <f>IFERROR(IF(D26="","",TEXT('Getting Started'!B7+(F26-1)*7,"MMM D")),"")</f>
        <v/>
      </c>
      <c r="I26" s="30">
        <f>IFERROR(IF(D26="","",TEXT('Getting Started'!B7+(G26)*7,"MMM D")),"")</f>
        <v/>
      </c>
      <c r="J26" s="34" t="n"/>
    </row>
    <row r="27" ht="18" customHeight="1">
      <c r="A27" s="33" t="n">
        <v>4</v>
      </c>
      <c r="B27" s="35" t="n"/>
      <c r="D27" s="36" t="n"/>
      <c r="E27" s="30">
        <f>IFERROR(SUM(D24:D27),"")</f>
        <v/>
      </c>
      <c r="F27" s="30">
        <f>IFERROR(IF(D27="","",FLOOR(E26/F21,1)+1),"")</f>
        <v/>
      </c>
      <c r="G27" s="30">
        <f>IFERROR(IF(D27="","",CEILING(E27/F21,1)),"")</f>
        <v/>
      </c>
      <c r="H27" s="30">
        <f>IFERROR(IF(D27="","",TEXT('Getting Started'!B7+(F27-1)*7,"MMM D")),"")</f>
        <v/>
      </c>
      <c r="I27" s="30">
        <f>IFERROR(IF(D27="","",TEXT('Getting Started'!B7+(G27)*7,"MMM D")),"")</f>
        <v/>
      </c>
      <c r="J27" s="34" t="n"/>
    </row>
    <row r="28" ht="18" customHeight="1">
      <c r="A28" s="33" t="n">
        <v>5</v>
      </c>
      <c r="B28" s="27" t="n"/>
      <c r="D28" s="34" t="n"/>
      <c r="E28" s="30">
        <f>IFERROR(SUM(D24:D28),"")</f>
        <v/>
      </c>
      <c r="F28" s="30">
        <f>IFERROR(IF(D28="","",FLOOR(E27/F21,1)+1),"")</f>
        <v/>
      </c>
      <c r="G28" s="30">
        <f>IFERROR(IF(D28="","",CEILING(E28/F21,1)),"")</f>
        <v/>
      </c>
      <c r="H28" s="30">
        <f>IFERROR(IF(D28="","",TEXT('Getting Started'!B7+(F28-1)*7,"MMM D")),"")</f>
        <v/>
      </c>
      <c r="I28" s="30">
        <f>IFERROR(IF(D28="","",TEXT('Getting Started'!B7+(G28)*7,"MMM D")),"")</f>
        <v/>
      </c>
      <c r="J28" s="34" t="n"/>
    </row>
    <row r="29" ht="18" customHeight="1">
      <c r="A29" s="33" t="n">
        <v>6</v>
      </c>
      <c r="B29" s="35" t="n"/>
      <c r="D29" s="36" t="n"/>
      <c r="E29" s="30">
        <f>IFERROR(SUM(D24:D29),"")</f>
        <v/>
      </c>
      <c r="F29" s="30">
        <f>IFERROR(IF(D29="","",FLOOR(E28/F21,1)+1),"")</f>
        <v/>
      </c>
      <c r="G29" s="30">
        <f>IFERROR(IF(D29="","",CEILING(E29/F21,1)),"")</f>
        <v/>
      </c>
      <c r="H29" s="30">
        <f>IFERROR(IF(D29="","",TEXT('Getting Started'!B7+(F29-1)*7,"MMM D")),"")</f>
        <v/>
      </c>
      <c r="I29" s="30">
        <f>IFERROR(IF(D29="","",TEXT('Getting Started'!B7+(G29)*7,"MMM D")),"")</f>
        <v/>
      </c>
      <c r="J29" s="34" t="n"/>
    </row>
    <row r="30" ht="20" customHeight="1">
      <c r="A30" s="39" t="inlineStr">
        <is>
          <t>Notes:</t>
        </is>
      </c>
      <c r="B30" s="37" t="n"/>
    </row>
    <row r="31" ht="24" customHeight="1">
      <c r="A31" s="40" t="inlineStr">
        <is>
          <t xml:space="preserve">  ENGLISH / LANGUAGE ARTS</t>
        </is>
      </c>
    </row>
    <row r="32" ht="20" customHeight="1">
      <c r="A32" s="41" t="inlineStr">
        <is>
          <t>Curriculum / Title:</t>
        </is>
      </c>
      <c r="B32" s="27" t="n"/>
      <c r="F32" s="41" t="inlineStr">
        <is>
          <t>Unit type:</t>
        </is>
      </c>
      <c r="G32" s="27" t="inlineStr">
        <is>
          <t>pages</t>
        </is>
      </c>
      <c r="I32" s="28" t="inlineStr">
        <is>
          <t>← type: pages, lessons, chapters…</t>
        </is>
      </c>
      <c r="J32" s="29" t="n"/>
    </row>
    <row r="33" ht="22" customHeight="1">
      <c r="A33" s="41" t="inlineStr">
        <is>
          <t>Total Units:</t>
        </is>
      </c>
      <c r="B33" s="27" t="n"/>
      <c r="C33" s="41" t="inlineStr">
        <is>
          <t>School Weeks:</t>
        </is>
      </c>
      <c r="D33" s="30">
        <f>'Getting Started'!B9</f>
        <v/>
      </c>
      <c r="E33" s="41" t="inlineStr">
        <is>
          <t>Units / Week:</t>
        </is>
      </c>
      <c r="F33" s="12">
        <f>IFERROR(IF(B33="","",ROUND(B33/D33,1)),"")</f>
        <v/>
      </c>
      <c r="G33" s="41" t="inlineStr">
        <is>
          <t>Units / Day:</t>
        </is>
      </c>
      <c r="H33" s="12">
        <f>IFERROR(IF(F33="","",ROUND(F33/'Getting Started'!B10,1)),"")</f>
        <v/>
      </c>
      <c r="I33" s="41" t="inlineStr">
        <is>
          <t>Est. End Date:</t>
        </is>
      </c>
      <c r="J33" s="12">
        <f>IFERROR(IF(B33="","",TEXT('Getting Started'!B7+(B33/'Getting Started'!B10),"MMM D, YYYY")),"")</f>
        <v/>
      </c>
    </row>
    <row r="34" ht="18" customHeight="1">
      <c r="A34" s="31" t="inlineStr">
        <is>
          <t xml:space="preserve">  Optional: Component / Volume Breakdown  (fill in if curriculum has multiple books or parts)</t>
        </is>
      </c>
    </row>
    <row r="35" ht="18" customHeight="1">
      <c r="A35" s="32" t="inlineStr">
        <is>
          <t>#</t>
        </is>
      </c>
      <c r="B35" s="32" t="inlineStr">
        <is>
          <t>Component / Book Title</t>
        </is>
      </c>
      <c r="C35" s="29" t="n"/>
      <c r="D35" s="32" t="inlineStr">
        <is>
          <t>Total Units
in Component</t>
        </is>
      </c>
      <c r="E35" s="32" t="inlineStr">
        <is>
          <t>Cumulative
Units</t>
        </is>
      </c>
      <c r="F35" s="32" t="inlineStr">
        <is>
          <t>Start
Week</t>
        </is>
      </c>
      <c r="G35" s="32" t="inlineStr">
        <is>
          <t>End
Week</t>
        </is>
      </c>
      <c r="H35" s="32" t="inlineStr">
        <is>
          <t>Start
Date</t>
        </is>
      </c>
      <c r="I35" s="32" t="inlineStr">
        <is>
          <t>End
Date</t>
        </is>
      </c>
      <c r="J35" s="32" t="inlineStr">
        <is>
          <t>Complete?</t>
        </is>
      </c>
    </row>
    <row r="36" ht="18" customHeight="1">
      <c r="A36" s="33" t="n">
        <v>1</v>
      </c>
      <c r="B36" s="27" t="n"/>
      <c r="D36" s="34" t="n"/>
      <c r="E36" s="30">
        <f>IFERROR(SUM(D36:D36),"")</f>
        <v/>
      </c>
      <c r="F36" s="30">
        <f>IF(D36="","",1)</f>
        <v/>
      </c>
      <c r="G36" s="30">
        <f>IFERROR(IF(D36="","",CEILING(E36/F33,1)),"")</f>
        <v/>
      </c>
      <c r="H36" s="30">
        <f>IFERROR(IF(D36="","",TEXT('Getting Started'!B7+(F36-1)*7,"MMM D")),"")</f>
        <v/>
      </c>
      <c r="I36" s="30">
        <f>IFERROR(IF(D36="","",TEXT('Getting Started'!B7+(G36)*7,"MMM D")),"")</f>
        <v/>
      </c>
      <c r="J36" s="34" t="n"/>
    </row>
    <row r="37" ht="18" customHeight="1">
      <c r="A37" s="33" t="n">
        <v>2</v>
      </c>
      <c r="B37" s="35" t="n"/>
      <c r="D37" s="36" t="n"/>
      <c r="E37" s="30">
        <f>IFERROR(SUM(D36:D37),"")</f>
        <v/>
      </c>
      <c r="F37" s="30">
        <f>IFERROR(IF(D37="","",FLOOR(E36/F33,1)+1),"")</f>
        <v/>
      </c>
      <c r="G37" s="30">
        <f>IFERROR(IF(D37="","",CEILING(E37/F33,1)),"")</f>
        <v/>
      </c>
      <c r="H37" s="30">
        <f>IFERROR(IF(D37="","",TEXT('Getting Started'!B7+(F37-1)*7,"MMM D")),"")</f>
        <v/>
      </c>
      <c r="I37" s="30">
        <f>IFERROR(IF(D37="","",TEXT('Getting Started'!B7+(G37)*7,"MMM D")),"")</f>
        <v/>
      </c>
      <c r="J37" s="34" t="n"/>
    </row>
    <row r="38" ht="18" customHeight="1">
      <c r="A38" s="33" t="n">
        <v>3</v>
      </c>
      <c r="B38" s="27" t="n"/>
      <c r="D38" s="34" t="n"/>
      <c r="E38" s="30">
        <f>IFERROR(SUM(D36:D38),"")</f>
        <v/>
      </c>
      <c r="F38" s="30">
        <f>IFERROR(IF(D38="","",FLOOR(E37/F33,1)+1),"")</f>
        <v/>
      </c>
      <c r="G38" s="30">
        <f>IFERROR(IF(D38="","",CEILING(E38/F33,1)),"")</f>
        <v/>
      </c>
      <c r="H38" s="30">
        <f>IFERROR(IF(D38="","",TEXT('Getting Started'!B7+(F38-1)*7,"MMM D")),"")</f>
        <v/>
      </c>
      <c r="I38" s="30">
        <f>IFERROR(IF(D38="","",TEXT('Getting Started'!B7+(G38)*7,"MMM D")),"")</f>
        <v/>
      </c>
      <c r="J38" s="34" t="n"/>
    </row>
    <row r="39" ht="18" customHeight="1">
      <c r="A39" s="33" t="n">
        <v>4</v>
      </c>
      <c r="B39" s="35" t="n"/>
      <c r="D39" s="36" t="n"/>
      <c r="E39" s="30">
        <f>IFERROR(SUM(D36:D39),"")</f>
        <v/>
      </c>
      <c r="F39" s="30">
        <f>IFERROR(IF(D39="","",FLOOR(E38/F33,1)+1),"")</f>
        <v/>
      </c>
      <c r="G39" s="30">
        <f>IFERROR(IF(D39="","",CEILING(E39/F33,1)),"")</f>
        <v/>
      </c>
      <c r="H39" s="30">
        <f>IFERROR(IF(D39="","",TEXT('Getting Started'!B7+(F39-1)*7,"MMM D")),"")</f>
        <v/>
      </c>
      <c r="I39" s="30">
        <f>IFERROR(IF(D39="","",TEXT('Getting Started'!B7+(G39)*7,"MMM D")),"")</f>
        <v/>
      </c>
      <c r="J39" s="34" t="n"/>
    </row>
    <row r="40" ht="18" customHeight="1">
      <c r="A40" s="33" t="n">
        <v>5</v>
      </c>
      <c r="B40" s="27" t="n"/>
      <c r="D40" s="34" t="n"/>
      <c r="E40" s="30">
        <f>IFERROR(SUM(D36:D40),"")</f>
        <v/>
      </c>
      <c r="F40" s="30">
        <f>IFERROR(IF(D40="","",FLOOR(E39/F33,1)+1),"")</f>
        <v/>
      </c>
      <c r="G40" s="30">
        <f>IFERROR(IF(D40="","",CEILING(E40/F33,1)),"")</f>
        <v/>
      </c>
      <c r="H40" s="30">
        <f>IFERROR(IF(D40="","",TEXT('Getting Started'!B7+(F40-1)*7,"MMM D")),"")</f>
        <v/>
      </c>
      <c r="I40" s="30">
        <f>IFERROR(IF(D40="","",TEXT('Getting Started'!B7+(G40)*7,"MMM D")),"")</f>
        <v/>
      </c>
      <c r="J40" s="34" t="n"/>
    </row>
    <row r="41" ht="18" customHeight="1">
      <c r="A41" s="33" t="n">
        <v>6</v>
      </c>
      <c r="B41" s="35" t="n"/>
      <c r="D41" s="36" t="n"/>
      <c r="E41" s="30">
        <f>IFERROR(SUM(D36:D41),"")</f>
        <v/>
      </c>
      <c r="F41" s="30">
        <f>IFERROR(IF(D41="","",FLOOR(E40/F33,1)+1),"")</f>
        <v/>
      </c>
      <c r="G41" s="30">
        <f>IFERROR(IF(D41="","",CEILING(E41/F33,1)),"")</f>
        <v/>
      </c>
      <c r="H41" s="30">
        <f>IFERROR(IF(D41="","",TEXT('Getting Started'!B7+(F41-1)*7,"MMM D")),"")</f>
        <v/>
      </c>
      <c r="I41" s="30">
        <f>IFERROR(IF(D41="","",TEXT('Getting Started'!B7+(G41)*7,"MMM D")),"")</f>
        <v/>
      </c>
      <c r="J41" s="34" t="n"/>
    </row>
    <row r="42" ht="20" customHeight="1">
      <c r="A42" s="41" t="inlineStr">
        <is>
          <t>Notes:</t>
        </is>
      </c>
      <c r="B42" s="37" t="n"/>
    </row>
    <row r="43" ht="24" customHeight="1">
      <c r="A43" s="42" t="inlineStr">
        <is>
          <t xml:space="preserve">  READING</t>
        </is>
      </c>
    </row>
    <row r="44" ht="20" customHeight="1">
      <c r="A44" s="43" t="inlineStr">
        <is>
          <t>Curriculum / Title:</t>
        </is>
      </c>
      <c r="B44" s="27" t="n"/>
      <c r="F44" s="43" t="inlineStr">
        <is>
          <t>Unit type:</t>
        </is>
      </c>
      <c r="G44" s="27" t="inlineStr">
        <is>
          <t>pages</t>
        </is>
      </c>
      <c r="I44" s="28" t="inlineStr">
        <is>
          <t>← type: pages, lessons, chapters…</t>
        </is>
      </c>
      <c r="J44" s="29" t="n"/>
    </row>
    <row r="45" ht="22" customHeight="1">
      <c r="A45" s="43" t="inlineStr">
        <is>
          <t>Total Units:</t>
        </is>
      </c>
      <c r="B45" s="27" t="n"/>
      <c r="C45" s="43" t="inlineStr">
        <is>
          <t>School Weeks:</t>
        </is>
      </c>
      <c r="D45" s="30">
        <f>'Getting Started'!B9</f>
        <v/>
      </c>
      <c r="E45" s="43" t="inlineStr">
        <is>
          <t>Units / Week:</t>
        </is>
      </c>
      <c r="F45" s="12">
        <f>IFERROR(IF(B45="","",ROUND(B45/D45,1)),"")</f>
        <v/>
      </c>
      <c r="G45" s="43" t="inlineStr">
        <is>
          <t>Units / Day:</t>
        </is>
      </c>
      <c r="H45" s="12">
        <f>IFERROR(IF(F45="","",ROUND(F45/'Getting Started'!B10,1)),"")</f>
        <v/>
      </c>
      <c r="I45" s="43" t="inlineStr">
        <is>
          <t>Est. End Date:</t>
        </is>
      </c>
      <c r="J45" s="12">
        <f>IFERROR(IF(B45="","",TEXT('Getting Started'!B7+(B45/'Getting Started'!B10),"MMM D, YYYY")),"")</f>
        <v/>
      </c>
    </row>
    <row r="46" ht="18" customHeight="1">
      <c r="A46" s="31" t="inlineStr">
        <is>
          <t xml:space="preserve">  Optional: Component / Volume Breakdown  (fill in if curriculum has multiple books or parts)</t>
        </is>
      </c>
    </row>
    <row r="47" ht="18" customHeight="1">
      <c r="A47" s="32" t="inlineStr">
        <is>
          <t>#</t>
        </is>
      </c>
      <c r="B47" s="32" t="inlineStr">
        <is>
          <t>Component / Book Title</t>
        </is>
      </c>
      <c r="C47" s="29" t="n"/>
      <c r="D47" s="32" t="inlineStr">
        <is>
          <t>Total Units
in Component</t>
        </is>
      </c>
      <c r="E47" s="32" t="inlineStr">
        <is>
          <t>Cumulative
Units</t>
        </is>
      </c>
      <c r="F47" s="32" t="inlineStr">
        <is>
          <t>Start
Week</t>
        </is>
      </c>
      <c r="G47" s="32" t="inlineStr">
        <is>
          <t>End
Week</t>
        </is>
      </c>
      <c r="H47" s="32" t="inlineStr">
        <is>
          <t>Start
Date</t>
        </is>
      </c>
      <c r="I47" s="32" t="inlineStr">
        <is>
          <t>End
Date</t>
        </is>
      </c>
      <c r="J47" s="32" t="inlineStr">
        <is>
          <t>Complete?</t>
        </is>
      </c>
    </row>
    <row r="48" ht="18" customHeight="1">
      <c r="A48" s="33" t="n">
        <v>1</v>
      </c>
      <c r="B48" s="27" t="n"/>
      <c r="D48" s="34" t="n"/>
      <c r="E48" s="30">
        <f>IFERROR(SUM(D48:D48),"")</f>
        <v/>
      </c>
      <c r="F48" s="30">
        <f>IF(D48="","",1)</f>
        <v/>
      </c>
      <c r="G48" s="30">
        <f>IFERROR(IF(D48="","",CEILING(E48/F45,1)),"")</f>
        <v/>
      </c>
      <c r="H48" s="30">
        <f>IFERROR(IF(D48="","",TEXT('Getting Started'!B7+(F48-1)*7,"MMM D")),"")</f>
        <v/>
      </c>
      <c r="I48" s="30">
        <f>IFERROR(IF(D48="","",TEXT('Getting Started'!B7+(G48)*7,"MMM D")),"")</f>
        <v/>
      </c>
      <c r="J48" s="34" t="n"/>
    </row>
    <row r="49" ht="18" customHeight="1">
      <c r="A49" s="33" t="n">
        <v>2</v>
      </c>
      <c r="B49" s="35" t="n"/>
      <c r="D49" s="36" t="n"/>
      <c r="E49" s="30">
        <f>IFERROR(SUM(D48:D49),"")</f>
        <v/>
      </c>
      <c r="F49" s="30">
        <f>IFERROR(IF(D49="","",FLOOR(E48/F45,1)+1),"")</f>
        <v/>
      </c>
      <c r="G49" s="30">
        <f>IFERROR(IF(D49="","",CEILING(E49/F45,1)),"")</f>
        <v/>
      </c>
      <c r="H49" s="30">
        <f>IFERROR(IF(D49="","",TEXT('Getting Started'!B7+(F49-1)*7,"MMM D")),"")</f>
        <v/>
      </c>
      <c r="I49" s="30">
        <f>IFERROR(IF(D49="","",TEXT('Getting Started'!B7+(G49)*7,"MMM D")),"")</f>
        <v/>
      </c>
      <c r="J49" s="34" t="n"/>
    </row>
    <row r="50" ht="18" customHeight="1">
      <c r="A50" s="33" t="n">
        <v>3</v>
      </c>
      <c r="B50" s="27" t="n"/>
      <c r="D50" s="34" t="n"/>
      <c r="E50" s="30">
        <f>IFERROR(SUM(D48:D50),"")</f>
        <v/>
      </c>
      <c r="F50" s="30">
        <f>IFERROR(IF(D50="","",FLOOR(E49/F45,1)+1),"")</f>
        <v/>
      </c>
      <c r="G50" s="30">
        <f>IFERROR(IF(D50="","",CEILING(E50/F45,1)),"")</f>
        <v/>
      </c>
      <c r="H50" s="30">
        <f>IFERROR(IF(D50="","",TEXT('Getting Started'!B7+(F50-1)*7,"MMM D")),"")</f>
        <v/>
      </c>
      <c r="I50" s="30">
        <f>IFERROR(IF(D50="","",TEXT('Getting Started'!B7+(G50)*7,"MMM D")),"")</f>
        <v/>
      </c>
      <c r="J50" s="34" t="n"/>
    </row>
    <row r="51" ht="18" customHeight="1">
      <c r="A51" s="33" t="n">
        <v>4</v>
      </c>
      <c r="B51" s="35" t="n"/>
      <c r="D51" s="36" t="n"/>
      <c r="E51" s="30">
        <f>IFERROR(SUM(D48:D51),"")</f>
        <v/>
      </c>
      <c r="F51" s="30">
        <f>IFERROR(IF(D51="","",FLOOR(E50/F45,1)+1),"")</f>
        <v/>
      </c>
      <c r="G51" s="30">
        <f>IFERROR(IF(D51="","",CEILING(E51/F45,1)),"")</f>
        <v/>
      </c>
      <c r="H51" s="30">
        <f>IFERROR(IF(D51="","",TEXT('Getting Started'!B7+(F51-1)*7,"MMM D")),"")</f>
        <v/>
      </c>
      <c r="I51" s="30">
        <f>IFERROR(IF(D51="","",TEXT('Getting Started'!B7+(G51)*7,"MMM D")),"")</f>
        <v/>
      </c>
      <c r="J51" s="34" t="n"/>
    </row>
    <row r="52" ht="18" customHeight="1">
      <c r="A52" s="33" t="n">
        <v>5</v>
      </c>
      <c r="B52" s="27" t="n"/>
      <c r="D52" s="34" t="n"/>
      <c r="E52" s="30">
        <f>IFERROR(SUM(D48:D52),"")</f>
        <v/>
      </c>
      <c r="F52" s="30">
        <f>IFERROR(IF(D52="","",FLOOR(E51/F45,1)+1),"")</f>
        <v/>
      </c>
      <c r="G52" s="30">
        <f>IFERROR(IF(D52="","",CEILING(E52/F45,1)),"")</f>
        <v/>
      </c>
      <c r="H52" s="30">
        <f>IFERROR(IF(D52="","",TEXT('Getting Started'!B7+(F52-1)*7,"MMM D")),"")</f>
        <v/>
      </c>
      <c r="I52" s="30">
        <f>IFERROR(IF(D52="","",TEXT('Getting Started'!B7+(G52)*7,"MMM D")),"")</f>
        <v/>
      </c>
      <c r="J52" s="34" t="n"/>
    </row>
    <row r="53" ht="18" customHeight="1">
      <c r="A53" s="33" t="n">
        <v>6</v>
      </c>
      <c r="B53" s="35" t="n"/>
      <c r="D53" s="36" t="n"/>
      <c r="E53" s="30">
        <f>IFERROR(SUM(D48:D53),"")</f>
        <v/>
      </c>
      <c r="F53" s="30">
        <f>IFERROR(IF(D53="","",FLOOR(E52/F45,1)+1),"")</f>
        <v/>
      </c>
      <c r="G53" s="30">
        <f>IFERROR(IF(D53="","",CEILING(E53/F45,1)),"")</f>
        <v/>
      </c>
      <c r="H53" s="30">
        <f>IFERROR(IF(D53="","",TEXT('Getting Started'!B7+(F53-1)*7,"MMM D")),"")</f>
        <v/>
      </c>
      <c r="I53" s="30">
        <f>IFERROR(IF(D53="","",TEXT('Getting Started'!B7+(G53)*7,"MMM D")),"")</f>
        <v/>
      </c>
      <c r="J53" s="34" t="n"/>
    </row>
    <row r="54" ht="20" customHeight="1">
      <c r="A54" s="43" t="inlineStr">
        <is>
          <t>Notes:</t>
        </is>
      </c>
      <c r="B54" s="37" t="n"/>
    </row>
    <row r="55" ht="24" customHeight="1">
      <c r="A55" s="44" t="inlineStr">
        <is>
          <t xml:space="preserve">  WRITING / COMPOSITION</t>
        </is>
      </c>
    </row>
    <row r="56" ht="20" customHeight="1">
      <c r="A56" s="45" t="inlineStr">
        <is>
          <t>Curriculum / Title:</t>
        </is>
      </c>
      <c r="B56" s="27" t="n"/>
      <c r="F56" s="45" t="inlineStr">
        <is>
          <t>Unit type:</t>
        </is>
      </c>
      <c r="G56" s="27" t="inlineStr">
        <is>
          <t>pages</t>
        </is>
      </c>
      <c r="I56" s="28" t="inlineStr">
        <is>
          <t>← type: pages, lessons, chapters…</t>
        </is>
      </c>
      <c r="J56" s="29" t="n"/>
    </row>
    <row r="57" ht="22" customHeight="1">
      <c r="A57" s="45" t="inlineStr">
        <is>
          <t>Total Units:</t>
        </is>
      </c>
      <c r="B57" s="27" t="n"/>
      <c r="C57" s="45" t="inlineStr">
        <is>
          <t>School Weeks:</t>
        </is>
      </c>
      <c r="D57" s="30">
        <f>'Getting Started'!B9</f>
        <v/>
      </c>
      <c r="E57" s="45" t="inlineStr">
        <is>
          <t>Units / Week:</t>
        </is>
      </c>
      <c r="F57" s="12">
        <f>IFERROR(IF(B57="","",ROUND(B57/D57,1)),"")</f>
        <v/>
      </c>
      <c r="G57" s="45" t="inlineStr">
        <is>
          <t>Units / Day:</t>
        </is>
      </c>
      <c r="H57" s="12">
        <f>IFERROR(IF(F57="","",ROUND(F57/'Getting Started'!B10,1)),"")</f>
        <v/>
      </c>
      <c r="I57" s="45" t="inlineStr">
        <is>
          <t>Est. End Date:</t>
        </is>
      </c>
      <c r="J57" s="12">
        <f>IFERROR(IF(B57="","",TEXT('Getting Started'!B7+(B57/'Getting Started'!B10),"MMM D, YYYY")),"")</f>
        <v/>
      </c>
    </row>
    <row r="58" ht="18" customHeight="1">
      <c r="A58" s="31" t="inlineStr">
        <is>
          <t xml:space="preserve">  Optional: Component / Volume Breakdown  (fill in if curriculum has multiple books or parts)</t>
        </is>
      </c>
    </row>
    <row r="59" ht="18" customHeight="1">
      <c r="A59" s="32" t="inlineStr">
        <is>
          <t>#</t>
        </is>
      </c>
      <c r="B59" s="32" t="inlineStr">
        <is>
          <t>Component / Book Title</t>
        </is>
      </c>
      <c r="C59" s="29" t="n"/>
      <c r="D59" s="32" t="inlineStr">
        <is>
          <t>Total Units
in Component</t>
        </is>
      </c>
      <c r="E59" s="32" t="inlineStr">
        <is>
          <t>Cumulative
Units</t>
        </is>
      </c>
      <c r="F59" s="32" t="inlineStr">
        <is>
          <t>Start
Week</t>
        </is>
      </c>
      <c r="G59" s="32" t="inlineStr">
        <is>
          <t>End
Week</t>
        </is>
      </c>
      <c r="H59" s="32" t="inlineStr">
        <is>
          <t>Start
Date</t>
        </is>
      </c>
      <c r="I59" s="32" t="inlineStr">
        <is>
          <t>End
Date</t>
        </is>
      </c>
      <c r="J59" s="32" t="inlineStr">
        <is>
          <t>Complete?</t>
        </is>
      </c>
    </row>
    <row r="60" ht="18" customHeight="1">
      <c r="A60" s="33" t="n">
        <v>1</v>
      </c>
      <c r="B60" s="27" t="n"/>
      <c r="D60" s="34" t="n"/>
      <c r="E60" s="30">
        <f>IFERROR(SUM(D60:D60),"")</f>
        <v/>
      </c>
      <c r="F60" s="30">
        <f>IF(D60="","",1)</f>
        <v/>
      </c>
      <c r="G60" s="30">
        <f>IFERROR(IF(D60="","",CEILING(E60/F57,1)),"")</f>
        <v/>
      </c>
      <c r="H60" s="30">
        <f>IFERROR(IF(D60="","",TEXT('Getting Started'!B7+(F60-1)*7,"MMM D")),"")</f>
        <v/>
      </c>
      <c r="I60" s="30">
        <f>IFERROR(IF(D60="","",TEXT('Getting Started'!B7+(G60)*7,"MMM D")),"")</f>
        <v/>
      </c>
      <c r="J60" s="34" t="n"/>
    </row>
    <row r="61" ht="18" customHeight="1">
      <c r="A61" s="33" t="n">
        <v>2</v>
      </c>
      <c r="B61" s="35" t="n"/>
      <c r="D61" s="36" t="n"/>
      <c r="E61" s="30">
        <f>IFERROR(SUM(D60:D61),"")</f>
        <v/>
      </c>
      <c r="F61" s="30">
        <f>IFERROR(IF(D61="","",FLOOR(E60/F57,1)+1),"")</f>
        <v/>
      </c>
      <c r="G61" s="30">
        <f>IFERROR(IF(D61="","",CEILING(E61/F57,1)),"")</f>
        <v/>
      </c>
      <c r="H61" s="30">
        <f>IFERROR(IF(D61="","",TEXT('Getting Started'!B7+(F61-1)*7,"MMM D")),"")</f>
        <v/>
      </c>
      <c r="I61" s="30">
        <f>IFERROR(IF(D61="","",TEXT('Getting Started'!B7+(G61)*7,"MMM D")),"")</f>
        <v/>
      </c>
      <c r="J61" s="34" t="n"/>
    </row>
    <row r="62" ht="18" customHeight="1">
      <c r="A62" s="33" t="n">
        <v>3</v>
      </c>
      <c r="B62" s="27" t="n"/>
      <c r="D62" s="34" t="n"/>
      <c r="E62" s="30">
        <f>IFERROR(SUM(D60:D62),"")</f>
        <v/>
      </c>
      <c r="F62" s="30">
        <f>IFERROR(IF(D62="","",FLOOR(E61/F57,1)+1),"")</f>
        <v/>
      </c>
      <c r="G62" s="30">
        <f>IFERROR(IF(D62="","",CEILING(E62/F57,1)),"")</f>
        <v/>
      </c>
      <c r="H62" s="30">
        <f>IFERROR(IF(D62="","",TEXT('Getting Started'!B7+(F62-1)*7,"MMM D")),"")</f>
        <v/>
      </c>
      <c r="I62" s="30">
        <f>IFERROR(IF(D62="","",TEXT('Getting Started'!B7+(G62)*7,"MMM D")),"")</f>
        <v/>
      </c>
      <c r="J62" s="34" t="n"/>
    </row>
    <row r="63" ht="18" customHeight="1">
      <c r="A63" s="33" t="n">
        <v>4</v>
      </c>
      <c r="B63" s="35" t="n"/>
      <c r="D63" s="36" t="n"/>
      <c r="E63" s="30">
        <f>IFERROR(SUM(D60:D63),"")</f>
        <v/>
      </c>
      <c r="F63" s="30">
        <f>IFERROR(IF(D63="","",FLOOR(E62/F57,1)+1),"")</f>
        <v/>
      </c>
      <c r="G63" s="30">
        <f>IFERROR(IF(D63="","",CEILING(E63/F57,1)),"")</f>
        <v/>
      </c>
      <c r="H63" s="30">
        <f>IFERROR(IF(D63="","",TEXT('Getting Started'!B7+(F63-1)*7,"MMM D")),"")</f>
        <v/>
      </c>
      <c r="I63" s="30">
        <f>IFERROR(IF(D63="","",TEXT('Getting Started'!B7+(G63)*7,"MMM D")),"")</f>
        <v/>
      </c>
      <c r="J63" s="34" t="n"/>
    </row>
    <row r="64" ht="18" customHeight="1">
      <c r="A64" s="33" t="n">
        <v>5</v>
      </c>
      <c r="B64" s="27" t="n"/>
      <c r="D64" s="34" t="n"/>
      <c r="E64" s="30">
        <f>IFERROR(SUM(D60:D64),"")</f>
        <v/>
      </c>
      <c r="F64" s="30">
        <f>IFERROR(IF(D64="","",FLOOR(E63/F57,1)+1),"")</f>
        <v/>
      </c>
      <c r="G64" s="30">
        <f>IFERROR(IF(D64="","",CEILING(E64/F57,1)),"")</f>
        <v/>
      </c>
      <c r="H64" s="30">
        <f>IFERROR(IF(D64="","",TEXT('Getting Started'!B7+(F64-1)*7,"MMM D")),"")</f>
        <v/>
      </c>
      <c r="I64" s="30">
        <f>IFERROR(IF(D64="","",TEXT('Getting Started'!B7+(G64)*7,"MMM D")),"")</f>
        <v/>
      </c>
      <c r="J64" s="34" t="n"/>
    </row>
    <row r="65" ht="18" customHeight="1">
      <c r="A65" s="33" t="n">
        <v>6</v>
      </c>
      <c r="B65" s="35" t="n"/>
      <c r="D65" s="36" t="n"/>
      <c r="E65" s="30">
        <f>IFERROR(SUM(D60:D65),"")</f>
        <v/>
      </c>
      <c r="F65" s="30">
        <f>IFERROR(IF(D65="","",FLOOR(E64/F57,1)+1),"")</f>
        <v/>
      </c>
      <c r="G65" s="30">
        <f>IFERROR(IF(D65="","",CEILING(E65/F57,1)),"")</f>
        <v/>
      </c>
      <c r="H65" s="30">
        <f>IFERROR(IF(D65="","",TEXT('Getting Started'!B7+(F65-1)*7,"MMM D")),"")</f>
        <v/>
      </c>
      <c r="I65" s="30">
        <f>IFERROR(IF(D65="","",TEXT('Getting Started'!B7+(G65)*7,"MMM D")),"")</f>
        <v/>
      </c>
      <c r="J65" s="34" t="n"/>
    </row>
    <row r="66" ht="20" customHeight="1">
      <c r="A66" s="45" t="inlineStr">
        <is>
          <t>Notes:</t>
        </is>
      </c>
      <c r="B66" s="37" t="n"/>
    </row>
    <row r="67" ht="24" customHeight="1">
      <c r="A67" s="46" t="inlineStr">
        <is>
          <t xml:space="preserve">  SCIENCE</t>
        </is>
      </c>
    </row>
    <row r="68" ht="20" customHeight="1">
      <c r="A68" s="47" t="inlineStr">
        <is>
          <t>Curriculum / Title:</t>
        </is>
      </c>
      <c r="B68" s="27" t="n"/>
      <c r="F68" s="47" t="inlineStr">
        <is>
          <t>Unit type:</t>
        </is>
      </c>
      <c r="G68" s="27" t="inlineStr">
        <is>
          <t>pages</t>
        </is>
      </c>
      <c r="I68" s="28" t="inlineStr">
        <is>
          <t>← type: pages, lessons, chapters…</t>
        </is>
      </c>
      <c r="J68" s="29" t="n"/>
    </row>
    <row r="69" ht="22" customHeight="1">
      <c r="A69" s="47" t="inlineStr">
        <is>
          <t>Total Units:</t>
        </is>
      </c>
      <c r="B69" s="27" t="n"/>
      <c r="C69" s="47" t="inlineStr">
        <is>
          <t>School Weeks:</t>
        </is>
      </c>
      <c r="D69" s="30">
        <f>'Getting Started'!B9</f>
        <v/>
      </c>
      <c r="E69" s="47" t="inlineStr">
        <is>
          <t>Units / Week:</t>
        </is>
      </c>
      <c r="F69" s="12">
        <f>IFERROR(IF(B69="","",ROUND(B69/D69,1)),"")</f>
        <v/>
      </c>
      <c r="G69" s="47" t="inlineStr">
        <is>
          <t>Units / Day:</t>
        </is>
      </c>
      <c r="H69" s="12">
        <f>IFERROR(IF(F69="","",ROUND(F69/'Getting Started'!B10,1)),"")</f>
        <v/>
      </c>
      <c r="I69" s="47" t="inlineStr">
        <is>
          <t>Est. End Date:</t>
        </is>
      </c>
      <c r="J69" s="12">
        <f>IFERROR(IF(B69="","",TEXT('Getting Started'!B7+(B69/'Getting Started'!B10),"MMM D, YYYY")),"")</f>
        <v/>
      </c>
    </row>
    <row r="70" ht="18" customHeight="1">
      <c r="A70" s="31" t="inlineStr">
        <is>
          <t xml:space="preserve">  Optional: Component / Volume Breakdown  (fill in if curriculum has multiple books or parts)</t>
        </is>
      </c>
    </row>
    <row r="71" ht="18" customHeight="1">
      <c r="A71" s="32" t="inlineStr">
        <is>
          <t>#</t>
        </is>
      </c>
      <c r="B71" s="32" t="inlineStr">
        <is>
          <t>Component / Book Title</t>
        </is>
      </c>
      <c r="C71" s="29" t="n"/>
      <c r="D71" s="32" t="inlineStr">
        <is>
          <t>Total Units
in Component</t>
        </is>
      </c>
      <c r="E71" s="32" t="inlineStr">
        <is>
          <t>Cumulative
Units</t>
        </is>
      </c>
      <c r="F71" s="32" t="inlineStr">
        <is>
          <t>Start
Week</t>
        </is>
      </c>
      <c r="G71" s="32" t="inlineStr">
        <is>
          <t>End
Week</t>
        </is>
      </c>
      <c r="H71" s="32" t="inlineStr">
        <is>
          <t>Start
Date</t>
        </is>
      </c>
      <c r="I71" s="32" t="inlineStr">
        <is>
          <t>End
Date</t>
        </is>
      </c>
      <c r="J71" s="32" t="inlineStr">
        <is>
          <t>Complete?</t>
        </is>
      </c>
    </row>
    <row r="72" ht="18" customHeight="1">
      <c r="A72" s="33" t="n">
        <v>1</v>
      </c>
      <c r="B72" s="27" t="n"/>
      <c r="D72" s="34" t="n"/>
      <c r="E72" s="30">
        <f>IFERROR(SUM(D72:D72),"")</f>
        <v/>
      </c>
      <c r="F72" s="30">
        <f>IF(D72="","",1)</f>
        <v/>
      </c>
      <c r="G72" s="30">
        <f>IFERROR(IF(D72="","",CEILING(E72/F69,1)),"")</f>
        <v/>
      </c>
      <c r="H72" s="30">
        <f>IFERROR(IF(D72="","",TEXT('Getting Started'!B7+(F72-1)*7,"MMM D")),"")</f>
        <v/>
      </c>
      <c r="I72" s="30">
        <f>IFERROR(IF(D72="","",TEXT('Getting Started'!B7+(G72)*7,"MMM D")),"")</f>
        <v/>
      </c>
      <c r="J72" s="34" t="n"/>
    </row>
    <row r="73" ht="18" customHeight="1">
      <c r="A73" s="33" t="n">
        <v>2</v>
      </c>
      <c r="B73" s="35" t="n"/>
      <c r="D73" s="36" t="n"/>
      <c r="E73" s="30">
        <f>IFERROR(SUM(D72:D73),"")</f>
        <v/>
      </c>
      <c r="F73" s="30">
        <f>IFERROR(IF(D73="","",FLOOR(E72/F69,1)+1),"")</f>
        <v/>
      </c>
      <c r="G73" s="30">
        <f>IFERROR(IF(D73="","",CEILING(E73/F69,1)),"")</f>
        <v/>
      </c>
      <c r="H73" s="30">
        <f>IFERROR(IF(D73="","",TEXT('Getting Started'!B7+(F73-1)*7,"MMM D")),"")</f>
        <v/>
      </c>
      <c r="I73" s="30">
        <f>IFERROR(IF(D73="","",TEXT('Getting Started'!B7+(G73)*7,"MMM D")),"")</f>
        <v/>
      </c>
      <c r="J73" s="34" t="n"/>
    </row>
    <row r="74" ht="18" customHeight="1">
      <c r="A74" s="33" t="n">
        <v>3</v>
      </c>
      <c r="B74" s="27" t="n"/>
      <c r="D74" s="34" t="n"/>
      <c r="E74" s="30">
        <f>IFERROR(SUM(D72:D74),"")</f>
        <v/>
      </c>
      <c r="F74" s="30">
        <f>IFERROR(IF(D74="","",FLOOR(E73/F69,1)+1),"")</f>
        <v/>
      </c>
      <c r="G74" s="30">
        <f>IFERROR(IF(D74="","",CEILING(E74/F69,1)),"")</f>
        <v/>
      </c>
      <c r="H74" s="30">
        <f>IFERROR(IF(D74="","",TEXT('Getting Started'!B7+(F74-1)*7,"MMM D")),"")</f>
        <v/>
      </c>
      <c r="I74" s="30">
        <f>IFERROR(IF(D74="","",TEXT('Getting Started'!B7+(G74)*7,"MMM D")),"")</f>
        <v/>
      </c>
      <c r="J74" s="34" t="n"/>
    </row>
    <row r="75" ht="18" customHeight="1">
      <c r="A75" s="33" t="n">
        <v>4</v>
      </c>
      <c r="B75" s="35" t="n"/>
      <c r="D75" s="36" t="n"/>
      <c r="E75" s="30">
        <f>IFERROR(SUM(D72:D75),"")</f>
        <v/>
      </c>
      <c r="F75" s="30">
        <f>IFERROR(IF(D75="","",FLOOR(E74/F69,1)+1),"")</f>
        <v/>
      </c>
      <c r="G75" s="30">
        <f>IFERROR(IF(D75="","",CEILING(E75/F69,1)),"")</f>
        <v/>
      </c>
      <c r="H75" s="30">
        <f>IFERROR(IF(D75="","",TEXT('Getting Started'!B7+(F75-1)*7,"MMM D")),"")</f>
        <v/>
      </c>
      <c r="I75" s="30">
        <f>IFERROR(IF(D75="","",TEXT('Getting Started'!B7+(G75)*7,"MMM D")),"")</f>
        <v/>
      </c>
      <c r="J75" s="34" t="n"/>
    </row>
    <row r="76" ht="18" customHeight="1">
      <c r="A76" s="33" t="n">
        <v>5</v>
      </c>
      <c r="B76" s="27" t="n"/>
      <c r="D76" s="34" t="n"/>
      <c r="E76" s="30">
        <f>IFERROR(SUM(D72:D76),"")</f>
        <v/>
      </c>
      <c r="F76" s="30">
        <f>IFERROR(IF(D76="","",FLOOR(E75/F69,1)+1),"")</f>
        <v/>
      </c>
      <c r="G76" s="30">
        <f>IFERROR(IF(D76="","",CEILING(E76/F69,1)),"")</f>
        <v/>
      </c>
      <c r="H76" s="30">
        <f>IFERROR(IF(D76="","",TEXT('Getting Started'!B7+(F76-1)*7,"MMM D")),"")</f>
        <v/>
      </c>
      <c r="I76" s="30">
        <f>IFERROR(IF(D76="","",TEXT('Getting Started'!B7+(G76)*7,"MMM D")),"")</f>
        <v/>
      </c>
      <c r="J76" s="34" t="n"/>
    </row>
    <row r="77" ht="18" customHeight="1">
      <c r="A77" s="33" t="n">
        <v>6</v>
      </c>
      <c r="B77" s="35" t="n"/>
      <c r="D77" s="36" t="n"/>
      <c r="E77" s="30">
        <f>IFERROR(SUM(D72:D77),"")</f>
        <v/>
      </c>
      <c r="F77" s="30">
        <f>IFERROR(IF(D77="","",FLOOR(E76/F69,1)+1),"")</f>
        <v/>
      </c>
      <c r="G77" s="30">
        <f>IFERROR(IF(D77="","",CEILING(E77/F69,1)),"")</f>
        <v/>
      </c>
      <c r="H77" s="30">
        <f>IFERROR(IF(D77="","",TEXT('Getting Started'!B7+(F77-1)*7,"MMM D")),"")</f>
        <v/>
      </c>
      <c r="I77" s="30">
        <f>IFERROR(IF(D77="","",TEXT('Getting Started'!B7+(G77)*7,"MMM D")),"")</f>
        <v/>
      </c>
      <c r="J77" s="34" t="n"/>
    </row>
    <row r="78" ht="20" customHeight="1">
      <c r="A78" s="47" t="inlineStr">
        <is>
          <t>Notes:</t>
        </is>
      </c>
      <c r="B78" s="37" t="n"/>
    </row>
    <row r="79" ht="24" customHeight="1">
      <c r="A79" s="48" t="inlineStr">
        <is>
          <t xml:space="preserve">  SOCIAL STUDIES / HISTORY</t>
        </is>
      </c>
    </row>
    <row r="80" ht="20" customHeight="1">
      <c r="A80" s="49" t="inlineStr">
        <is>
          <t>Curriculum / Title:</t>
        </is>
      </c>
      <c r="B80" s="27" t="n"/>
      <c r="F80" s="49" t="inlineStr">
        <is>
          <t>Unit type:</t>
        </is>
      </c>
      <c r="G80" s="27" t="inlineStr">
        <is>
          <t>pages</t>
        </is>
      </c>
      <c r="I80" s="28" t="inlineStr">
        <is>
          <t>← type: pages, lessons, chapters…</t>
        </is>
      </c>
      <c r="J80" s="29" t="n"/>
    </row>
    <row r="81" ht="22" customHeight="1">
      <c r="A81" s="49" t="inlineStr">
        <is>
          <t>Total Units:</t>
        </is>
      </c>
      <c r="B81" s="27" t="n"/>
      <c r="C81" s="49" t="inlineStr">
        <is>
          <t>School Weeks:</t>
        </is>
      </c>
      <c r="D81" s="30">
        <f>'Getting Started'!B9</f>
        <v/>
      </c>
      <c r="E81" s="49" t="inlineStr">
        <is>
          <t>Units / Week:</t>
        </is>
      </c>
      <c r="F81" s="12">
        <f>IFERROR(IF(B81="","",ROUND(B81/D81,1)),"")</f>
        <v/>
      </c>
      <c r="G81" s="49" t="inlineStr">
        <is>
          <t>Units / Day:</t>
        </is>
      </c>
      <c r="H81" s="12">
        <f>IFERROR(IF(F81="","",ROUND(F81/'Getting Started'!B10,1)),"")</f>
        <v/>
      </c>
      <c r="I81" s="49" t="inlineStr">
        <is>
          <t>Est. End Date:</t>
        </is>
      </c>
      <c r="J81" s="12">
        <f>IFERROR(IF(B81="","",TEXT('Getting Started'!B7+(B81/'Getting Started'!B10),"MMM D, YYYY")),"")</f>
        <v/>
      </c>
    </row>
    <row r="82" ht="18" customHeight="1">
      <c r="A82" s="31" t="inlineStr">
        <is>
          <t xml:space="preserve">  Optional: Component / Volume Breakdown  (fill in if curriculum has multiple books or parts)</t>
        </is>
      </c>
    </row>
    <row r="83" ht="18" customHeight="1">
      <c r="A83" s="32" t="inlineStr">
        <is>
          <t>#</t>
        </is>
      </c>
      <c r="B83" s="32" t="inlineStr">
        <is>
          <t>Component / Book Title</t>
        </is>
      </c>
      <c r="C83" s="29" t="n"/>
      <c r="D83" s="32" t="inlineStr">
        <is>
          <t>Total Units
in Component</t>
        </is>
      </c>
      <c r="E83" s="32" t="inlineStr">
        <is>
          <t>Cumulative
Units</t>
        </is>
      </c>
      <c r="F83" s="32" t="inlineStr">
        <is>
          <t>Start
Week</t>
        </is>
      </c>
      <c r="G83" s="32" t="inlineStr">
        <is>
          <t>End
Week</t>
        </is>
      </c>
      <c r="H83" s="32" t="inlineStr">
        <is>
          <t>Start
Date</t>
        </is>
      </c>
      <c r="I83" s="32" t="inlineStr">
        <is>
          <t>End
Date</t>
        </is>
      </c>
      <c r="J83" s="32" t="inlineStr">
        <is>
          <t>Complete?</t>
        </is>
      </c>
    </row>
    <row r="84" ht="18" customHeight="1">
      <c r="A84" s="33" t="n">
        <v>1</v>
      </c>
      <c r="B84" s="27" t="n"/>
      <c r="D84" s="34" t="n"/>
      <c r="E84" s="30">
        <f>IFERROR(SUM(D84:D84),"")</f>
        <v/>
      </c>
      <c r="F84" s="30">
        <f>IF(D84="","",1)</f>
        <v/>
      </c>
      <c r="G84" s="30">
        <f>IFERROR(IF(D84="","",CEILING(E84/F81,1)),"")</f>
        <v/>
      </c>
      <c r="H84" s="30">
        <f>IFERROR(IF(D84="","",TEXT('Getting Started'!B7+(F84-1)*7,"MMM D")),"")</f>
        <v/>
      </c>
      <c r="I84" s="30">
        <f>IFERROR(IF(D84="","",TEXT('Getting Started'!B7+(G84)*7,"MMM D")),"")</f>
        <v/>
      </c>
      <c r="J84" s="34" t="n"/>
    </row>
    <row r="85" ht="18" customHeight="1">
      <c r="A85" s="33" t="n">
        <v>2</v>
      </c>
      <c r="B85" s="35" t="n"/>
      <c r="D85" s="36" t="n"/>
      <c r="E85" s="30">
        <f>IFERROR(SUM(D84:D85),"")</f>
        <v/>
      </c>
      <c r="F85" s="30">
        <f>IFERROR(IF(D85="","",FLOOR(E84/F81,1)+1),"")</f>
        <v/>
      </c>
      <c r="G85" s="30">
        <f>IFERROR(IF(D85="","",CEILING(E85/F81,1)),"")</f>
        <v/>
      </c>
      <c r="H85" s="30">
        <f>IFERROR(IF(D85="","",TEXT('Getting Started'!B7+(F85-1)*7,"MMM D")),"")</f>
        <v/>
      </c>
      <c r="I85" s="30">
        <f>IFERROR(IF(D85="","",TEXT('Getting Started'!B7+(G85)*7,"MMM D")),"")</f>
        <v/>
      </c>
      <c r="J85" s="34" t="n"/>
    </row>
    <row r="86" ht="18" customHeight="1">
      <c r="A86" s="33" t="n">
        <v>3</v>
      </c>
      <c r="B86" s="27" t="n"/>
      <c r="D86" s="34" t="n"/>
      <c r="E86" s="30">
        <f>IFERROR(SUM(D84:D86),"")</f>
        <v/>
      </c>
      <c r="F86" s="30">
        <f>IFERROR(IF(D86="","",FLOOR(E85/F81,1)+1),"")</f>
        <v/>
      </c>
      <c r="G86" s="30">
        <f>IFERROR(IF(D86="","",CEILING(E86/F81,1)),"")</f>
        <v/>
      </c>
      <c r="H86" s="30">
        <f>IFERROR(IF(D86="","",TEXT('Getting Started'!B7+(F86-1)*7,"MMM D")),"")</f>
        <v/>
      </c>
      <c r="I86" s="30">
        <f>IFERROR(IF(D86="","",TEXT('Getting Started'!B7+(G86)*7,"MMM D")),"")</f>
        <v/>
      </c>
      <c r="J86" s="34" t="n"/>
    </row>
    <row r="87" ht="18" customHeight="1">
      <c r="A87" s="33" t="n">
        <v>4</v>
      </c>
      <c r="B87" s="35" t="n"/>
      <c r="D87" s="36" t="n"/>
      <c r="E87" s="30">
        <f>IFERROR(SUM(D84:D87),"")</f>
        <v/>
      </c>
      <c r="F87" s="30">
        <f>IFERROR(IF(D87="","",FLOOR(E86/F81,1)+1),"")</f>
        <v/>
      </c>
      <c r="G87" s="30">
        <f>IFERROR(IF(D87="","",CEILING(E87/F81,1)),"")</f>
        <v/>
      </c>
      <c r="H87" s="30">
        <f>IFERROR(IF(D87="","",TEXT('Getting Started'!B7+(F87-1)*7,"MMM D")),"")</f>
        <v/>
      </c>
      <c r="I87" s="30">
        <f>IFERROR(IF(D87="","",TEXT('Getting Started'!B7+(G87)*7,"MMM D")),"")</f>
        <v/>
      </c>
      <c r="J87" s="34" t="n"/>
    </row>
    <row r="88" ht="18" customHeight="1">
      <c r="A88" s="33" t="n">
        <v>5</v>
      </c>
      <c r="B88" s="27" t="n"/>
      <c r="D88" s="34" t="n"/>
      <c r="E88" s="30">
        <f>IFERROR(SUM(D84:D88),"")</f>
        <v/>
      </c>
      <c r="F88" s="30">
        <f>IFERROR(IF(D88="","",FLOOR(E87/F81,1)+1),"")</f>
        <v/>
      </c>
      <c r="G88" s="30">
        <f>IFERROR(IF(D88="","",CEILING(E88/F81,1)),"")</f>
        <v/>
      </c>
      <c r="H88" s="30">
        <f>IFERROR(IF(D88="","",TEXT('Getting Started'!B7+(F88-1)*7,"MMM D")),"")</f>
        <v/>
      </c>
      <c r="I88" s="30">
        <f>IFERROR(IF(D88="","",TEXT('Getting Started'!B7+(G88)*7,"MMM D")),"")</f>
        <v/>
      </c>
      <c r="J88" s="34" t="n"/>
    </row>
    <row r="89" ht="18" customHeight="1">
      <c r="A89" s="33" t="n">
        <v>6</v>
      </c>
      <c r="B89" s="35" t="n"/>
      <c r="D89" s="36" t="n"/>
      <c r="E89" s="30">
        <f>IFERROR(SUM(D84:D89),"")</f>
        <v/>
      </c>
      <c r="F89" s="30">
        <f>IFERROR(IF(D89="","",FLOOR(E88/F81,1)+1),"")</f>
        <v/>
      </c>
      <c r="G89" s="30">
        <f>IFERROR(IF(D89="","",CEILING(E89/F81,1)),"")</f>
        <v/>
      </c>
      <c r="H89" s="30">
        <f>IFERROR(IF(D89="","",TEXT('Getting Started'!B7+(F89-1)*7,"MMM D")),"")</f>
        <v/>
      </c>
      <c r="I89" s="30">
        <f>IFERROR(IF(D89="","",TEXT('Getting Started'!B7+(G89)*7,"MMM D")),"")</f>
        <v/>
      </c>
      <c r="J89" s="34" t="n"/>
    </row>
    <row r="90" ht="20" customHeight="1">
      <c r="A90" s="49" t="inlineStr">
        <is>
          <t>Notes:</t>
        </is>
      </c>
      <c r="B90" s="37" t="n"/>
    </row>
    <row r="91" ht="24" customHeight="1">
      <c r="A91" s="50" t="inlineStr">
        <is>
          <t xml:space="preserve">  HEALTH</t>
        </is>
      </c>
    </row>
    <row r="92" ht="20" customHeight="1">
      <c r="A92" s="51" t="inlineStr">
        <is>
          <t>Curriculum / Title:</t>
        </is>
      </c>
      <c r="B92" s="27" t="n"/>
      <c r="F92" s="51" t="inlineStr">
        <is>
          <t>Unit type:</t>
        </is>
      </c>
      <c r="G92" s="27" t="inlineStr">
        <is>
          <t>pages</t>
        </is>
      </c>
      <c r="I92" s="28" t="inlineStr">
        <is>
          <t>← type: pages, lessons, chapters…</t>
        </is>
      </c>
      <c r="J92" s="29" t="n"/>
    </row>
    <row r="93" ht="22" customHeight="1">
      <c r="A93" s="51" t="inlineStr">
        <is>
          <t>Total Units:</t>
        </is>
      </c>
      <c r="B93" s="27" t="n"/>
      <c r="C93" s="51" t="inlineStr">
        <is>
          <t>School Weeks:</t>
        </is>
      </c>
      <c r="D93" s="30">
        <f>'Getting Started'!B9</f>
        <v/>
      </c>
      <c r="E93" s="51" t="inlineStr">
        <is>
          <t>Units / Week:</t>
        </is>
      </c>
      <c r="F93" s="12">
        <f>IFERROR(IF(B93="","",ROUND(B93/D93,1)),"")</f>
        <v/>
      </c>
      <c r="G93" s="51" t="inlineStr">
        <is>
          <t>Units / Day:</t>
        </is>
      </c>
      <c r="H93" s="12">
        <f>IFERROR(IF(F93="","",ROUND(F93/'Getting Started'!B10,1)),"")</f>
        <v/>
      </c>
      <c r="I93" s="51" t="inlineStr">
        <is>
          <t>Est. End Date:</t>
        </is>
      </c>
      <c r="J93" s="12">
        <f>IFERROR(IF(B93="","",TEXT('Getting Started'!B7+(B93/'Getting Started'!B10),"MMM D, YYYY")),"")</f>
        <v/>
      </c>
    </row>
    <row r="94" ht="18" customHeight="1">
      <c r="A94" s="31" t="inlineStr">
        <is>
          <t xml:space="preserve">  Optional: Component / Volume Breakdown  (fill in if curriculum has multiple books or parts)</t>
        </is>
      </c>
    </row>
    <row r="95" ht="18" customHeight="1">
      <c r="A95" s="32" t="inlineStr">
        <is>
          <t>#</t>
        </is>
      </c>
      <c r="B95" s="32" t="inlineStr">
        <is>
          <t>Component / Book Title</t>
        </is>
      </c>
      <c r="C95" s="29" t="n"/>
      <c r="D95" s="32" t="inlineStr">
        <is>
          <t>Total Units
in Component</t>
        </is>
      </c>
      <c r="E95" s="32" t="inlineStr">
        <is>
          <t>Cumulative
Units</t>
        </is>
      </c>
      <c r="F95" s="32" t="inlineStr">
        <is>
          <t>Start
Week</t>
        </is>
      </c>
      <c r="G95" s="32" t="inlineStr">
        <is>
          <t>End
Week</t>
        </is>
      </c>
      <c r="H95" s="32" t="inlineStr">
        <is>
          <t>Start
Date</t>
        </is>
      </c>
      <c r="I95" s="32" t="inlineStr">
        <is>
          <t>End
Date</t>
        </is>
      </c>
      <c r="J95" s="32" t="inlineStr">
        <is>
          <t>Complete?</t>
        </is>
      </c>
    </row>
    <row r="96" ht="18" customHeight="1">
      <c r="A96" s="33" t="n">
        <v>1</v>
      </c>
      <c r="B96" s="27" t="n"/>
      <c r="D96" s="34" t="n"/>
      <c r="E96" s="30">
        <f>IFERROR(SUM(D96:D96),"")</f>
        <v/>
      </c>
      <c r="F96" s="30">
        <f>IF(D96="","",1)</f>
        <v/>
      </c>
      <c r="G96" s="30">
        <f>IFERROR(IF(D96="","",CEILING(E96/F93,1)),"")</f>
        <v/>
      </c>
      <c r="H96" s="30">
        <f>IFERROR(IF(D96="","",TEXT('Getting Started'!B7+(F96-1)*7,"MMM D")),"")</f>
        <v/>
      </c>
      <c r="I96" s="30">
        <f>IFERROR(IF(D96="","",TEXT('Getting Started'!B7+(G96)*7,"MMM D")),"")</f>
        <v/>
      </c>
      <c r="J96" s="34" t="n"/>
    </row>
    <row r="97" ht="18" customHeight="1">
      <c r="A97" s="33" t="n">
        <v>2</v>
      </c>
      <c r="B97" s="35" t="n"/>
      <c r="D97" s="36" t="n"/>
      <c r="E97" s="30">
        <f>IFERROR(SUM(D96:D97),"")</f>
        <v/>
      </c>
      <c r="F97" s="30">
        <f>IFERROR(IF(D97="","",FLOOR(E96/F93,1)+1),"")</f>
        <v/>
      </c>
      <c r="G97" s="30">
        <f>IFERROR(IF(D97="","",CEILING(E97/F93,1)),"")</f>
        <v/>
      </c>
      <c r="H97" s="30">
        <f>IFERROR(IF(D97="","",TEXT('Getting Started'!B7+(F97-1)*7,"MMM D")),"")</f>
        <v/>
      </c>
      <c r="I97" s="30">
        <f>IFERROR(IF(D97="","",TEXT('Getting Started'!B7+(G97)*7,"MMM D")),"")</f>
        <v/>
      </c>
      <c r="J97" s="34" t="n"/>
    </row>
    <row r="98" ht="18" customHeight="1">
      <c r="A98" s="33" t="n">
        <v>3</v>
      </c>
      <c r="B98" s="27" t="n"/>
      <c r="D98" s="34" t="n"/>
      <c r="E98" s="30">
        <f>IFERROR(SUM(D96:D98),"")</f>
        <v/>
      </c>
      <c r="F98" s="30">
        <f>IFERROR(IF(D98="","",FLOOR(E97/F93,1)+1),"")</f>
        <v/>
      </c>
      <c r="G98" s="30">
        <f>IFERROR(IF(D98="","",CEILING(E98/F93,1)),"")</f>
        <v/>
      </c>
      <c r="H98" s="30">
        <f>IFERROR(IF(D98="","",TEXT('Getting Started'!B7+(F98-1)*7,"MMM D")),"")</f>
        <v/>
      </c>
      <c r="I98" s="30">
        <f>IFERROR(IF(D98="","",TEXT('Getting Started'!B7+(G98)*7,"MMM D")),"")</f>
        <v/>
      </c>
      <c r="J98" s="34" t="n"/>
    </row>
    <row r="99" ht="18" customHeight="1">
      <c r="A99" s="33" t="n">
        <v>4</v>
      </c>
      <c r="B99" s="35" t="n"/>
      <c r="D99" s="36" t="n"/>
      <c r="E99" s="30">
        <f>IFERROR(SUM(D96:D99),"")</f>
        <v/>
      </c>
      <c r="F99" s="30">
        <f>IFERROR(IF(D99="","",FLOOR(E98/F93,1)+1),"")</f>
        <v/>
      </c>
      <c r="G99" s="30">
        <f>IFERROR(IF(D99="","",CEILING(E99/F93,1)),"")</f>
        <v/>
      </c>
      <c r="H99" s="30">
        <f>IFERROR(IF(D99="","",TEXT('Getting Started'!B7+(F99-1)*7,"MMM D")),"")</f>
        <v/>
      </c>
      <c r="I99" s="30">
        <f>IFERROR(IF(D99="","",TEXT('Getting Started'!B7+(G99)*7,"MMM D")),"")</f>
        <v/>
      </c>
      <c r="J99" s="34" t="n"/>
    </row>
    <row r="100" ht="18" customHeight="1">
      <c r="A100" s="33" t="n">
        <v>5</v>
      </c>
      <c r="B100" s="27" t="n"/>
      <c r="D100" s="34" t="n"/>
      <c r="E100" s="30">
        <f>IFERROR(SUM(D96:D100),"")</f>
        <v/>
      </c>
      <c r="F100" s="30">
        <f>IFERROR(IF(D100="","",FLOOR(E99/F93,1)+1),"")</f>
        <v/>
      </c>
      <c r="G100" s="30">
        <f>IFERROR(IF(D100="","",CEILING(E100/F93,1)),"")</f>
        <v/>
      </c>
      <c r="H100" s="30">
        <f>IFERROR(IF(D100="","",TEXT('Getting Started'!B7+(F100-1)*7,"MMM D")),"")</f>
        <v/>
      </c>
      <c r="I100" s="30">
        <f>IFERROR(IF(D100="","",TEXT('Getting Started'!B7+(G100)*7,"MMM D")),"")</f>
        <v/>
      </c>
      <c r="J100" s="34" t="n"/>
    </row>
    <row r="101" ht="18" customHeight="1">
      <c r="A101" s="33" t="n">
        <v>6</v>
      </c>
      <c r="B101" s="35" t="n"/>
      <c r="D101" s="36" t="n"/>
      <c r="E101" s="30">
        <f>IFERROR(SUM(D96:D101),"")</f>
        <v/>
      </c>
      <c r="F101" s="30">
        <f>IFERROR(IF(D101="","",FLOOR(E100/F93,1)+1),"")</f>
        <v/>
      </c>
      <c r="G101" s="30">
        <f>IFERROR(IF(D101="","",CEILING(E101/F93,1)),"")</f>
        <v/>
      </c>
      <c r="H101" s="30">
        <f>IFERROR(IF(D101="","",TEXT('Getting Started'!B7+(F101-1)*7,"MMM D")),"")</f>
        <v/>
      </c>
      <c r="I101" s="30">
        <f>IFERROR(IF(D101="","",TEXT('Getting Started'!B7+(G101)*7,"MMM D")),"")</f>
        <v/>
      </c>
      <c r="J101" s="34" t="n"/>
    </row>
    <row r="102" ht="20" customHeight="1">
      <c r="A102" s="51" t="inlineStr">
        <is>
          <t>Notes:</t>
        </is>
      </c>
      <c r="B102" s="37" t="n"/>
    </row>
    <row r="103" ht="24" customHeight="1">
      <c r="A103" s="52" t="inlineStr">
        <is>
          <t xml:space="preserve">  PHYSICAL EDUCATION</t>
        </is>
      </c>
    </row>
    <row r="104" ht="20" customHeight="1">
      <c r="A104" s="53" t="inlineStr">
        <is>
          <t>Curriculum / Title:</t>
        </is>
      </c>
      <c r="B104" s="27" t="n"/>
      <c r="F104" s="53" t="inlineStr">
        <is>
          <t>Unit type:</t>
        </is>
      </c>
      <c r="G104" s="27" t="inlineStr">
        <is>
          <t>pages</t>
        </is>
      </c>
      <c r="I104" s="28" t="inlineStr">
        <is>
          <t>← type: pages, lessons, chapters…</t>
        </is>
      </c>
      <c r="J104" s="29" t="n"/>
    </row>
    <row r="105" ht="22" customHeight="1">
      <c r="A105" s="53" t="inlineStr">
        <is>
          <t>Total Units:</t>
        </is>
      </c>
      <c r="B105" s="27" t="n"/>
      <c r="C105" s="53" t="inlineStr">
        <is>
          <t>School Weeks:</t>
        </is>
      </c>
      <c r="D105" s="30">
        <f>'Getting Started'!B9</f>
        <v/>
      </c>
      <c r="E105" s="53" t="inlineStr">
        <is>
          <t>Units / Week:</t>
        </is>
      </c>
      <c r="F105" s="12">
        <f>IFERROR(IF(B105="","",ROUND(B105/D105,1)),"")</f>
        <v/>
      </c>
      <c r="G105" s="53" t="inlineStr">
        <is>
          <t>Units / Day:</t>
        </is>
      </c>
      <c r="H105" s="12">
        <f>IFERROR(IF(F105="","",ROUND(F105/'Getting Started'!B10,1)),"")</f>
        <v/>
      </c>
      <c r="I105" s="53" t="inlineStr">
        <is>
          <t>Est. End Date:</t>
        </is>
      </c>
      <c r="J105" s="12">
        <f>IFERROR(IF(B105="","",TEXT('Getting Started'!B7+(B105/'Getting Started'!B10),"MMM D, YYYY")),"")</f>
        <v/>
      </c>
    </row>
    <row r="106" ht="18" customHeight="1">
      <c r="A106" s="31" t="inlineStr">
        <is>
          <t xml:space="preserve">  Optional: Component / Volume Breakdown  (fill in if curriculum has multiple books or parts)</t>
        </is>
      </c>
    </row>
    <row r="107" ht="18" customHeight="1">
      <c r="A107" s="32" t="inlineStr">
        <is>
          <t>#</t>
        </is>
      </c>
      <c r="B107" s="32" t="inlineStr">
        <is>
          <t>Component / Book Title</t>
        </is>
      </c>
      <c r="C107" s="29" t="n"/>
      <c r="D107" s="32" t="inlineStr">
        <is>
          <t>Total Units
in Component</t>
        </is>
      </c>
      <c r="E107" s="32" t="inlineStr">
        <is>
          <t>Cumulative
Units</t>
        </is>
      </c>
      <c r="F107" s="32" t="inlineStr">
        <is>
          <t>Start
Week</t>
        </is>
      </c>
      <c r="G107" s="32" t="inlineStr">
        <is>
          <t>End
Week</t>
        </is>
      </c>
      <c r="H107" s="32" t="inlineStr">
        <is>
          <t>Start
Date</t>
        </is>
      </c>
      <c r="I107" s="32" t="inlineStr">
        <is>
          <t>End
Date</t>
        </is>
      </c>
      <c r="J107" s="32" t="inlineStr">
        <is>
          <t>Complete?</t>
        </is>
      </c>
    </row>
    <row r="108" ht="18" customHeight="1">
      <c r="A108" s="33" t="n">
        <v>1</v>
      </c>
      <c r="B108" s="27" t="n"/>
      <c r="D108" s="34" t="n"/>
      <c r="E108" s="30">
        <f>IFERROR(SUM(D108:D108),"")</f>
        <v/>
      </c>
      <c r="F108" s="30">
        <f>IF(D108="","",1)</f>
        <v/>
      </c>
      <c r="G108" s="30">
        <f>IFERROR(IF(D108="","",CEILING(E108/F105,1)),"")</f>
        <v/>
      </c>
      <c r="H108" s="30">
        <f>IFERROR(IF(D108="","",TEXT('Getting Started'!B7+(F108-1)*7,"MMM D")),"")</f>
        <v/>
      </c>
      <c r="I108" s="30">
        <f>IFERROR(IF(D108="","",TEXT('Getting Started'!B7+(G108)*7,"MMM D")),"")</f>
        <v/>
      </c>
      <c r="J108" s="34" t="n"/>
    </row>
    <row r="109" ht="18" customHeight="1">
      <c r="A109" s="33" t="n">
        <v>2</v>
      </c>
      <c r="B109" s="35" t="n"/>
      <c r="D109" s="36" t="n"/>
      <c r="E109" s="30">
        <f>IFERROR(SUM(D108:D109),"")</f>
        <v/>
      </c>
      <c r="F109" s="30">
        <f>IFERROR(IF(D109="","",FLOOR(E108/F105,1)+1),"")</f>
        <v/>
      </c>
      <c r="G109" s="30">
        <f>IFERROR(IF(D109="","",CEILING(E109/F105,1)),"")</f>
        <v/>
      </c>
      <c r="H109" s="30">
        <f>IFERROR(IF(D109="","",TEXT('Getting Started'!B7+(F109-1)*7,"MMM D")),"")</f>
        <v/>
      </c>
      <c r="I109" s="30">
        <f>IFERROR(IF(D109="","",TEXT('Getting Started'!B7+(G109)*7,"MMM D")),"")</f>
        <v/>
      </c>
      <c r="J109" s="34" t="n"/>
    </row>
    <row r="110" ht="18" customHeight="1">
      <c r="A110" s="33" t="n">
        <v>3</v>
      </c>
      <c r="B110" s="27" t="n"/>
      <c r="D110" s="34" t="n"/>
      <c r="E110" s="30">
        <f>IFERROR(SUM(D108:D110),"")</f>
        <v/>
      </c>
      <c r="F110" s="30">
        <f>IFERROR(IF(D110="","",FLOOR(E109/F105,1)+1),"")</f>
        <v/>
      </c>
      <c r="G110" s="30">
        <f>IFERROR(IF(D110="","",CEILING(E110/F105,1)),"")</f>
        <v/>
      </c>
      <c r="H110" s="30">
        <f>IFERROR(IF(D110="","",TEXT('Getting Started'!B7+(F110-1)*7,"MMM D")),"")</f>
        <v/>
      </c>
      <c r="I110" s="30">
        <f>IFERROR(IF(D110="","",TEXT('Getting Started'!B7+(G110)*7,"MMM D")),"")</f>
        <v/>
      </c>
      <c r="J110" s="34" t="n"/>
    </row>
    <row r="111" ht="18" customHeight="1">
      <c r="A111" s="33" t="n">
        <v>4</v>
      </c>
      <c r="B111" s="35" t="n"/>
      <c r="D111" s="36" t="n"/>
      <c r="E111" s="30">
        <f>IFERROR(SUM(D108:D111),"")</f>
        <v/>
      </c>
      <c r="F111" s="30">
        <f>IFERROR(IF(D111="","",FLOOR(E110/F105,1)+1),"")</f>
        <v/>
      </c>
      <c r="G111" s="30">
        <f>IFERROR(IF(D111="","",CEILING(E111/F105,1)),"")</f>
        <v/>
      </c>
      <c r="H111" s="30">
        <f>IFERROR(IF(D111="","",TEXT('Getting Started'!B7+(F111-1)*7,"MMM D")),"")</f>
        <v/>
      </c>
      <c r="I111" s="30">
        <f>IFERROR(IF(D111="","",TEXT('Getting Started'!B7+(G111)*7,"MMM D")),"")</f>
        <v/>
      </c>
      <c r="J111" s="34" t="n"/>
    </row>
    <row r="112" ht="18" customHeight="1">
      <c r="A112" s="33" t="n">
        <v>5</v>
      </c>
      <c r="B112" s="27" t="n"/>
      <c r="D112" s="34" t="n"/>
      <c r="E112" s="30">
        <f>IFERROR(SUM(D108:D112),"")</f>
        <v/>
      </c>
      <c r="F112" s="30">
        <f>IFERROR(IF(D112="","",FLOOR(E111/F105,1)+1),"")</f>
        <v/>
      </c>
      <c r="G112" s="30">
        <f>IFERROR(IF(D112="","",CEILING(E112/F105,1)),"")</f>
        <v/>
      </c>
      <c r="H112" s="30">
        <f>IFERROR(IF(D112="","",TEXT('Getting Started'!B7+(F112-1)*7,"MMM D")),"")</f>
        <v/>
      </c>
      <c r="I112" s="30">
        <f>IFERROR(IF(D112="","",TEXT('Getting Started'!B7+(G112)*7,"MMM D")),"")</f>
        <v/>
      </c>
      <c r="J112" s="34" t="n"/>
    </row>
    <row r="113" ht="18" customHeight="1">
      <c r="A113" s="33" t="n">
        <v>6</v>
      </c>
      <c r="B113" s="35" t="n"/>
      <c r="D113" s="36" t="n"/>
      <c r="E113" s="30">
        <f>IFERROR(SUM(D108:D113),"")</f>
        <v/>
      </c>
      <c r="F113" s="30">
        <f>IFERROR(IF(D113="","",FLOOR(E112/F105,1)+1),"")</f>
        <v/>
      </c>
      <c r="G113" s="30">
        <f>IFERROR(IF(D113="","",CEILING(E113/F105,1)),"")</f>
        <v/>
      </c>
      <c r="H113" s="30">
        <f>IFERROR(IF(D113="","",TEXT('Getting Started'!B7+(F113-1)*7,"MMM D")),"")</f>
        <v/>
      </c>
      <c r="I113" s="30">
        <f>IFERROR(IF(D113="","",TEXT('Getting Started'!B7+(G113)*7,"MMM D")),"")</f>
        <v/>
      </c>
      <c r="J113" s="34" t="n"/>
    </row>
    <row r="114" ht="20" customHeight="1">
      <c r="A114" s="53" t="inlineStr">
        <is>
          <t>Notes:</t>
        </is>
      </c>
      <c r="B114" s="37" t="n"/>
    </row>
    <row r="115" ht="24" customHeight="1">
      <c r="A115" s="54" t="inlineStr">
        <is>
          <t xml:space="preserve">  ART / MUSIC</t>
        </is>
      </c>
    </row>
    <row r="116" ht="20" customHeight="1">
      <c r="A116" s="55" t="inlineStr">
        <is>
          <t>Curriculum / Title:</t>
        </is>
      </c>
      <c r="B116" s="27" t="n"/>
      <c r="F116" s="55" t="inlineStr">
        <is>
          <t>Unit type:</t>
        </is>
      </c>
      <c r="G116" s="27" t="inlineStr">
        <is>
          <t>pages</t>
        </is>
      </c>
      <c r="I116" s="28" t="inlineStr">
        <is>
          <t>← type: pages, lessons, chapters…</t>
        </is>
      </c>
      <c r="J116" s="29" t="n"/>
    </row>
    <row r="117" ht="22" customHeight="1">
      <c r="A117" s="55" t="inlineStr">
        <is>
          <t>Total Units:</t>
        </is>
      </c>
      <c r="B117" s="27" t="n"/>
      <c r="C117" s="55" t="inlineStr">
        <is>
          <t>School Weeks:</t>
        </is>
      </c>
      <c r="D117" s="30">
        <f>'Getting Started'!B9</f>
        <v/>
      </c>
      <c r="E117" s="55" t="inlineStr">
        <is>
          <t>Units / Week:</t>
        </is>
      </c>
      <c r="F117" s="12">
        <f>IFERROR(IF(B117="","",ROUND(B117/D117,1)),"")</f>
        <v/>
      </c>
      <c r="G117" s="55" t="inlineStr">
        <is>
          <t>Units / Day:</t>
        </is>
      </c>
      <c r="H117" s="12">
        <f>IFERROR(IF(F117="","",ROUND(F117/'Getting Started'!B10,1)),"")</f>
        <v/>
      </c>
      <c r="I117" s="55" t="inlineStr">
        <is>
          <t>Est. End Date:</t>
        </is>
      </c>
      <c r="J117" s="12">
        <f>IFERROR(IF(B117="","",TEXT('Getting Started'!B7+(B117/'Getting Started'!B10),"MMM D, YYYY")),"")</f>
        <v/>
      </c>
    </row>
    <row r="118" ht="18" customHeight="1">
      <c r="A118" s="31" t="inlineStr">
        <is>
          <t xml:space="preserve">  Optional: Component / Volume Breakdown  (fill in if curriculum has multiple books or parts)</t>
        </is>
      </c>
    </row>
    <row r="119" ht="18" customHeight="1">
      <c r="A119" s="32" t="inlineStr">
        <is>
          <t>#</t>
        </is>
      </c>
      <c r="B119" s="32" t="inlineStr">
        <is>
          <t>Component / Book Title</t>
        </is>
      </c>
      <c r="C119" s="29" t="n"/>
      <c r="D119" s="32" t="inlineStr">
        <is>
          <t>Total Units
in Component</t>
        </is>
      </c>
      <c r="E119" s="32" t="inlineStr">
        <is>
          <t>Cumulative
Units</t>
        </is>
      </c>
      <c r="F119" s="32" t="inlineStr">
        <is>
          <t>Start
Week</t>
        </is>
      </c>
      <c r="G119" s="32" t="inlineStr">
        <is>
          <t>End
Week</t>
        </is>
      </c>
      <c r="H119" s="32" t="inlineStr">
        <is>
          <t>Start
Date</t>
        </is>
      </c>
      <c r="I119" s="32" t="inlineStr">
        <is>
          <t>End
Date</t>
        </is>
      </c>
      <c r="J119" s="32" t="inlineStr">
        <is>
          <t>Complete?</t>
        </is>
      </c>
    </row>
    <row r="120" ht="18" customHeight="1">
      <c r="A120" s="33" t="n">
        <v>1</v>
      </c>
      <c r="B120" s="27" t="n"/>
      <c r="D120" s="34" t="n"/>
      <c r="E120" s="30">
        <f>IFERROR(SUM(D120:D120),"")</f>
        <v/>
      </c>
      <c r="F120" s="30">
        <f>IF(D120="","",1)</f>
        <v/>
      </c>
      <c r="G120" s="30">
        <f>IFERROR(IF(D120="","",CEILING(E120/F117,1)),"")</f>
        <v/>
      </c>
      <c r="H120" s="30">
        <f>IFERROR(IF(D120="","",TEXT('Getting Started'!B7+(F120-1)*7,"MMM D")),"")</f>
        <v/>
      </c>
      <c r="I120" s="30">
        <f>IFERROR(IF(D120="","",TEXT('Getting Started'!B7+(G120)*7,"MMM D")),"")</f>
        <v/>
      </c>
      <c r="J120" s="34" t="n"/>
    </row>
    <row r="121" ht="18" customHeight="1">
      <c r="A121" s="33" t="n">
        <v>2</v>
      </c>
      <c r="B121" s="35" t="n"/>
      <c r="D121" s="36" t="n"/>
      <c r="E121" s="30">
        <f>IFERROR(SUM(D120:D121),"")</f>
        <v/>
      </c>
      <c r="F121" s="30">
        <f>IFERROR(IF(D121="","",FLOOR(E120/F117,1)+1),"")</f>
        <v/>
      </c>
      <c r="G121" s="30">
        <f>IFERROR(IF(D121="","",CEILING(E121/F117,1)),"")</f>
        <v/>
      </c>
      <c r="H121" s="30">
        <f>IFERROR(IF(D121="","",TEXT('Getting Started'!B7+(F121-1)*7,"MMM D")),"")</f>
        <v/>
      </c>
      <c r="I121" s="30">
        <f>IFERROR(IF(D121="","",TEXT('Getting Started'!B7+(G121)*7,"MMM D")),"")</f>
        <v/>
      </c>
      <c r="J121" s="34" t="n"/>
    </row>
    <row r="122" ht="18" customHeight="1">
      <c r="A122" s="33" t="n">
        <v>3</v>
      </c>
      <c r="B122" s="27" t="n"/>
      <c r="D122" s="34" t="n"/>
      <c r="E122" s="30">
        <f>IFERROR(SUM(D120:D122),"")</f>
        <v/>
      </c>
      <c r="F122" s="30">
        <f>IFERROR(IF(D122="","",FLOOR(E121/F117,1)+1),"")</f>
        <v/>
      </c>
      <c r="G122" s="30">
        <f>IFERROR(IF(D122="","",CEILING(E122/F117,1)),"")</f>
        <v/>
      </c>
      <c r="H122" s="30">
        <f>IFERROR(IF(D122="","",TEXT('Getting Started'!B7+(F122-1)*7,"MMM D")),"")</f>
        <v/>
      </c>
      <c r="I122" s="30">
        <f>IFERROR(IF(D122="","",TEXT('Getting Started'!B7+(G122)*7,"MMM D")),"")</f>
        <v/>
      </c>
      <c r="J122" s="34" t="n"/>
    </row>
    <row r="123" ht="18" customHeight="1">
      <c r="A123" s="33" t="n">
        <v>4</v>
      </c>
      <c r="B123" s="35" t="n"/>
      <c r="D123" s="36" t="n"/>
      <c r="E123" s="30">
        <f>IFERROR(SUM(D120:D123),"")</f>
        <v/>
      </c>
      <c r="F123" s="30">
        <f>IFERROR(IF(D123="","",FLOOR(E122/F117,1)+1),"")</f>
        <v/>
      </c>
      <c r="G123" s="30">
        <f>IFERROR(IF(D123="","",CEILING(E123/F117,1)),"")</f>
        <v/>
      </c>
      <c r="H123" s="30">
        <f>IFERROR(IF(D123="","",TEXT('Getting Started'!B7+(F123-1)*7,"MMM D")),"")</f>
        <v/>
      </c>
      <c r="I123" s="30">
        <f>IFERROR(IF(D123="","",TEXT('Getting Started'!B7+(G123)*7,"MMM D")),"")</f>
        <v/>
      </c>
      <c r="J123" s="34" t="n"/>
    </row>
    <row r="124" ht="18" customHeight="1">
      <c r="A124" s="33" t="n">
        <v>5</v>
      </c>
      <c r="B124" s="27" t="n"/>
      <c r="D124" s="34" t="n"/>
      <c r="E124" s="30">
        <f>IFERROR(SUM(D120:D124),"")</f>
        <v/>
      </c>
      <c r="F124" s="30">
        <f>IFERROR(IF(D124="","",FLOOR(E123/F117,1)+1),"")</f>
        <v/>
      </c>
      <c r="G124" s="30">
        <f>IFERROR(IF(D124="","",CEILING(E124/F117,1)),"")</f>
        <v/>
      </c>
      <c r="H124" s="30">
        <f>IFERROR(IF(D124="","",TEXT('Getting Started'!B7+(F124-1)*7,"MMM D")),"")</f>
        <v/>
      </c>
      <c r="I124" s="30">
        <f>IFERROR(IF(D124="","",TEXT('Getting Started'!B7+(G124)*7,"MMM D")),"")</f>
        <v/>
      </c>
      <c r="J124" s="34" t="n"/>
    </row>
    <row r="125" ht="18" customHeight="1">
      <c r="A125" s="33" t="n">
        <v>6</v>
      </c>
      <c r="B125" s="35" t="n"/>
      <c r="D125" s="36" t="n"/>
      <c r="E125" s="30">
        <f>IFERROR(SUM(D120:D125),"")</f>
        <v/>
      </c>
      <c r="F125" s="30">
        <f>IFERROR(IF(D125="","",FLOOR(E124/F117,1)+1),"")</f>
        <v/>
      </c>
      <c r="G125" s="30">
        <f>IFERROR(IF(D125="","",CEILING(E125/F117,1)),"")</f>
        <v/>
      </c>
      <c r="H125" s="30">
        <f>IFERROR(IF(D125="","",TEXT('Getting Started'!B7+(F125-1)*7,"MMM D")),"")</f>
        <v/>
      </c>
      <c r="I125" s="30">
        <f>IFERROR(IF(D125="","",TEXT('Getting Started'!B7+(G125)*7,"MMM D")),"")</f>
        <v/>
      </c>
      <c r="J125" s="34" t="n"/>
    </row>
    <row r="126" ht="20" customHeight="1">
      <c r="A126" s="55" t="inlineStr">
        <is>
          <t>Notes:</t>
        </is>
      </c>
      <c r="B126" s="37" t="n"/>
    </row>
  </sheetData>
  <mergeCells count="133">
    <mergeCell ref="B100:C100"/>
    <mergeCell ref="I104:J104"/>
    <mergeCell ref="B68:E68"/>
    <mergeCell ref="A91:J91"/>
    <mergeCell ref="A43:J43"/>
    <mergeCell ref="B12:C12"/>
    <mergeCell ref="B77:C77"/>
    <mergeCell ref="B78:J78"/>
    <mergeCell ref="A115:J115"/>
    <mergeCell ref="B86:C86"/>
    <mergeCell ref="B61:C61"/>
    <mergeCell ref="A34:J34"/>
    <mergeCell ref="B101:C101"/>
    <mergeCell ref="B14:C14"/>
    <mergeCell ref="B13:C13"/>
    <mergeCell ref="B38:C38"/>
    <mergeCell ref="G68:H68"/>
    <mergeCell ref="B112:C112"/>
    <mergeCell ref="B40:C40"/>
    <mergeCell ref="B49:C49"/>
    <mergeCell ref="I44:J44"/>
    <mergeCell ref="A118:J118"/>
    <mergeCell ref="G20:H20"/>
    <mergeCell ref="B24:C24"/>
    <mergeCell ref="B64:C64"/>
    <mergeCell ref="I20:J20"/>
    <mergeCell ref="B90:J90"/>
    <mergeCell ref="B51:C51"/>
    <mergeCell ref="B66:J66"/>
    <mergeCell ref="A55:J55"/>
    <mergeCell ref="B18:J18"/>
    <mergeCell ref="G44:H44"/>
    <mergeCell ref="B63:C63"/>
    <mergeCell ref="B26:C26"/>
    <mergeCell ref="B41:C41"/>
    <mergeCell ref="B35:C35"/>
    <mergeCell ref="B16:C16"/>
    <mergeCell ref="B25:C25"/>
    <mergeCell ref="A106:J106"/>
    <mergeCell ref="I80:J80"/>
    <mergeCell ref="A4:J4"/>
    <mergeCell ref="B104:E104"/>
    <mergeCell ref="B27:C27"/>
    <mergeCell ref="B32:E32"/>
    <mergeCell ref="A31:J31"/>
    <mergeCell ref="B11:C11"/>
    <mergeCell ref="A58:J58"/>
    <mergeCell ref="I32:J32"/>
    <mergeCell ref="A67:J67"/>
    <mergeCell ref="A82:J82"/>
    <mergeCell ref="B53:C53"/>
    <mergeCell ref="I56:J56"/>
    <mergeCell ref="B119:C119"/>
    <mergeCell ref="B29:C29"/>
    <mergeCell ref="B37:C37"/>
    <mergeCell ref="G104:H104"/>
    <mergeCell ref="A7:J7"/>
    <mergeCell ref="B84:C84"/>
    <mergeCell ref="I8:J8"/>
    <mergeCell ref="B54:J54"/>
    <mergeCell ref="B15:C15"/>
    <mergeCell ref="B95:C95"/>
    <mergeCell ref="B89:C89"/>
    <mergeCell ref="B116:E116"/>
    <mergeCell ref="A2:J2"/>
    <mergeCell ref="B97:C97"/>
    <mergeCell ref="B125:C125"/>
    <mergeCell ref="B72:C72"/>
    <mergeCell ref="A22:J22"/>
    <mergeCell ref="B42:J42"/>
    <mergeCell ref="B121:C121"/>
    <mergeCell ref="I116:J116"/>
    <mergeCell ref="B80:E80"/>
    <mergeCell ref="B122:C122"/>
    <mergeCell ref="B96:C96"/>
    <mergeCell ref="B71:C71"/>
    <mergeCell ref="B52:C52"/>
    <mergeCell ref="G116:H116"/>
    <mergeCell ref="B120:C120"/>
    <mergeCell ref="B98:C98"/>
    <mergeCell ref="B107:C107"/>
    <mergeCell ref="B60:C60"/>
    <mergeCell ref="B17:C17"/>
    <mergeCell ref="B88:C88"/>
    <mergeCell ref="B30:J30"/>
    <mergeCell ref="B56:E56"/>
    <mergeCell ref="A79:J79"/>
    <mergeCell ref="A70:J70"/>
    <mergeCell ref="B28:C28"/>
    <mergeCell ref="G80:H80"/>
    <mergeCell ref="B99:C99"/>
    <mergeCell ref="B108:C108"/>
    <mergeCell ref="B126:J126"/>
    <mergeCell ref="B83:C83"/>
    <mergeCell ref="B124:C124"/>
    <mergeCell ref="G32:H32"/>
    <mergeCell ref="B76:C76"/>
    <mergeCell ref="B44:E44"/>
    <mergeCell ref="B85:C85"/>
    <mergeCell ref="G56:H56"/>
    <mergeCell ref="B75:C75"/>
    <mergeCell ref="B109:C109"/>
    <mergeCell ref="B47:C47"/>
    <mergeCell ref="B62:C62"/>
    <mergeCell ref="B59:C59"/>
    <mergeCell ref="B92:E92"/>
    <mergeCell ref="B20:E20"/>
    <mergeCell ref="G8:H8"/>
    <mergeCell ref="A10:J10"/>
    <mergeCell ref="A19:J19"/>
    <mergeCell ref="B39:C39"/>
    <mergeCell ref="B48:C48"/>
    <mergeCell ref="B111:C111"/>
    <mergeCell ref="B23:C23"/>
    <mergeCell ref="B73:C73"/>
    <mergeCell ref="A1:J1"/>
    <mergeCell ref="B87:C87"/>
    <mergeCell ref="I68:J68"/>
    <mergeCell ref="A94:J94"/>
    <mergeCell ref="G92:H92"/>
    <mergeCell ref="A103:J103"/>
    <mergeCell ref="B114:J114"/>
    <mergeCell ref="I92:J92"/>
    <mergeCell ref="B65:C65"/>
    <mergeCell ref="B74:C74"/>
    <mergeCell ref="A46:J46"/>
    <mergeCell ref="B8:E8"/>
    <mergeCell ref="B123:C123"/>
    <mergeCell ref="B36:C36"/>
    <mergeCell ref="B102:J102"/>
    <mergeCell ref="B50:C50"/>
    <mergeCell ref="B110:C110"/>
    <mergeCell ref="B113:C11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8449"/>
    <outlinePr summaryBelow="1" summaryRight="1"/>
    <pageSetUpPr/>
  </sheetPr>
  <dimension ref="A1:J126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44" customHeight="1">
      <c r="A1" s="21">
        <f>'Getting Started'!C22</f>
        <v/>
      </c>
    </row>
    <row r="2" ht="24" customHeight="1">
      <c r="A2" s="22">
        <f>IFERROR("Grade: "&amp;'Getting Started'!G22&amp;"   |   School Year: "&amp;'Getting Started'!C6&amp;"   |   "  &amp;TEXT('Getting Started'!B7,"MMM D, YYYY")&amp;"  –  "&amp;TEXT('Getting Started'!B8,"MMM D, YYYY"),"")</f>
        <v/>
      </c>
    </row>
    <row r="3" ht="8" customHeight="1"/>
    <row r="4" ht="22" customHeight="1">
      <c r="A4" s="23" t="inlineStr">
        <is>
          <t>SCHOOL YEAR OVERVIEW  (from Getting Started)</t>
        </is>
      </c>
    </row>
    <row r="5" ht="20" customHeight="1">
      <c r="B5" s="24" t="inlineStr">
        <is>
          <t>Start Date:</t>
        </is>
      </c>
      <c r="C5" s="12">
        <f>IF('Getting Started'!B7&lt;&gt;"",TEXT('Getting Started'!B7,"MMM D, YYYY"),"")</f>
        <v/>
      </c>
      <c r="D5" s="24" t="inlineStr">
        <is>
          <t>End Date:</t>
        </is>
      </c>
      <c r="E5" s="12">
        <f>IF('Getting Started'!B8&lt;&gt;"",TEXT('Getting Started'!B8,"MMM D, YYYY"),"")</f>
        <v/>
      </c>
      <c r="F5" s="24" t="inlineStr">
        <is>
          <t>Total Weeks:</t>
        </is>
      </c>
      <c r="G5" s="12">
        <f>'Getting Started'!B9</f>
        <v/>
      </c>
      <c r="H5" s="24" t="inlineStr">
        <is>
          <t>Days/Week:</t>
        </is>
      </c>
      <c r="I5" s="12">
        <f>'Getting Started'!B10</f>
        <v/>
      </c>
    </row>
    <row r="7" ht="24" customHeight="1">
      <c r="A7" s="25" t="inlineStr">
        <is>
          <t xml:space="preserve">  BIBLE</t>
        </is>
      </c>
    </row>
    <row r="8" ht="20" customHeight="1">
      <c r="A8" s="26" t="inlineStr">
        <is>
          <t>Curriculum / Title:</t>
        </is>
      </c>
      <c r="B8" s="27" t="n"/>
      <c r="F8" s="26" t="inlineStr">
        <is>
          <t>Unit type:</t>
        </is>
      </c>
      <c r="G8" s="27" t="inlineStr">
        <is>
          <t>pages</t>
        </is>
      </c>
      <c r="I8" s="28" t="inlineStr">
        <is>
          <t>← type: pages, lessons, chapters…</t>
        </is>
      </c>
      <c r="J8" s="29" t="n"/>
    </row>
    <row r="9" ht="22" customHeight="1">
      <c r="A9" s="26" t="inlineStr">
        <is>
          <t>Total Units:</t>
        </is>
      </c>
      <c r="B9" s="27" t="n"/>
      <c r="C9" s="26" t="inlineStr">
        <is>
          <t>School Weeks:</t>
        </is>
      </c>
      <c r="D9" s="30">
        <f>'Getting Started'!B9</f>
        <v/>
      </c>
      <c r="E9" s="26" t="inlineStr">
        <is>
          <t>Units / Week:</t>
        </is>
      </c>
      <c r="F9" s="12">
        <f>IFERROR(IF(B9="","",ROUND(B9/D9,1)),"")</f>
        <v/>
      </c>
      <c r="G9" s="26" t="inlineStr">
        <is>
          <t>Units / Day:</t>
        </is>
      </c>
      <c r="H9" s="12">
        <f>IFERROR(IF(F9="","",ROUND(F9/'Getting Started'!B10,1)),"")</f>
        <v/>
      </c>
      <c r="I9" s="26" t="inlineStr">
        <is>
          <t>Est. End Date:</t>
        </is>
      </c>
      <c r="J9" s="12">
        <f>IFERROR(IF(B9="","",TEXT('Getting Started'!B7+(B9/'Getting Started'!B10),"MMM D, YYYY")),"")</f>
        <v/>
      </c>
    </row>
    <row r="10" ht="18" customHeight="1">
      <c r="A10" s="31" t="inlineStr">
        <is>
          <t xml:space="preserve">  Optional: Component / Volume Breakdown  (fill in if curriculum has multiple books or parts)</t>
        </is>
      </c>
    </row>
    <row r="11" ht="18" customHeight="1">
      <c r="A11" s="32" t="inlineStr">
        <is>
          <t>#</t>
        </is>
      </c>
      <c r="B11" s="32" t="inlineStr">
        <is>
          <t>Component / Book Title</t>
        </is>
      </c>
      <c r="C11" s="29" t="n"/>
      <c r="D11" s="32" t="inlineStr">
        <is>
          <t>Total Units
in Component</t>
        </is>
      </c>
      <c r="E11" s="32" t="inlineStr">
        <is>
          <t>Cumulative
Units</t>
        </is>
      </c>
      <c r="F11" s="32" t="inlineStr">
        <is>
          <t>Start
Week</t>
        </is>
      </c>
      <c r="G11" s="32" t="inlineStr">
        <is>
          <t>End
Week</t>
        </is>
      </c>
      <c r="H11" s="32" t="inlineStr">
        <is>
          <t>Start
Date</t>
        </is>
      </c>
      <c r="I11" s="32" t="inlineStr">
        <is>
          <t>End
Date</t>
        </is>
      </c>
      <c r="J11" s="32" t="inlineStr">
        <is>
          <t>Complete?</t>
        </is>
      </c>
    </row>
    <row r="12" ht="18" customHeight="1">
      <c r="A12" s="33" t="n">
        <v>1</v>
      </c>
      <c r="B12" s="27" t="n"/>
      <c r="D12" s="34" t="n"/>
      <c r="E12" s="30">
        <f>IFERROR(SUM(D12:D12),"")</f>
        <v/>
      </c>
      <c r="F12" s="30">
        <f>IF(D12="","",1)</f>
        <v/>
      </c>
      <c r="G12" s="30">
        <f>IFERROR(IF(D12="","",CEILING(E12/F9,1)),"")</f>
        <v/>
      </c>
      <c r="H12" s="30">
        <f>IFERROR(IF(D12="","",TEXT('Getting Started'!B7+(F12-1)*7,"MMM D")),"")</f>
        <v/>
      </c>
      <c r="I12" s="30">
        <f>IFERROR(IF(D12="","",TEXT('Getting Started'!B7+(G12)*7,"MMM D")),"")</f>
        <v/>
      </c>
      <c r="J12" s="34" t="n"/>
    </row>
    <row r="13" ht="18" customHeight="1">
      <c r="A13" s="33" t="n">
        <v>2</v>
      </c>
      <c r="B13" s="35" t="n"/>
      <c r="D13" s="36" t="n"/>
      <c r="E13" s="30">
        <f>IFERROR(SUM(D12:D13),"")</f>
        <v/>
      </c>
      <c r="F13" s="30">
        <f>IFERROR(IF(D13="","",FLOOR(E12/F9,1)+1),"")</f>
        <v/>
      </c>
      <c r="G13" s="30">
        <f>IFERROR(IF(D13="","",CEILING(E13/F9,1)),"")</f>
        <v/>
      </c>
      <c r="H13" s="30">
        <f>IFERROR(IF(D13="","",TEXT('Getting Started'!B7+(F13-1)*7,"MMM D")),"")</f>
        <v/>
      </c>
      <c r="I13" s="30">
        <f>IFERROR(IF(D13="","",TEXT('Getting Started'!B7+(G13)*7,"MMM D")),"")</f>
        <v/>
      </c>
      <c r="J13" s="34" t="n"/>
    </row>
    <row r="14" ht="18" customHeight="1">
      <c r="A14" s="33" t="n">
        <v>3</v>
      </c>
      <c r="B14" s="27" t="n"/>
      <c r="D14" s="34" t="n"/>
      <c r="E14" s="30">
        <f>IFERROR(SUM(D12:D14),"")</f>
        <v/>
      </c>
      <c r="F14" s="30">
        <f>IFERROR(IF(D14="","",FLOOR(E13/F9,1)+1),"")</f>
        <v/>
      </c>
      <c r="G14" s="30">
        <f>IFERROR(IF(D14="","",CEILING(E14/F9,1)),"")</f>
        <v/>
      </c>
      <c r="H14" s="30">
        <f>IFERROR(IF(D14="","",TEXT('Getting Started'!B7+(F14-1)*7,"MMM D")),"")</f>
        <v/>
      </c>
      <c r="I14" s="30">
        <f>IFERROR(IF(D14="","",TEXT('Getting Started'!B7+(G14)*7,"MMM D")),"")</f>
        <v/>
      </c>
      <c r="J14" s="34" t="n"/>
    </row>
    <row r="15" ht="18" customHeight="1">
      <c r="A15" s="33" t="n">
        <v>4</v>
      </c>
      <c r="B15" s="35" t="n"/>
      <c r="D15" s="36" t="n"/>
      <c r="E15" s="30">
        <f>IFERROR(SUM(D12:D15),"")</f>
        <v/>
      </c>
      <c r="F15" s="30">
        <f>IFERROR(IF(D15="","",FLOOR(E14/F9,1)+1),"")</f>
        <v/>
      </c>
      <c r="G15" s="30">
        <f>IFERROR(IF(D15="","",CEILING(E15/F9,1)),"")</f>
        <v/>
      </c>
      <c r="H15" s="30">
        <f>IFERROR(IF(D15="","",TEXT('Getting Started'!B7+(F15-1)*7,"MMM D")),"")</f>
        <v/>
      </c>
      <c r="I15" s="30">
        <f>IFERROR(IF(D15="","",TEXT('Getting Started'!B7+(G15)*7,"MMM D")),"")</f>
        <v/>
      </c>
      <c r="J15" s="34" t="n"/>
    </row>
    <row r="16" ht="18" customHeight="1">
      <c r="A16" s="33" t="n">
        <v>5</v>
      </c>
      <c r="B16" s="27" t="n"/>
      <c r="D16" s="34" t="n"/>
      <c r="E16" s="30">
        <f>IFERROR(SUM(D12:D16),"")</f>
        <v/>
      </c>
      <c r="F16" s="30">
        <f>IFERROR(IF(D16="","",FLOOR(E15/F9,1)+1),"")</f>
        <v/>
      </c>
      <c r="G16" s="30">
        <f>IFERROR(IF(D16="","",CEILING(E16/F9,1)),"")</f>
        <v/>
      </c>
      <c r="H16" s="30">
        <f>IFERROR(IF(D16="","",TEXT('Getting Started'!B7+(F16-1)*7,"MMM D")),"")</f>
        <v/>
      </c>
      <c r="I16" s="30">
        <f>IFERROR(IF(D16="","",TEXT('Getting Started'!B7+(G16)*7,"MMM D")),"")</f>
        <v/>
      </c>
      <c r="J16" s="34" t="n"/>
    </row>
    <row r="17" ht="18" customHeight="1">
      <c r="A17" s="33" t="n">
        <v>6</v>
      </c>
      <c r="B17" s="35" t="n"/>
      <c r="D17" s="36" t="n"/>
      <c r="E17" s="30">
        <f>IFERROR(SUM(D12:D17),"")</f>
        <v/>
      </c>
      <c r="F17" s="30">
        <f>IFERROR(IF(D17="","",FLOOR(E16/F9,1)+1),"")</f>
        <v/>
      </c>
      <c r="G17" s="30">
        <f>IFERROR(IF(D17="","",CEILING(E17/F9,1)),"")</f>
        <v/>
      </c>
      <c r="H17" s="30">
        <f>IFERROR(IF(D17="","",TEXT('Getting Started'!B7+(F17-1)*7,"MMM D")),"")</f>
        <v/>
      </c>
      <c r="I17" s="30">
        <f>IFERROR(IF(D17="","",TEXT('Getting Started'!B7+(G17)*7,"MMM D")),"")</f>
        <v/>
      </c>
      <c r="J17" s="34" t="n"/>
    </row>
    <row r="18" ht="20" customHeight="1">
      <c r="A18" s="26" t="inlineStr">
        <is>
          <t>Notes:</t>
        </is>
      </c>
      <c r="B18" s="37" t="n"/>
    </row>
    <row r="19" ht="24" customHeight="1">
      <c r="A19" s="38" t="inlineStr">
        <is>
          <t xml:space="preserve">  MATH</t>
        </is>
      </c>
    </row>
    <row r="20" ht="20" customHeight="1">
      <c r="A20" s="39" t="inlineStr">
        <is>
          <t>Curriculum / Title:</t>
        </is>
      </c>
      <c r="B20" s="27" t="n"/>
      <c r="F20" s="39" t="inlineStr">
        <is>
          <t>Unit type:</t>
        </is>
      </c>
      <c r="G20" s="27" t="inlineStr">
        <is>
          <t>pages</t>
        </is>
      </c>
      <c r="I20" s="28" t="inlineStr">
        <is>
          <t>← type: pages, lessons, chapters…</t>
        </is>
      </c>
      <c r="J20" s="29" t="n"/>
    </row>
    <row r="21" ht="22" customHeight="1">
      <c r="A21" s="39" t="inlineStr">
        <is>
          <t>Total Units:</t>
        </is>
      </c>
      <c r="B21" s="27" t="n"/>
      <c r="C21" s="39" t="inlineStr">
        <is>
          <t>School Weeks:</t>
        </is>
      </c>
      <c r="D21" s="30">
        <f>'Getting Started'!B9</f>
        <v/>
      </c>
      <c r="E21" s="39" t="inlineStr">
        <is>
          <t>Units / Week:</t>
        </is>
      </c>
      <c r="F21" s="12">
        <f>IFERROR(IF(B21="","",ROUND(B21/D21,1)),"")</f>
        <v/>
      </c>
      <c r="G21" s="39" t="inlineStr">
        <is>
          <t>Units / Day:</t>
        </is>
      </c>
      <c r="H21" s="12">
        <f>IFERROR(IF(F21="","",ROUND(F21/'Getting Started'!B10,1)),"")</f>
        <v/>
      </c>
      <c r="I21" s="39" t="inlineStr">
        <is>
          <t>Est. End Date:</t>
        </is>
      </c>
      <c r="J21" s="12">
        <f>IFERROR(IF(B21="","",TEXT('Getting Started'!B7+(B21/'Getting Started'!B10),"MMM D, YYYY")),"")</f>
        <v/>
      </c>
    </row>
    <row r="22" ht="18" customHeight="1">
      <c r="A22" s="31" t="inlineStr">
        <is>
          <t xml:space="preserve">  Optional: Component / Volume Breakdown  (fill in if curriculum has multiple books or parts)</t>
        </is>
      </c>
    </row>
    <row r="23" ht="18" customHeight="1">
      <c r="A23" s="32" t="inlineStr">
        <is>
          <t>#</t>
        </is>
      </c>
      <c r="B23" s="32" t="inlineStr">
        <is>
          <t>Component / Book Title</t>
        </is>
      </c>
      <c r="C23" s="29" t="n"/>
      <c r="D23" s="32" t="inlineStr">
        <is>
          <t>Total Units
in Component</t>
        </is>
      </c>
      <c r="E23" s="32" t="inlineStr">
        <is>
          <t>Cumulative
Units</t>
        </is>
      </c>
      <c r="F23" s="32" t="inlineStr">
        <is>
          <t>Start
Week</t>
        </is>
      </c>
      <c r="G23" s="32" t="inlineStr">
        <is>
          <t>End
Week</t>
        </is>
      </c>
      <c r="H23" s="32" t="inlineStr">
        <is>
          <t>Start
Date</t>
        </is>
      </c>
      <c r="I23" s="32" t="inlineStr">
        <is>
          <t>End
Date</t>
        </is>
      </c>
      <c r="J23" s="32" t="inlineStr">
        <is>
          <t>Complete?</t>
        </is>
      </c>
    </row>
    <row r="24" ht="18" customHeight="1">
      <c r="A24" s="33" t="n">
        <v>1</v>
      </c>
      <c r="B24" s="27" t="n"/>
      <c r="D24" s="34" t="n"/>
      <c r="E24" s="30">
        <f>IFERROR(SUM(D24:D24),"")</f>
        <v/>
      </c>
      <c r="F24" s="30">
        <f>IF(D24="","",1)</f>
        <v/>
      </c>
      <c r="G24" s="30">
        <f>IFERROR(IF(D24="","",CEILING(E24/F21,1)),"")</f>
        <v/>
      </c>
      <c r="H24" s="30">
        <f>IFERROR(IF(D24="","",TEXT('Getting Started'!B7+(F24-1)*7,"MMM D")),"")</f>
        <v/>
      </c>
      <c r="I24" s="30">
        <f>IFERROR(IF(D24="","",TEXT('Getting Started'!B7+(G24)*7,"MMM D")),"")</f>
        <v/>
      </c>
      <c r="J24" s="34" t="n"/>
    </row>
    <row r="25" ht="18" customHeight="1">
      <c r="A25" s="33" t="n">
        <v>2</v>
      </c>
      <c r="B25" s="35" t="n"/>
      <c r="D25" s="36" t="n"/>
      <c r="E25" s="30">
        <f>IFERROR(SUM(D24:D25),"")</f>
        <v/>
      </c>
      <c r="F25" s="30">
        <f>IFERROR(IF(D25="","",FLOOR(E24/F21,1)+1),"")</f>
        <v/>
      </c>
      <c r="G25" s="30">
        <f>IFERROR(IF(D25="","",CEILING(E25/F21,1)),"")</f>
        <v/>
      </c>
      <c r="H25" s="30">
        <f>IFERROR(IF(D25="","",TEXT('Getting Started'!B7+(F25-1)*7,"MMM D")),"")</f>
        <v/>
      </c>
      <c r="I25" s="30">
        <f>IFERROR(IF(D25="","",TEXT('Getting Started'!B7+(G25)*7,"MMM D")),"")</f>
        <v/>
      </c>
      <c r="J25" s="34" t="n"/>
    </row>
    <row r="26" ht="18" customHeight="1">
      <c r="A26" s="33" t="n">
        <v>3</v>
      </c>
      <c r="B26" s="27" t="n"/>
      <c r="D26" s="34" t="n"/>
      <c r="E26" s="30">
        <f>IFERROR(SUM(D24:D26),"")</f>
        <v/>
      </c>
      <c r="F26" s="30">
        <f>IFERROR(IF(D26="","",FLOOR(E25/F21,1)+1),"")</f>
        <v/>
      </c>
      <c r="G26" s="30">
        <f>IFERROR(IF(D26="","",CEILING(E26/F21,1)),"")</f>
        <v/>
      </c>
      <c r="H26" s="30">
        <f>IFERROR(IF(D26="","",TEXT('Getting Started'!B7+(F26-1)*7,"MMM D")),"")</f>
        <v/>
      </c>
      <c r="I26" s="30">
        <f>IFERROR(IF(D26="","",TEXT('Getting Started'!B7+(G26)*7,"MMM D")),"")</f>
        <v/>
      </c>
      <c r="J26" s="34" t="n"/>
    </row>
    <row r="27" ht="18" customHeight="1">
      <c r="A27" s="33" t="n">
        <v>4</v>
      </c>
      <c r="B27" s="35" t="n"/>
      <c r="D27" s="36" t="n"/>
      <c r="E27" s="30">
        <f>IFERROR(SUM(D24:D27),"")</f>
        <v/>
      </c>
      <c r="F27" s="30">
        <f>IFERROR(IF(D27="","",FLOOR(E26/F21,1)+1),"")</f>
        <v/>
      </c>
      <c r="G27" s="30">
        <f>IFERROR(IF(D27="","",CEILING(E27/F21,1)),"")</f>
        <v/>
      </c>
      <c r="H27" s="30">
        <f>IFERROR(IF(D27="","",TEXT('Getting Started'!B7+(F27-1)*7,"MMM D")),"")</f>
        <v/>
      </c>
      <c r="I27" s="30">
        <f>IFERROR(IF(D27="","",TEXT('Getting Started'!B7+(G27)*7,"MMM D")),"")</f>
        <v/>
      </c>
      <c r="J27" s="34" t="n"/>
    </row>
    <row r="28" ht="18" customHeight="1">
      <c r="A28" s="33" t="n">
        <v>5</v>
      </c>
      <c r="B28" s="27" t="n"/>
      <c r="D28" s="34" t="n"/>
      <c r="E28" s="30">
        <f>IFERROR(SUM(D24:D28),"")</f>
        <v/>
      </c>
      <c r="F28" s="30">
        <f>IFERROR(IF(D28="","",FLOOR(E27/F21,1)+1),"")</f>
        <v/>
      </c>
      <c r="G28" s="30">
        <f>IFERROR(IF(D28="","",CEILING(E28/F21,1)),"")</f>
        <v/>
      </c>
      <c r="H28" s="30">
        <f>IFERROR(IF(D28="","",TEXT('Getting Started'!B7+(F28-1)*7,"MMM D")),"")</f>
        <v/>
      </c>
      <c r="I28" s="30">
        <f>IFERROR(IF(D28="","",TEXT('Getting Started'!B7+(G28)*7,"MMM D")),"")</f>
        <v/>
      </c>
      <c r="J28" s="34" t="n"/>
    </row>
    <row r="29" ht="18" customHeight="1">
      <c r="A29" s="33" t="n">
        <v>6</v>
      </c>
      <c r="B29" s="35" t="n"/>
      <c r="D29" s="36" t="n"/>
      <c r="E29" s="30">
        <f>IFERROR(SUM(D24:D29),"")</f>
        <v/>
      </c>
      <c r="F29" s="30">
        <f>IFERROR(IF(D29="","",FLOOR(E28/F21,1)+1),"")</f>
        <v/>
      </c>
      <c r="G29" s="30">
        <f>IFERROR(IF(D29="","",CEILING(E29/F21,1)),"")</f>
        <v/>
      </c>
      <c r="H29" s="30">
        <f>IFERROR(IF(D29="","",TEXT('Getting Started'!B7+(F29-1)*7,"MMM D")),"")</f>
        <v/>
      </c>
      <c r="I29" s="30">
        <f>IFERROR(IF(D29="","",TEXT('Getting Started'!B7+(G29)*7,"MMM D")),"")</f>
        <v/>
      </c>
      <c r="J29" s="34" t="n"/>
    </row>
    <row r="30" ht="20" customHeight="1">
      <c r="A30" s="39" t="inlineStr">
        <is>
          <t>Notes:</t>
        </is>
      </c>
      <c r="B30" s="37" t="n"/>
    </row>
    <row r="31" ht="24" customHeight="1">
      <c r="A31" s="40" t="inlineStr">
        <is>
          <t xml:space="preserve">  ENGLISH / LANGUAGE ARTS</t>
        </is>
      </c>
    </row>
    <row r="32" ht="20" customHeight="1">
      <c r="A32" s="41" t="inlineStr">
        <is>
          <t>Curriculum / Title:</t>
        </is>
      </c>
      <c r="B32" s="27" t="n"/>
      <c r="F32" s="41" t="inlineStr">
        <is>
          <t>Unit type:</t>
        </is>
      </c>
      <c r="G32" s="27" t="inlineStr">
        <is>
          <t>pages</t>
        </is>
      </c>
      <c r="I32" s="28" t="inlineStr">
        <is>
          <t>← type: pages, lessons, chapters…</t>
        </is>
      </c>
      <c r="J32" s="29" t="n"/>
    </row>
    <row r="33" ht="22" customHeight="1">
      <c r="A33" s="41" t="inlineStr">
        <is>
          <t>Total Units:</t>
        </is>
      </c>
      <c r="B33" s="27" t="n"/>
      <c r="C33" s="41" t="inlineStr">
        <is>
          <t>School Weeks:</t>
        </is>
      </c>
      <c r="D33" s="30">
        <f>'Getting Started'!B9</f>
        <v/>
      </c>
      <c r="E33" s="41" t="inlineStr">
        <is>
          <t>Units / Week:</t>
        </is>
      </c>
      <c r="F33" s="12">
        <f>IFERROR(IF(B33="","",ROUND(B33/D33,1)),"")</f>
        <v/>
      </c>
      <c r="G33" s="41" t="inlineStr">
        <is>
          <t>Units / Day:</t>
        </is>
      </c>
      <c r="H33" s="12">
        <f>IFERROR(IF(F33="","",ROUND(F33/'Getting Started'!B10,1)),"")</f>
        <v/>
      </c>
      <c r="I33" s="41" t="inlineStr">
        <is>
          <t>Est. End Date:</t>
        </is>
      </c>
      <c r="J33" s="12">
        <f>IFERROR(IF(B33="","",TEXT('Getting Started'!B7+(B33/'Getting Started'!B10),"MMM D, YYYY")),"")</f>
        <v/>
      </c>
    </row>
    <row r="34" ht="18" customHeight="1">
      <c r="A34" s="31" t="inlineStr">
        <is>
          <t xml:space="preserve">  Optional: Component / Volume Breakdown  (fill in if curriculum has multiple books or parts)</t>
        </is>
      </c>
    </row>
    <row r="35" ht="18" customHeight="1">
      <c r="A35" s="32" t="inlineStr">
        <is>
          <t>#</t>
        </is>
      </c>
      <c r="B35" s="32" t="inlineStr">
        <is>
          <t>Component / Book Title</t>
        </is>
      </c>
      <c r="C35" s="29" t="n"/>
      <c r="D35" s="32" t="inlineStr">
        <is>
          <t>Total Units
in Component</t>
        </is>
      </c>
      <c r="E35" s="32" t="inlineStr">
        <is>
          <t>Cumulative
Units</t>
        </is>
      </c>
      <c r="F35" s="32" t="inlineStr">
        <is>
          <t>Start
Week</t>
        </is>
      </c>
      <c r="G35" s="32" t="inlineStr">
        <is>
          <t>End
Week</t>
        </is>
      </c>
      <c r="H35" s="32" t="inlineStr">
        <is>
          <t>Start
Date</t>
        </is>
      </c>
      <c r="I35" s="32" t="inlineStr">
        <is>
          <t>End
Date</t>
        </is>
      </c>
      <c r="J35" s="32" t="inlineStr">
        <is>
          <t>Complete?</t>
        </is>
      </c>
    </row>
    <row r="36" ht="18" customHeight="1">
      <c r="A36" s="33" t="n">
        <v>1</v>
      </c>
      <c r="B36" s="27" t="n"/>
      <c r="D36" s="34" t="n"/>
      <c r="E36" s="30">
        <f>IFERROR(SUM(D36:D36),"")</f>
        <v/>
      </c>
      <c r="F36" s="30">
        <f>IF(D36="","",1)</f>
        <v/>
      </c>
      <c r="G36" s="30">
        <f>IFERROR(IF(D36="","",CEILING(E36/F33,1)),"")</f>
        <v/>
      </c>
      <c r="H36" s="30">
        <f>IFERROR(IF(D36="","",TEXT('Getting Started'!B7+(F36-1)*7,"MMM D")),"")</f>
        <v/>
      </c>
      <c r="I36" s="30">
        <f>IFERROR(IF(D36="","",TEXT('Getting Started'!B7+(G36)*7,"MMM D")),"")</f>
        <v/>
      </c>
      <c r="J36" s="34" t="n"/>
    </row>
    <row r="37" ht="18" customHeight="1">
      <c r="A37" s="33" t="n">
        <v>2</v>
      </c>
      <c r="B37" s="35" t="n"/>
      <c r="D37" s="36" t="n"/>
      <c r="E37" s="30">
        <f>IFERROR(SUM(D36:D37),"")</f>
        <v/>
      </c>
      <c r="F37" s="30">
        <f>IFERROR(IF(D37="","",FLOOR(E36/F33,1)+1),"")</f>
        <v/>
      </c>
      <c r="G37" s="30">
        <f>IFERROR(IF(D37="","",CEILING(E37/F33,1)),"")</f>
        <v/>
      </c>
      <c r="H37" s="30">
        <f>IFERROR(IF(D37="","",TEXT('Getting Started'!B7+(F37-1)*7,"MMM D")),"")</f>
        <v/>
      </c>
      <c r="I37" s="30">
        <f>IFERROR(IF(D37="","",TEXT('Getting Started'!B7+(G37)*7,"MMM D")),"")</f>
        <v/>
      </c>
      <c r="J37" s="34" t="n"/>
    </row>
    <row r="38" ht="18" customHeight="1">
      <c r="A38" s="33" t="n">
        <v>3</v>
      </c>
      <c r="B38" s="27" t="n"/>
      <c r="D38" s="34" t="n"/>
      <c r="E38" s="30">
        <f>IFERROR(SUM(D36:D38),"")</f>
        <v/>
      </c>
      <c r="F38" s="30">
        <f>IFERROR(IF(D38="","",FLOOR(E37/F33,1)+1),"")</f>
        <v/>
      </c>
      <c r="G38" s="30">
        <f>IFERROR(IF(D38="","",CEILING(E38/F33,1)),"")</f>
        <v/>
      </c>
      <c r="H38" s="30">
        <f>IFERROR(IF(D38="","",TEXT('Getting Started'!B7+(F38-1)*7,"MMM D")),"")</f>
        <v/>
      </c>
      <c r="I38" s="30">
        <f>IFERROR(IF(D38="","",TEXT('Getting Started'!B7+(G38)*7,"MMM D")),"")</f>
        <v/>
      </c>
      <c r="J38" s="34" t="n"/>
    </row>
    <row r="39" ht="18" customHeight="1">
      <c r="A39" s="33" t="n">
        <v>4</v>
      </c>
      <c r="B39" s="35" t="n"/>
      <c r="D39" s="36" t="n"/>
      <c r="E39" s="30">
        <f>IFERROR(SUM(D36:D39),"")</f>
        <v/>
      </c>
      <c r="F39" s="30">
        <f>IFERROR(IF(D39="","",FLOOR(E38/F33,1)+1),"")</f>
        <v/>
      </c>
      <c r="G39" s="30">
        <f>IFERROR(IF(D39="","",CEILING(E39/F33,1)),"")</f>
        <v/>
      </c>
      <c r="H39" s="30">
        <f>IFERROR(IF(D39="","",TEXT('Getting Started'!B7+(F39-1)*7,"MMM D")),"")</f>
        <v/>
      </c>
      <c r="I39" s="30">
        <f>IFERROR(IF(D39="","",TEXT('Getting Started'!B7+(G39)*7,"MMM D")),"")</f>
        <v/>
      </c>
      <c r="J39" s="34" t="n"/>
    </row>
    <row r="40" ht="18" customHeight="1">
      <c r="A40" s="33" t="n">
        <v>5</v>
      </c>
      <c r="B40" s="27" t="n"/>
      <c r="D40" s="34" t="n"/>
      <c r="E40" s="30">
        <f>IFERROR(SUM(D36:D40),"")</f>
        <v/>
      </c>
      <c r="F40" s="30">
        <f>IFERROR(IF(D40="","",FLOOR(E39/F33,1)+1),"")</f>
        <v/>
      </c>
      <c r="G40" s="30">
        <f>IFERROR(IF(D40="","",CEILING(E40/F33,1)),"")</f>
        <v/>
      </c>
      <c r="H40" s="30">
        <f>IFERROR(IF(D40="","",TEXT('Getting Started'!B7+(F40-1)*7,"MMM D")),"")</f>
        <v/>
      </c>
      <c r="I40" s="30">
        <f>IFERROR(IF(D40="","",TEXT('Getting Started'!B7+(G40)*7,"MMM D")),"")</f>
        <v/>
      </c>
      <c r="J40" s="34" t="n"/>
    </row>
    <row r="41" ht="18" customHeight="1">
      <c r="A41" s="33" t="n">
        <v>6</v>
      </c>
      <c r="B41" s="35" t="n"/>
      <c r="D41" s="36" t="n"/>
      <c r="E41" s="30">
        <f>IFERROR(SUM(D36:D41),"")</f>
        <v/>
      </c>
      <c r="F41" s="30">
        <f>IFERROR(IF(D41="","",FLOOR(E40/F33,1)+1),"")</f>
        <v/>
      </c>
      <c r="G41" s="30">
        <f>IFERROR(IF(D41="","",CEILING(E41/F33,1)),"")</f>
        <v/>
      </c>
      <c r="H41" s="30">
        <f>IFERROR(IF(D41="","",TEXT('Getting Started'!B7+(F41-1)*7,"MMM D")),"")</f>
        <v/>
      </c>
      <c r="I41" s="30">
        <f>IFERROR(IF(D41="","",TEXT('Getting Started'!B7+(G41)*7,"MMM D")),"")</f>
        <v/>
      </c>
      <c r="J41" s="34" t="n"/>
    </row>
    <row r="42" ht="20" customHeight="1">
      <c r="A42" s="41" t="inlineStr">
        <is>
          <t>Notes:</t>
        </is>
      </c>
      <c r="B42" s="37" t="n"/>
    </row>
    <row r="43" ht="24" customHeight="1">
      <c r="A43" s="42" t="inlineStr">
        <is>
          <t xml:space="preserve">  READING</t>
        </is>
      </c>
    </row>
    <row r="44" ht="20" customHeight="1">
      <c r="A44" s="43" t="inlineStr">
        <is>
          <t>Curriculum / Title:</t>
        </is>
      </c>
      <c r="B44" s="27" t="n"/>
      <c r="F44" s="43" t="inlineStr">
        <is>
          <t>Unit type:</t>
        </is>
      </c>
      <c r="G44" s="27" t="inlineStr">
        <is>
          <t>pages</t>
        </is>
      </c>
      <c r="I44" s="28" t="inlineStr">
        <is>
          <t>← type: pages, lessons, chapters…</t>
        </is>
      </c>
      <c r="J44" s="29" t="n"/>
    </row>
    <row r="45" ht="22" customHeight="1">
      <c r="A45" s="43" t="inlineStr">
        <is>
          <t>Total Units:</t>
        </is>
      </c>
      <c r="B45" s="27" t="n"/>
      <c r="C45" s="43" t="inlineStr">
        <is>
          <t>School Weeks:</t>
        </is>
      </c>
      <c r="D45" s="30">
        <f>'Getting Started'!B9</f>
        <v/>
      </c>
      <c r="E45" s="43" t="inlineStr">
        <is>
          <t>Units / Week:</t>
        </is>
      </c>
      <c r="F45" s="12">
        <f>IFERROR(IF(B45="","",ROUND(B45/D45,1)),"")</f>
        <v/>
      </c>
      <c r="G45" s="43" t="inlineStr">
        <is>
          <t>Units / Day:</t>
        </is>
      </c>
      <c r="H45" s="12">
        <f>IFERROR(IF(F45="","",ROUND(F45/'Getting Started'!B10,1)),"")</f>
        <v/>
      </c>
      <c r="I45" s="43" t="inlineStr">
        <is>
          <t>Est. End Date:</t>
        </is>
      </c>
      <c r="J45" s="12">
        <f>IFERROR(IF(B45="","",TEXT('Getting Started'!B7+(B45/'Getting Started'!B10),"MMM D, YYYY")),"")</f>
        <v/>
      </c>
    </row>
    <row r="46" ht="18" customHeight="1">
      <c r="A46" s="31" t="inlineStr">
        <is>
          <t xml:space="preserve">  Optional: Component / Volume Breakdown  (fill in if curriculum has multiple books or parts)</t>
        </is>
      </c>
    </row>
    <row r="47" ht="18" customHeight="1">
      <c r="A47" s="32" t="inlineStr">
        <is>
          <t>#</t>
        </is>
      </c>
      <c r="B47" s="32" t="inlineStr">
        <is>
          <t>Component / Book Title</t>
        </is>
      </c>
      <c r="C47" s="29" t="n"/>
      <c r="D47" s="32" t="inlineStr">
        <is>
          <t>Total Units
in Component</t>
        </is>
      </c>
      <c r="E47" s="32" t="inlineStr">
        <is>
          <t>Cumulative
Units</t>
        </is>
      </c>
      <c r="F47" s="32" t="inlineStr">
        <is>
          <t>Start
Week</t>
        </is>
      </c>
      <c r="G47" s="32" t="inlineStr">
        <is>
          <t>End
Week</t>
        </is>
      </c>
      <c r="H47" s="32" t="inlineStr">
        <is>
          <t>Start
Date</t>
        </is>
      </c>
      <c r="I47" s="32" t="inlineStr">
        <is>
          <t>End
Date</t>
        </is>
      </c>
      <c r="J47" s="32" t="inlineStr">
        <is>
          <t>Complete?</t>
        </is>
      </c>
    </row>
    <row r="48" ht="18" customHeight="1">
      <c r="A48" s="33" t="n">
        <v>1</v>
      </c>
      <c r="B48" s="27" t="n"/>
      <c r="D48" s="34" t="n"/>
      <c r="E48" s="30">
        <f>IFERROR(SUM(D48:D48),"")</f>
        <v/>
      </c>
      <c r="F48" s="30">
        <f>IF(D48="","",1)</f>
        <v/>
      </c>
      <c r="G48" s="30">
        <f>IFERROR(IF(D48="","",CEILING(E48/F45,1)),"")</f>
        <v/>
      </c>
      <c r="H48" s="30">
        <f>IFERROR(IF(D48="","",TEXT('Getting Started'!B7+(F48-1)*7,"MMM D")),"")</f>
        <v/>
      </c>
      <c r="I48" s="30">
        <f>IFERROR(IF(D48="","",TEXT('Getting Started'!B7+(G48)*7,"MMM D")),"")</f>
        <v/>
      </c>
      <c r="J48" s="34" t="n"/>
    </row>
    <row r="49" ht="18" customHeight="1">
      <c r="A49" s="33" t="n">
        <v>2</v>
      </c>
      <c r="B49" s="35" t="n"/>
      <c r="D49" s="36" t="n"/>
      <c r="E49" s="30">
        <f>IFERROR(SUM(D48:D49),"")</f>
        <v/>
      </c>
      <c r="F49" s="30">
        <f>IFERROR(IF(D49="","",FLOOR(E48/F45,1)+1),"")</f>
        <v/>
      </c>
      <c r="G49" s="30">
        <f>IFERROR(IF(D49="","",CEILING(E49/F45,1)),"")</f>
        <v/>
      </c>
      <c r="H49" s="30">
        <f>IFERROR(IF(D49="","",TEXT('Getting Started'!B7+(F49-1)*7,"MMM D")),"")</f>
        <v/>
      </c>
      <c r="I49" s="30">
        <f>IFERROR(IF(D49="","",TEXT('Getting Started'!B7+(G49)*7,"MMM D")),"")</f>
        <v/>
      </c>
      <c r="J49" s="34" t="n"/>
    </row>
    <row r="50" ht="18" customHeight="1">
      <c r="A50" s="33" t="n">
        <v>3</v>
      </c>
      <c r="B50" s="27" t="n"/>
      <c r="D50" s="34" t="n"/>
      <c r="E50" s="30">
        <f>IFERROR(SUM(D48:D50),"")</f>
        <v/>
      </c>
      <c r="F50" s="30">
        <f>IFERROR(IF(D50="","",FLOOR(E49/F45,1)+1),"")</f>
        <v/>
      </c>
      <c r="G50" s="30">
        <f>IFERROR(IF(D50="","",CEILING(E50/F45,1)),"")</f>
        <v/>
      </c>
      <c r="H50" s="30">
        <f>IFERROR(IF(D50="","",TEXT('Getting Started'!B7+(F50-1)*7,"MMM D")),"")</f>
        <v/>
      </c>
      <c r="I50" s="30">
        <f>IFERROR(IF(D50="","",TEXT('Getting Started'!B7+(G50)*7,"MMM D")),"")</f>
        <v/>
      </c>
      <c r="J50" s="34" t="n"/>
    </row>
    <row r="51" ht="18" customHeight="1">
      <c r="A51" s="33" t="n">
        <v>4</v>
      </c>
      <c r="B51" s="35" t="n"/>
      <c r="D51" s="36" t="n"/>
      <c r="E51" s="30">
        <f>IFERROR(SUM(D48:D51),"")</f>
        <v/>
      </c>
      <c r="F51" s="30">
        <f>IFERROR(IF(D51="","",FLOOR(E50/F45,1)+1),"")</f>
        <v/>
      </c>
      <c r="G51" s="30">
        <f>IFERROR(IF(D51="","",CEILING(E51/F45,1)),"")</f>
        <v/>
      </c>
      <c r="H51" s="30">
        <f>IFERROR(IF(D51="","",TEXT('Getting Started'!B7+(F51-1)*7,"MMM D")),"")</f>
        <v/>
      </c>
      <c r="I51" s="30">
        <f>IFERROR(IF(D51="","",TEXT('Getting Started'!B7+(G51)*7,"MMM D")),"")</f>
        <v/>
      </c>
      <c r="J51" s="34" t="n"/>
    </row>
    <row r="52" ht="18" customHeight="1">
      <c r="A52" s="33" t="n">
        <v>5</v>
      </c>
      <c r="B52" s="27" t="n"/>
      <c r="D52" s="34" t="n"/>
      <c r="E52" s="30">
        <f>IFERROR(SUM(D48:D52),"")</f>
        <v/>
      </c>
      <c r="F52" s="30">
        <f>IFERROR(IF(D52="","",FLOOR(E51/F45,1)+1),"")</f>
        <v/>
      </c>
      <c r="G52" s="30">
        <f>IFERROR(IF(D52="","",CEILING(E52/F45,1)),"")</f>
        <v/>
      </c>
      <c r="H52" s="30">
        <f>IFERROR(IF(D52="","",TEXT('Getting Started'!B7+(F52-1)*7,"MMM D")),"")</f>
        <v/>
      </c>
      <c r="I52" s="30">
        <f>IFERROR(IF(D52="","",TEXT('Getting Started'!B7+(G52)*7,"MMM D")),"")</f>
        <v/>
      </c>
      <c r="J52" s="34" t="n"/>
    </row>
    <row r="53" ht="18" customHeight="1">
      <c r="A53" s="33" t="n">
        <v>6</v>
      </c>
      <c r="B53" s="35" t="n"/>
      <c r="D53" s="36" t="n"/>
      <c r="E53" s="30">
        <f>IFERROR(SUM(D48:D53),"")</f>
        <v/>
      </c>
      <c r="F53" s="30">
        <f>IFERROR(IF(D53="","",FLOOR(E52/F45,1)+1),"")</f>
        <v/>
      </c>
      <c r="G53" s="30">
        <f>IFERROR(IF(D53="","",CEILING(E53/F45,1)),"")</f>
        <v/>
      </c>
      <c r="H53" s="30">
        <f>IFERROR(IF(D53="","",TEXT('Getting Started'!B7+(F53-1)*7,"MMM D")),"")</f>
        <v/>
      </c>
      <c r="I53" s="30">
        <f>IFERROR(IF(D53="","",TEXT('Getting Started'!B7+(G53)*7,"MMM D")),"")</f>
        <v/>
      </c>
      <c r="J53" s="34" t="n"/>
    </row>
    <row r="54" ht="20" customHeight="1">
      <c r="A54" s="43" t="inlineStr">
        <is>
          <t>Notes:</t>
        </is>
      </c>
      <c r="B54" s="37" t="n"/>
    </row>
    <row r="55" ht="24" customHeight="1">
      <c r="A55" s="44" t="inlineStr">
        <is>
          <t xml:space="preserve">  WRITING / COMPOSITION</t>
        </is>
      </c>
    </row>
    <row r="56" ht="20" customHeight="1">
      <c r="A56" s="45" t="inlineStr">
        <is>
          <t>Curriculum / Title:</t>
        </is>
      </c>
      <c r="B56" s="27" t="n"/>
      <c r="F56" s="45" t="inlineStr">
        <is>
          <t>Unit type:</t>
        </is>
      </c>
      <c r="G56" s="27" t="inlineStr">
        <is>
          <t>pages</t>
        </is>
      </c>
      <c r="I56" s="28" t="inlineStr">
        <is>
          <t>← type: pages, lessons, chapters…</t>
        </is>
      </c>
      <c r="J56" s="29" t="n"/>
    </row>
    <row r="57" ht="22" customHeight="1">
      <c r="A57" s="45" t="inlineStr">
        <is>
          <t>Total Units:</t>
        </is>
      </c>
      <c r="B57" s="27" t="n"/>
      <c r="C57" s="45" t="inlineStr">
        <is>
          <t>School Weeks:</t>
        </is>
      </c>
      <c r="D57" s="30">
        <f>'Getting Started'!B9</f>
        <v/>
      </c>
      <c r="E57" s="45" t="inlineStr">
        <is>
          <t>Units / Week:</t>
        </is>
      </c>
      <c r="F57" s="12">
        <f>IFERROR(IF(B57="","",ROUND(B57/D57,1)),"")</f>
        <v/>
      </c>
      <c r="G57" s="45" t="inlineStr">
        <is>
          <t>Units / Day:</t>
        </is>
      </c>
      <c r="H57" s="12">
        <f>IFERROR(IF(F57="","",ROUND(F57/'Getting Started'!B10,1)),"")</f>
        <v/>
      </c>
      <c r="I57" s="45" t="inlineStr">
        <is>
          <t>Est. End Date:</t>
        </is>
      </c>
      <c r="J57" s="12">
        <f>IFERROR(IF(B57="","",TEXT('Getting Started'!B7+(B57/'Getting Started'!B10),"MMM D, YYYY")),"")</f>
        <v/>
      </c>
    </row>
    <row r="58" ht="18" customHeight="1">
      <c r="A58" s="31" t="inlineStr">
        <is>
          <t xml:space="preserve">  Optional: Component / Volume Breakdown  (fill in if curriculum has multiple books or parts)</t>
        </is>
      </c>
    </row>
    <row r="59" ht="18" customHeight="1">
      <c r="A59" s="32" t="inlineStr">
        <is>
          <t>#</t>
        </is>
      </c>
      <c r="B59" s="32" t="inlineStr">
        <is>
          <t>Component / Book Title</t>
        </is>
      </c>
      <c r="C59" s="29" t="n"/>
      <c r="D59" s="32" t="inlineStr">
        <is>
          <t>Total Units
in Component</t>
        </is>
      </c>
      <c r="E59" s="32" t="inlineStr">
        <is>
          <t>Cumulative
Units</t>
        </is>
      </c>
      <c r="F59" s="32" t="inlineStr">
        <is>
          <t>Start
Week</t>
        </is>
      </c>
      <c r="G59" s="32" t="inlineStr">
        <is>
          <t>End
Week</t>
        </is>
      </c>
      <c r="H59" s="32" t="inlineStr">
        <is>
          <t>Start
Date</t>
        </is>
      </c>
      <c r="I59" s="32" t="inlineStr">
        <is>
          <t>End
Date</t>
        </is>
      </c>
      <c r="J59" s="32" t="inlineStr">
        <is>
          <t>Complete?</t>
        </is>
      </c>
    </row>
    <row r="60" ht="18" customHeight="1">
      <c r="A60" s="33" t="n">
        <v>1</v>
      </c>
      <c r="B60" s="27" t="n"/>
      <c r="D60" s="34" t="n"/>
      <c r="E60" s="30">
        <f>IFERROR(SUM(D60:D60),"")</f>
        <v/>
      </c>
      <c r="F60" s="30">
        <f>IF(D60="","",1)</f>
        <v/>
      </c>
      <c r="G60" s="30">
        <f>IFERROR(IF(D60="","",CEILING(E60/F57,1)),"")</f>
        <v/>
      </c>
      <c r="H60" s="30">
        <f>IFERROR(IF(D60="","",TEXT('Getting Started'!B7+(F60-1)*7,"MMM D")),"")</f>
        <v/>
      </c>
      <c r="I60" s="30">
        <f>IFERROR(IF(D60="","",TEXT('Getting Started'!B7+(G60)*7,"MMM D")),"")</f>
        <v/>
      </c>
      <c r="J60" s="34" t="n"/>
    </row>
    <row r="61" ht="18" customHeight="1">
      <c r="A61" s="33" t="n">
        <v>2</v>
      </c>
      <c r="B61" s="35" t="n"/>
      <c r="D61" s="36" t="n"/>
      <c r="E61" s="30">
        <f>IFERROR(SUM(D60:D61),"")</f>
        <v/>
      </c>
      <c r="F61" s="30">
        <f>IFERROR(IF(D61="","",FLOOR(E60/F57,1)+1),"")</f>
        <v/>
      </c>
      <c r="G61" s="30">
        <f>IFERROR(IF(D61="","",CEILING(E61/F57,1)),"")</f>
        <v/>
      </c>
      <c r="H61" s="30">
        <f>IFERROR(IF(D61="","",TEXT('Getting Started'!B7+(F61-1)*7,"MMM D")),"")</f>
        <v/>
      </c>
      <c r="I61" s="30">
        <f>IFERROR(IF(D61="","",TEXT('Getting Started'!B7+(G61)*7,"MMM D")),"")</f>
        <v/>
      </c>
      <c r="J61" s="34" t="n"/>
    </row>
    <row r="62" ht="18" customHeight="1">
      <c r="A62" s="33" t="n">
        <v>3</v>
      </c>
      <c r="B62" s="27" t="n"/>
      <c r="D62" s="34" t="n"/>
      <c r="E62" s="30">
        <f>IFERROR(SUM(D60:D62),"")</f>
        <v/>
      </c>
      <c r="F62" s="30">
        <f>IFERROR(IF(D62="","",FLOOR(E61/F57,1)+1),"")</f>
        <v/>
      </c>
      <c r="G62" s="30">
        <f>IFERROR(IF(D62="","",CEILING(E62/F57,1)),"")</f>
        <v/>
      </c>
      <c r="H62" s="30">
        <f>IFERROR(IF(D62="","",TEXT('Getting Started'!B7+(F62-1)*7,"MMM D")),"")</f>
        <v/>
      </c>
      <c r="I62" s="30">
        <f>IFERROR(IF(D62="","",TEXT('Getting Started'!B7+(G62)*7,"MMM D")),"")</f>
        <v/>
      </c>
      <c r="J62" s="34" t="n"/>
    </row>
    <row r="63" ht="18" customHeight="1">
      <c r="A63" s="33" t="n">
        <v>4</v>
      </c>
      <c r="B63" s="35" t="n"/>
      <c r="D63" s="36" t="n"/>
      <c r="E63" s="30">
        <f>IFERROR(SUM(D60:D63),"")</f>
        <v/>
      </c>
      <c r="F63" s="30">
        <f>IFERROR(IF(D63="","",FLOOR(E62/F57,1)+1),"")</f>
        <v/>
      </c>
      <c r="G63" s="30">
        <f>IFERROR(IF(D63="","",CEILING(E63/F57,1)),"")</f>
        <v/>
      </c>
      <c r="H63" s="30">
        <f>IFERROR(IF(D63="","",TEXT('Getting Started'!B7+(F63-1)*7,"MMM D")),"")</f>
        <v/>
      </c>
      <c r="I63" s="30">
        <f>IFERROR(IF(D63="","",TEXT('Getting Started'!B7+(G63)*7,"MMM D")),"")</f>
        <v/>
      </c>
      <c r="J63" s="34" t="n"/>
    </row>
    <row r="64" ht="18" customHeight="1">
      <c r="A64" s="33" t="n">
        <v>5</v>
      </c>
      <c r="B64" s="27" t="n"/>
      <c r="D64" s="34" t="n"/>
      <c r="E64" s="30">
        <f>IFERROR(SUM(D60:D64),"")</f>
        <v/>
      </c>
      <c r="F64" s="30">
        <f>IFERROR(IF(D64="","",FLOOR(E63/F57,1)+1),"")</f>
        <v/>
      </c>
      <c r="G64" s="30">
        <f>IFERROR(IF(D64="","",CEILING(E64/F57,1)),"")</f>
        <v/>
      </c>
      <c r="H64" s="30">
        <f>IFERROR(IF(D64="","",TEXT('Getting Started'!B7+(F64-1)*7,"MMM D")),"")</f>
        <v/>
      </c>
      <c r="I64" s="30">
        <f>IFERROR(IF(D64="","",TEXT('Getting Started'!B7+(G64)*7,"MMM D")),"")</f>
        <v/>
      </c>
      <c r="J64" s="34" t="n"/>
    </row>
    <row r="65" ht="18" customHeight="1">
      <c r="A65" s="33" t="n">
        <v>6</v>
      </c>
      <c r="B65" s="35" t="n"/>
      <c r="D65" s="36" t="n"/>
      <c r="E65" s="30">
        <f>IFERROR(SUM(D60:D65),"")</f>
        <v/>
      </c>
      <c r="F65" s="30">
        <f>IFERROR(IF(D65="","",FLOOR(E64/F57,1)+1),"")</f>
        <v/>
      </c>
      <c r="G65" s="30">
        <f>IFERROR(IF(D65="","",CEILING(E65/F57,1)),"")</f>
        <v/>
      </c>
      <c r="H65" s="30">
        <f>IFERROR(IF(D65="","",TEXT('Getting Started'!B7+(F65-1)*7,"MMM D")),"")</f>
        <v/>
      </c>
      <c r="I65" s="30">
        <f>IFERROR(IF(D65="","",TEXT('Getting Started'!B7+(G65)*7,"MMM D")),"")</f>
        <v/>
      </c>
      <c r="J65" s="34" t="n"/>
    </row>
    <row r="66" ht="20" customHeight="1">
      <c r="A66" s="45" t="inlineStr">
        <is>
          <t>Notes:</t>
        </is>
      </c>
      <c r="B66" s="37" t="n"/>
    </row>
    <row r="67" ht="24" customHeight="1">
      <c r="A67" s="46" t="inlineStr">
        <is>
          <t xml:space="preserve">  SCIENCE</t>
        </is>
      </c>
    </row>
    <row r="68" ht="20" customHeight="1">
      <c r="A68" s="47" t="inlineStr">
        <is>
          <t>Curriculum / Title:</t>
        </is>
      </c>
      <c r="B68" s="27" t="n"/>
      <c r="F68" s="47" t="inlineStr">
        <is>
          <t>Unit type:</t>
        </is>
      </c>
      <c r="G68" s="27" t="inlineStr">
        <is>
          <t>pages</t>
        </is>
      </c>
      <c r="I68" s="28" t="inlineStr">
        <is>
          <t>← type: pages, lessons, chapters…</t>
        </is>
      </c>
      <c r="J68" s="29" t="n"/>
    </row>
    <row r="69" ht="22" customHeight="1">
      <c r="A69" s="47" t="inlineStr">
        <is>
          <t>Total Units:</t>
        </is>
      </c>
      <c r="B69" s="27" t="n"/>
      <c r="C69" s="47" t="inlineStr">
        <is>
          <t>School Weeks:</t>
        </is>
      </c>
      <c r="D69" s="30">
        <f>'Getting Started'!B9</f>
        <v/>
      </c>
      <c r="E69" s="47" t="inlineStr">
        <is>
          <t>Units / Week:</t>
        </is>
      </c>
      <c r="F69" s="12">
        <f>IFERROR(IF(B69="","",ROUND(B69/D69,1)),"")</f>
        <v/>
      </c>
      <c r="G69" s="47" t="inlineStr">
        <is>
          <t>Units / Day:</t>
        </is>
      </c>
      <c r="H69" s="12">
        <f>IFERROR(IF(F69="","",ROUND(F69/'Getting Started'!B10,1)),"")</f>
        <v/>
      </c>
      <c r="I69" s="47" t="inlineStr">
        <is>
          <t>Est. End Date:</t>
        </is>
      </c>
      <c r="J69" s="12">
        <f>IFERROR(IF(B69="","",TEXT('Getting Started'!B7+(B69/'Getting Started'!B10),"MMM D, YYYY")),"")</f>
        <v/>
      </c>
    </row>
    <row r="70" ht="18" customHeight="1">
      <c r="A70" s="31" t="inlineStr">
        <is>
          <t xml:space="preserve">  Optional: Component / Volume Breakdown  (fill in if curriculum has multiple books or parts)</t>
        </is>
      </c>
    </row>
    <row r="71" ht="18" customHeight="1">
      <c r="A71" s="32" t="inlineStr">
        <is>
          <t>#</t>
        </is>
      </c>
      <c r="B71" s="32" t="inlineStr">
        <is>
          <t>Component / Book Title</t>
        </is>
      </c>
      <c r="C71" s="29" t="n"/>
      <c r="D71" s="32" t="inlineStr">
        <is>
          <t>Total Units
in Component</t>
        </is>
      </c>
      <c r="E71" s="32" t="inlineStr">
        <is>
          <t>Cumulative
Units</t>
        </is>
      </c>
      <c r="F71" s="32" t="inlineStr">
        <is>
          <t>Start
Week</t>
        </is>
      </c>
      <c r="G71" s="32" t="inlineStr">
        <is>
          <t>End
Week</t>
        </is>
      </c>
      <c r="H71" s="32" t="inlineStr">
        <is>
          <t>Start
Date</t>
        </is>
      </c>
      <c r="I71" s="32" t="inlineStr">
        <is>
          <t>End
Date</t>
        </is>
      </c>
      <c r="J71" s="32" t="inlineStr">
        <is>
          <t>Complete?</t>
        </is>
      </c>
    </row>
    <row r="72" ht="18" customHeight="1">
      <c r="A72" s="33" t="n">
        <v>1</v>
      </c>
      <c r="B72" s="27" t="n"/>
      <c r="D72" s="34" t="n"/>
      <c r="E72" s="30">
        <f>IFERROR(SUM(D72:D72),"")</f>
        <v/>
      </c>
      <c r="F72" s="30">
        <f>IF(D72="","",1)</f>
        <v/>
      </c>
      <c r="G72" s="30">
        <f>IFERROR(IF(D72="","",CEILING(E72/F69,1)),"")</f>
        <v/>
      </c>
      <c r="H72" s="30">
        <f>IFERROR(IF(D72="","",TEXT('Getting Started'!B7+(F72-1)*7,"MMM D")),"")</f>
        <v/>
      </c>
      <c r="I72" s="30">
        <f>IFERROR(IF(D72="","",TEXT('Getting Started'!B7+(G72)*7,"MMM D")),"")</f>
        <v/>
      </c>
      <c r="J72" s="34" t="n"/>
    </row>
    <row r="73" ht="18" customHeight="1">
      <c r="A73" s="33" t="n">
        <v>2</v>
      </c>
      <c r="B73" s="35" t="n"/>
      <c r="D73" s="36" t="n"/>
      <c r="E73" s="30">
        <f>IFERROR(SUM(D72:D73),"")</f>
        <v/>
      </c>
      <c r="F73" s="30">
        <f>IFERROR(IF(D73="","",FLOOR(E72/F69,1)+1),"")</f>
        <v/>
      </c>
      <c r="G73" s="30">
        <f>IFERROR(IF(D73="","",CEILING(E73/F69,1)),"")</f>
        <v/>
      </c>
      <c r="H73" s="30">
        <f>IFERROR(IF(D73="","",TEXT('Getting Started'!B7+(F73-1)*7,"MMM D")),"")</f>
        <v/>
      </c>
      <c r="I73" s="30">
        <f>IFERROR(IF(D73="","",TEXT('Getting Started'!B7+(G73)*7,"MMM D")),"")</f>
        <v/>
      </c>
      <c r="J73" s="34" t="n"/>
    </row>
    <row r="74" ht="18" customHeight="1">
      <c r="A74" s="33" t="n">
        <v>3</v>
      </c>
      <c r="B74" s="27" t="n"/>
      <c r="D74" s="34" t="n"/>
      <c r="E74" s="30">
        <f>IFERROR(SUM(D72:D74),"")</f>
        <v/>
      </c>
      <c r="F74" s="30">
        <f>IFERROR(IF(D74="","",FLOOR(E73/F69,1)+1),"")</f>
        <v/>
      </c>
      <c r="G74" s="30">
        <f>IFERROR(IF(D74="","",CEILING(E74/F69,1)),"")</f>
        <v/>
      </c>
      <c r="H74" s="30">
        <f>IFERROR(IF(D74="","",TEXT('Getting Started'!B7+(F74-1)*7,"MMM D")),"")</f>
        <v/>
      </c>
      <c r="I74" s="30">
        <f>IFERROR(IF(D74="","",TEXT('Getting Started'!B7+(G74)*7,"MMM D")),"")</f>
        <v/>
      </c>
      <c r="J74" s="34" t="n"/>
    </row>
    <row r="75" ht="18" customHeight="1">
      <c r="A75" s="33" t="n">
        <v>4</v>
      </c>
      <c r="B75" s="35" t="n"/>
      <c r="D75" s="36" t="n"/>
      <c r="E75" s="30">
        <f>IFERROR(SUM(D72:D75),"")</f>
        <v/>
      </c>
      <c r="F75" s="30">
        <f>IFERROR(IF(D75="","",FLOOR(E74/F69,1)+1),"")</f>
        <v/>
      </c>
      <c r="G75" s="30">
        <f>IFERROR(IF(D75="","",CEILING(E75/F69,1)),"")</f>
        <v/>
      </c>
      <c r="H75" s="30">
        <f>IFERROR(IF(D75="","",TEXT('Getting Started'!B7+(F75-1)*7,"MMM D")),"")</f>
        <v/>
      </c>
      <c r="I75" s="30">
        <f>IFERROR(IF(D75="","",TEXT('Getting Started'!B7+(G75)*7,"MMM D")),"")</f>
        <v/>
      </c>
      <c r="J75" s="34" t="n"/>
    </row>
    <row r="76" ht="18" customHeight="1">
      <c r="A76" s="33" t="n">
        <v>5</v>
      </c>
      <c r="B76" s="27" t="n"/>
      <c r="D76" s="34" t="n"/>
      <c r="E76" s="30">
        <f>IFERROR(SUM(D72:D76),"")</f>
        <v/>
      </c>
      <c r="F76" s="30">
        <f>IFERROR(IF(D76="","",FLOOR(E75/F69,1)+1),"")</f>
        <v/>
      </c>
      <c r="G76" s="30">
        <f>IFERROR(IF(D76="","",CEILING(E76/F69,1)),"")</f>
        <v/>
      </c>
      <c r="H76" s="30">
        <f>IFERROR(IF(D76="","",TEXT('Getting Started'!B7+(F76-1)*7,"MMM D")),"")</f>
        <v/>
      </c>
      <c r="I76" s="30">
        <f>IFERROR(IF(D76="","",TEXT('Getting Started'!B7+(G76)*7,"MMM D")),"")</f>
        <v/>
      </c>
      <c r="J76" s="34" t="n"/>
    </row>
    <row r="77" ht="18" customHeight="1">
      <c r="A77" s="33" t="n">
        <v>6</v>
      </c>
      <c r="B77" s="35" t="n"/>
      <c r="D77" s="36" t="n"/>
      <c r="E77" s="30">
        <f>IFERROR(SUM(D72:D77),"")</f>
        <v/>
      </c>
      <c r="F77" s="30">
        <f>IFERROR(IF(D77="","",FLOOR(E76/F69,1)+1),"")</f>
        <v/>
      </c>
      <c r="G77" s="30">
        <f>IFERROR(IF(D77="","",CEILING(E77/F69,1)),"")</f>
        <v/>
      </c>
      <c r="H77" s="30">
        <f>IFERROR(IF(D77="","",TEXT('Getting Started'!B7+(F77-1)*7,"MMM D")),"")</f>
        <v/>
      </c>
      <c r="I77" s="30">
        <f>IFERROR(IF(D77="","",TEXT('Getting Started'!B7+(G77)*7,"MMM D")),"")</f>
        <v/>
      </c>
      <c r="J77" s="34" t="n"/>
    </row>
    <row r="78" ht="20" customHeight="1">
      <c r="A78" s="47" t="inlineStr">
        <is>
          <t>Notes:</t>
        </is>
      </c>
      <c r="B78" s="37" t="n"/>
    </row>
    <row r="79" ht="24" customHeight="1">
      <c r="A79" s="48" t="inlineStr">
        <is>
          <t xml:space="preserve">  SOCIAL STUDIES / HISTORY</t>
        </is>
      </c>
    </row>
    <row r="80" ht="20" customHeight="1">
      <c r="A80" s="49" t="inlineStr">
        <is>
          <t>Curriculum / Title:</t>
        </is>
      </c>
      <c r="B80" s="27" t="n"/>
      <c r="F80" s="49" t="inlineStr">
        <is>
          <t>Unit type:</t>
        </is>
      </c>
      <c r="G80" s="27" t="inlineStr">
        <is>
          <t>pages</t>
        </is>
      </c>
      <c r="I80" s="28" t="inlineStr">
        <is>
          <t>← type: pages, lessons, chapters…</t>
        </is>
      </c>
      <c r="J80" s="29" t="n"/>
    </row>
    <row r="81" ht="22" customHeight="1">
      <c r="A81" s="49" t="inlineStr">
        <is>
          <t>Total Units:</t>
        </is>
      </c>
      <c r="B81" s="27" t="n"/>
      <c r="C81" s="49" t="inlineStr">
        <is>
          <t>School Weeks:</t>
        </is>
      </c>
      <c r="D81" s="30">
        <f>'Getting Started'!B9</f>
        <v/>
      </c>
      <c r="E81" s="49" t="inlineStr">
        <is>
          <t>Units / Week:</t>
        </is>
      </c>
      <c r="F81" s="12">
        <f>IFERROR(IF(B81="","",ROUND(B81/D81,1)),"")</f>
        <v/>
      </c>
      <c r="G81" s="49" t="inlineStr">
        <is>
          <t>Units / Day:</t>
        </is>
      </c>
      <c r="H81" s="12">
        <f>IFERROR(IF(F81="","",ROUND(F81/'Getting Started'!B10,1)),"")</f>
        <v/>
      </c>
      <c r="I81" s="49" t="inlineStr">
        <is>
          <t>Est. End Date:</t>
        </is>
      </c>
      <c r="J81" s="12">
        <f>IFERROR(IF(B81="","",TEXT('Getting Started'!B7+(B81/'Getting Started'!B10),"MMM D, YYYY")),"")</f>
        <v/>
      </c>
    </row>
    <row r="82" ht="18" customHeight="1">
      <c r="A82" s="31" t="inlineStr">
        <is>
          <t xml:space="preserve">  Optional: Component / Volume Breakdown  (fill in if curriculum has multiple books or parts)</t>
        </is>
      </c>
    </row>
    <row r="83" ht="18" customHeight="1">
      <c r="A83" s="32" t="inlineStr">
        <is>
          <t>#</t>
        </is>
      </c>
      <c r="B83" s="32" t="inlineStr">
        <is>
          <t>Component / Book Title</t>
        </is>
      </c>
      <c r="C83" s="29" t="n"/>
      <c r="D83" s="32" t="inlineStr">
        <is>
          <t>Total Units
in Component</t>
        </is>
      </c>
      <c r="E83" s="32" t="inlineStr">
        <is>
          <t>Cumulative
Units</t>
        </is>
      </c>
      <c r="F83" s="32" t="inlineStr">
        <is>
          <t>Start
Week</t>
        </is>
      </c>
      <c r="G83" s="32" t="inlineStr">
        <is>
          <t>End
Week</t>
        </is>
      </c>
      <c r="H83" s="32" t="inlineStr">
        <is>
          <t>Start
Date</t>
        </is>
      </c>
      <c r="I83" s="32" t="inlineStr">
        <is>
          <t>End
Date</t>
        </is>
      </c>
      <c r="J83" s="32" t="inlineStr">
        <is>
          <t>Complete?</t>
        </is>
      </c>
    </row>
    <row r="84" ht="18" customHeight="1">
      <c r="A84" s="33" t="n">
        <v>1</v>
      </c>
      <c r="B84" s="27" t="n"/>
      <c r="D84" s="34" t="n"/>
      <c r="E84" s="30">
        <f>IFERROR(SUM(D84:D84),"")</f>
        <v/>
      </c>
      <c r="F84" s="30">
        <f>IF(D84="","",1)</f>
        <v/>
      </c>
      <c r="G84" s="30">
        <f>IFERROR(IF(D84="","",CEILING(E84/F81,1)),"")</f>
        <v/>
      </c>
      <c r="H84" s="30">
        <f>IFERROR(IF(D84="","",TEXT('Getting Started'!B7+(F84-1)*7,"MMM D")),"")</f>
        <v/>
      </c>
      <c r="I84" s="30">
        <f>IFERROR(IF(D84="","",TEXT('Getting Started'!B7+(G84)*7,"MMM D")),"")</f>
        <v/>
      </c>
      <c r="J84" s="34" t="n"/>
    </row>
    <row r="85" ht="18" customHeight="1">
      <c r="A85" s="33" t="n">
        <v>2</v>
      </c>
      <c r="B85" s="35" t="n"/>
      <c r="D85" s="36" t="n"/>
      <c r="E85" s="30">
        <f>IFERROR(SUM(D84:D85),"")</f>
        <v/>
      </c>
      <c r="F85" s="30">
        <f>IFERROR(IF(D85="","",FLOOR(E84/F81,1)+1),"")</f>
        <v/>
      </c>
      <c r="G85" s="30">
        <f>IFERROR(IF(D85="","",CEILING(E85/F81,1)),"")</f>
        <v/>
      </c>
      <c r="H85" s="30">
        <f>IFERROR(IF(D85="","",TEXT('Getting Started'!B7+(F85-1)*7,"MMM D")),"")</f>
        <v/>
      </c>
      <c r="I85" s="30">
        <f>IFERROR(IF(D85="","",TEXT('Getting Started'!B7+(G85)*7,"MMM D")),"")</f>
        <v/>
      </c>
      <c r="J85" s="34" t="n"/>
    </row>
    <row r="86" ht="18" customHeight="1">
      <c r="A86" s="33" t="n">
        <v>3</v>
      </c>
      <c r="B86" s="27" t="n"/>
      <c r="D86" s="34" t="n"/>
      <c r="E86" s="30">
        <f>IFERROR(SUM(D84:D86),"")</f>
        <v/>
      </c>
      <c r="F86" s="30">
        <f>IFERROR(IF(D86="","",FLOOR(E85/F81,1)+1),"")</f>
        <v/>
      </c>
      <c r="G86" s="30">
        <f>IFERROR(IF(D86="","",CEILING(E86/F81,1)),"")</f>
        <v/>
      </c>
      <c r="H86" s="30">
        <f>IFERROR(IF(D86="","",TEXT('Getting Started'!B7+(F86-1)*7,"MMM D")),"")</f>
        <v/>
      </c>
      <c r="I86" s="30">
        <f>IFERROR(IF(D86="","",TEXT('Getting Started'!B7+(G86)*7,"MMM D")),"")</f>
        <v/>
      </c>
      <c r="J86" s="34" t="n"/>
    </row>
    <row r="87" ht="18" customHeight="1">
      <c r="A87" s="33" t="n">
        <v>4</v>
      </c>
      <c r="B87" s="35" t="n"/>
      <c r="D87" s="36" t="n"/>
      <c r="E87" s="30">
        <f>IFERROR(SUM(D84:D87),"")</f>
        <v/>
      </c>
      <c r="F87" s="30">
        <f>IFERROR(IF(D87="","",FLOOR(E86/F81,1)+1),"")</f>
        <v/>
      </c>
      <c r="G87" s="30">
        <f>IFERROR(IF(D87="","",CEILING(E87/F81,1)),"")</f>
        <v/>
      </c>
      <c r="H87" s="30">
        <f>IFERROR(IF(D87="","",TEXT('Getting Started'!B7+(F87-1)*7,"MMM D")),"")</f>
        <v/>
      </c>
      <c r="I87" s="30">
        <f>IFERROR(IF(D87="","",TEXT('Getting Started'!B7+(G87)*7,"MMM D")),"")</f>
        <v/>
      </c>
      <c r="J87" s="34" t="n"/>
    </row>
    <row r="88" ht="18" customHeight="1">
      <c r="A88" s="33" t="n">
        <v>5</v>
      </c>
      <c r="B88" s="27" t="n"/>
      <c r="D88" s="34" t="n"/>
      <c r="E88" s="30">
        <f>IFERROR(SUM(D84:D88),"")</f>
        <v/>
      </c>
      <c r="F88" s="30">
        <f>IFERROR(IF(D88="","",FLOOR(E87/F81,1)+1),"")</f>
        <v/>
      </c>
      <c r="G88" s="30">
        <f>IFERROR(IF(D88="","",CEILING(E88/F81,1)),"")</f>
        <v/>
      </c>
      <c r="H88" s="30">
        <f>IFERROR(IF(D88="","",TEXT('Getting Started'!B7+(F88-1)*7,"MMM D")),"")</f>
        <v/>
      </c>
      <c r="I88" s="30">
        <f>IFERROR(IF(D88="","",TEXT('Getting Started'!B7+(G88)*7,"MMM D")),"")</f>
        <v/>
      </c>
      <c r="J88" s="34" t="n"/>
    </row>
    <row r="89" ht="18" customHeight="1">
      <c r="A89" s="33" t="n">
        <v>6</v>
      </c>
      <c r="B89" s="35" t="n"/>
      <c r="D89" s="36" t="n"/>
      <c r="E89" s="30">
        <f>IFERROR(SUM(D84:D89),"")</f>
        <v/>
      </c>
      <c r="F89" s="30">
        <f>IFERROR(IF(D89="","",FLOOR(E88/F81,1)+1),"")</f>
        <v/>
      </c>
      <c r="G89" s="30">
        <f>IFERROR(IF(D89="","",CEILING(E89/F81,1)),"")</f>
        <v/>
      </c>
      <c r="H89" s="30">
        <f>IFERROR(IF(D89="","",TEXT('Getting Started'!B7+(F89-1)*7,"MMM D")),"")</f>
        <v/>
      </c>
      <c r="I89" s="30">
        <f>IFERROR(IF(D89="","",TEXT('Getting Started'!B7+(G89)*7,"MMM D")),"")</f>
        <v/>
      </c>
      <c r="J89" s="34" t="n"/>
    </row>
    <row r="90" ht="20" customHeight="1">
      <c r="A90" s="49" t="inlineStr">
        <is>
          <t>Notes:</t>
        </is>
      </c>
      <c r="B90" s="37" t="n"/>
    </row>
    <row r="91" ht="24" customHeight="1">
      <c r="A91" s="50" t="inlineStr">
        <is>
          <t xml:space="preserve">  HEALTH</t>
        </is>
      </c>
    </row>
    <row r="92" ht="20" customHeight="1">
      <c r="A92" s="51" t="inlineStr">
        <is>
          <t>Curriculum / Title:</t>
        </is>
      </c>
      <c r="B92" s="27" t="n"/>
      <c r="F92" s="51" t="inlineStr">
        <is>
          <t>Unit type:</t>
        </is>
      </c>
      <c r="G92" s="27" t="inlineStr">
        <is>
          <t>pages</t>
        </is>
      </c>
      <c r="I92" s="28" t="inlineStr">
        <is>
          <t>← type: pages, lessons, chapters…</t>
        </is>
      </c>
      <c r="J92" s="29" t="n"/>
    </row>
    <row r="93" ht="22" customHeight="1">
      <c r="A93" s="51" t="inlineStr">
        <is>
          <t>Total Units:</t>
        </is>
      </c>
      <c r="B93" s="27" t="n"/>
      <c r="C93" s="51" t="inlineStr">
        <is>
          <t>School Weeks:</t>
        </is>
      </c>
      <c r="D93" s="30">
        <f>'Getting Started'!B9</f>
        <v/>
      </c>
      <c r="E93" s="51" t="inlineStr">
        <is>
          <t>Units / Week:</t>
        </is>
      </c>
      <c r="F93" s="12">
        <f>IFERROR(IF(B93="","",ROUND(B93/D93,1)),"")</f>
        <v/>
      </c>
      <c r="G93" s="51" t="inlineStr">
        <is>
          <t>Units / Day:</t>
        </is>
      </c>
      <c r="H93" s="12">
        <f>IFERROR(IF(F93="","",ROUND(F93/'Getting Started'!B10,1)),"")</f>
        <v/>
      </c>
      <c r="I93" s="51" t="inlineStr">
        <is>
          <t>Est. End Date:</t>
        </is>
      </c>
      <c r="J93" s="12">
        <f>IFERROR(IF(B93="","",TEXT('Getting Started'!B7+(B93/'Getting Started'!B10),"MMM D, YYYY")),"")</f>
        <v/>
      </c>
    </row>
    <row r="94" ht="18" customHeight="1">
      <c r="A94" s="31" t="inlineStr">
        <is>
          <t xml:space="preserve">  Optional: Component / Volume Breakdown  (fill in if curriculum has multiple books or parts)</t>
        </is>
      </c>
    </row>
    <row r="95" ht="18" customHeight="1">
      <c r="A95" s="32" t="inlineStr">
        <is>
          <t>#</t>
        </is>
      </c>
      <c r="B95" s="32" t="inlineStr">
        <is>
          <t>Component / Book Title</t>
        </is>
      </c>
      <c r="C95" s="29" t="n"/>
      <c r="D95" s="32" t="inlineStr">
        <is>
          <t>Total Units
in Component</t>
        </is>
      </c>
      <c r="E95" s="32" t="inlineStr">
        <is>
          <t>Cumulative
Units</t>
        </is>
      </c>
      <c r="F95" s="32" t="inlineStr">
        <is>
          <t>Start
Week</t>
        </is>
      </c>
      <c r="G95" s="32" t="inlineStr">
        <is>
          <t>End
Week</t>
        </is>
      </c>
      <c r="H95" s="32" t="inlineStr">
        <is>
          <t>Start
Date</t>
        </is>
      </c>
      <c r="I95" s="32" t="inlineStr">
        <is>
          <t>End
Date</t>
        </is>
      </c>
      <c r="J95" s="32" t="inlineStr">
        <is>
          <t>Complete?</t>
        </is>
      </c>
    </row>
    <row r="96" ht="18" customHeight="1">
      <c r="A96" s="33" t="n">
        <v>1</v>
      </c>
      <c r="B96" s="27" t="n"/>
      <c r="D96" s="34" t="n"/>
      <c r="E96" s="30">
        <f>IFERROR(SUM(D96:D96),"")</f>
        <v/>
      </c>
      <c r="F96" s="30">
        <f>IF(D96="","",1)</f>
        <v/>
      </c>
      <c r="G96" s="30">
        <f>IFERROR(IF(D96="","",CEILING(E96/F93,1)),"")</f>
        <v/>
      </c>
      <c r="H96" s="30">
        <f>IFERROR(IF(D96="","",TEXT('Getting Started'!B7+(F96-1)*7,"MMM D")),"")</f>
        <v/>
      </c>
      <c r="I96" s="30">
        <f>IFERROR(IF(D96="","",TEXT('Getting Started'!B7+(G96)*7,"MMM D")),"")</f>
        <v/>
      </c>
      <c r="J96" s="34" t="n"/>
    </row>
    <row r="97" ht="18" customHeight="1">
      <c r="A97" s="33" t="n">
        <v>2</v>
      </c>
      <c r="B97" s="35" t="n"/>
      <c r="D97" s="36" t="n"/>
      <c r="E97" s="30">
        <f>IFERROR(SUM(D96:D97),"")</f>
        <v/>
      </c>
      <c r="F97" s="30">
        <f>IFERROR(IF(D97="","",FLOOR(E96/F93,1)+1),"")</f>
        <v/>
      </c>
      <c r="G97" s="30">
        <f>IFERROR(IF(D97="","",CEILING(E97/F93,1)),"")</f>
        <v/>
      </c>
      <c r="H97" s="30">
        <f>IFERROR(IF(D97="","",TEXT('Getting Started'!B7+(F97-1)*7,"MMM D")),"")</f>
        <v/>
      </c>
      <c r="I97" s="30">
        <f>IFERROR(IF(D97="","",TEXT('Getting Started'!B7+(G97)*7,"MMM D")),"")</f>
        <v/>
      </c>
      <c r="J97" s="34" t="n"/>
    </row>
    <row r="98" ht="18" customHeight="1">
      <c r="A98" s="33" t="n">
        <v>3</v>
      </c>
      <c r="B98" s="27" t="n"/>
      <c r="D98" s="34" t="n"/>
      <c r="E98" s="30">
        <f>IFERROR(SUM(D96:D98),"")</f>
        <v/>
      </c>
      <c r="F98" s="30">
        <f>IFERROR(IF(D98="","",FLOOR(E97/F93,1)+1),"")</f>
        <v/>
      </c>
      <c r="G98" s="30">
        <f>IFERROR(IF(D98="","",CEILING(E98/F93,1)),"")</f>
        <v/>
      </c>
      <c r="H98" s="30">
        <f>IFERROR(IF(D98="","",TEXT('Getting Started'!B7+(F98-1)*7,"MMM D")),"")</f>
        <v/>
      </c>
      <c r="I98" s="30">
        <f>IFERROR(IF(D98="","",TEXT('Getting Started'!B7+(G98)*7,"MMM D")),"")</f>
        <v/>
      </c>
      <c r="J98" s="34" t="n"/>
    </row>
    <row r="99" ht="18" customHeight="1">
      <c r="A99" s="33" t="n">
        <v>4</v>
      </c>
      <c r="B99" s="35" t="n"/>
      <c r="D99" s="36" t="n"/>
      <c r="E99" s="30">
        <f>IFERROR(SUM(D96:D99),"")</f>
        <v/>
      </c>
      <c r="F99" s="30">
        <f>IFERROR(IF(D99="","",FLOOR(E98/F93,1)+1),"")</f>
        <v/>
      </c>
      <c r="G99" s="30">
        <f>IFERROR(IF(D99="","",CEILING(E99/F93,1)),"")</f>
        <v/>
      </c>
      <c r="H99" s="30">
        <f>IFERROR(IF(D99="","",TEXT('Getting Started'!B7+(F99-1)*7,"MMM D")),"")</f>
        <v/>
      </c>
      <c r="I99" s="30">
        <f>IFERROR(IF(D99="","",TEXT('Getting Started'!B7+(G99)*7,"MMM D")),"")</f>
        <v/>
      </c>
      <c r="J99" s="34" t="n"/>
    </row>
    <row r="100" ht="18" customHeight="1">
      <c r="A100" s="33" t="n">
        <v>5</v>
      </c>
      <c r="B100" s="27" t="n"/>
      <c r="D100" s="34" t="n"/>
      <c r="E100" s="30">
        <f>IFERROR(SUM(D96:D100),"")</f>
        <v/>
      </c>
      <c r="F100" s="30">
        <f>IFERROR(IF(D100="","",FLOOR(E99/F93,1)+1),"")</f>
        <v/>
      </c>
      <c r="G100" s="30">
        <f>IFERROR(IF(D100="","",CEILING(E100/F93,1)),"")</f>
        <v/>
      </c>
      <c r="H100" s="30">
        <f>IFERROR(IF(D100="","",TEXT('Getting Started'!B7+(F100-1)*7,"MMM D")),"")</f>
        <v/>
      </c>
      <c r="I100" s="30">
        <f>IFERROR(IF(D100="","",TEXT('Getting Started'!B7+(G100)*7,"MMM D")),"")</f>
        <v/>
      </c>
      <c r="J100" s="34" t="n"/>
    </row>
    <row r="101" ht="18" customHeight="1">
      <c r="A101" s="33" t="n">
        <v>6</v>
      </c>
      <c r="B101" s="35" t="n"/>
      <c r="D101" s="36" t="n"/>
      <c r="E101" s="30">
        <f>IFERROR(SUM(D96:D101),"")</f>
        <v/>
      </c>
      <c r="F101" s="30">
        <f>IFERROR(IF(D101="","",FLOOR(E100/F93,1)+1),"")</f>
        <v/>
      </c>
      <c r="G101" s="30">
        <f>IFERROR(IF(D101="","",CEILING(E101/F93,1)),"")</f>
        <v/>
      </c>
      <c r="H101" s="30">
        <f>IFERROR(IF(D101="","",TEXT('Getting Started'!B7+(F101-1)*7,"MMM D")),"")</f>
        <v/>
      </c>
      <c r="I101" s="30">
        <f>IFERROR(IF(D101="","",TEXT('Getting Started'!B7+(G101)*7,"MMM D")),"")</f>
        <v/>
      </c>
      <c r="J101" s="34" t="n"/>
    </row>
    <row r="102" ht="20" customHeight="1">
      <c r="A102" s="51" t="inlineStr">
        <is>
          <t>Notes:</t>
        </is>
      </c>
      <c r="B102" s="37" t="n"/>
    </row>
    <row r="103" ht="24" customHeight="1">
      <c r="A103" s="52" t="inlineStr">
        <is>
          <t xml:space="preserve">  PHYSICAL EDUCATION</t>
        </is>
      </c>
    </row>
    <row r="104" ht="20" customHeight="1">
      <c r="A104" s="53" t="inlineStr">
        <is>
          <t>Curriculum / Title:</t>
        </is>
      </c>
      <c r="B104" s="27" t="n"/>
      <c r="F104" s="53" t="inlineStr">
        <is>
          <t>Unit type:</t>
        </is>
      </c>
      <c r="G104" s="27" t="inlineStr">
        <is>
          <t>pages</t>
        </is>
      </c>
      <c r="I104" s="28" t="inlineStr">
        <is>
          <t>← type: pages, lessons, chapters…</t>
        </is>
      </c>
      <c r="J104" s="29" t="n"/>
    </row>
    <row r="105" ht="22" customHeight="1">
      <c r="A105" s="53" t="inlineStr">
        <is>
          <t>Total Units:</t>
        </is>
      </c>
      <c r="B105" s="27" t="n"/>
      <c r="C105" s="53" t="inlineStr">
        <is>
          <t>School Weeks:</t>
        </is>
      </c>
      <c r="D105" s="30">
        <f>'Getting Started'!B9</f>
        <v/>
      </c>
      <c r="E105" s="53" t="inlineStr">
        <is>
          <t>Units / Week:</t>
        </is>
      </c>
      <c r="F105" s="12">
        <f>IFERROR(IF(B105="","",ROUND(B105/D105,1)),"")</f>
        <v/>
      </c>
      <c r="G105" s="53" t="inlineStr">
        <is>
          <t>Units / Day:</t>
        </is>
      </c>
      <c r="H105" s="12">
        <f>IFERROR(IF(F105="","",ROUND(F105/'Getting Started'!B10,1)),"")</f>
        <v/>
      </c>
      <c r="I105" s="53" t="inlineStr">
        <is>
          <t>Est. End Date:</t>
        </is>
      </c>
      <c r="J105" s="12">
        <f>IFERROR(IF(B105="","",TEXT('Getting Started'!B7+(B105/'Getting Started'!B10),"MMM D, YYYY")),"")</f>
        <v/>
      </c>
    </row>
    <row r="106" ht="18" customHeight="1">
      <c r="A106" s="31" t="inlineStr">
        <is>
          <t xml:space="preserve">  Optional: Component / Volume Breakdown  (fill in if curriculum has multiple books or parts)</t>
        </is>
      </c>
    </row>
    <row r="107" ht="18" customHeight="1">
      <c r="A107" s="32" t="inlineStr">
        <is>
          <t>#</t>
        </is>
      </c>
      <c r="B107" s="32" t="inlineStr">
        <is>
          <t>Component / Book Title</t>
        </is>
      </c>
      <c r="C107" s="29" t="n"/>
      <c r="D107" s="32" t="inlineStr">
        <is>
          <t>Total Units
in Component</t>
        </is>
      </c>
      <c r="E107" s="32" t="inlineStr">
        <is>
          <t>Cumulative
Units</t>
        </is>
      </c>
      <c r="F107" s="32" t="inlineStr">
        <is>
          <t>Start
Week</t>
        </is>
      </c>
      <c r="G107" s="32" t="inlineStr">
        <is>
          <t>End
Week</t>
        </is>
      </c>
      <c r="H107" s="32" t="inlineStr">
        <is>
          <t>Start
Date</t>
        </is>
      </c>
      <c r="I107" s="32" t="inlineStr">
        <is>
          <t>End
Date</t>
        </is>
      </c>
      <c r="J107" s="32" t="inlineStr">
        <is>
          <t>Complete?</t>
        </is>
      </c>
    </row>
    <row r="108" ht="18" customHeight="1">
      <c r="A108" s="33" t="n">
        <v>1</v>
      </c>
      <c r="B108" s="27" t="n"/>
      <c r="D108" s="34" t="n"/>
      <c r="E108" s="30">
        <f>IFERROR(SUM(D108:D108),"")</f>
        <v/>
      </c>
      <c r="F108" s="30">
        <f>IF(D108="","",1)</f>
        <v/>
      </c>
      <c r="G108" s="30">
        <f>IFERROR(IF(D108="","",CEILING(E108/F105,1)),"")</f>
        <v/>
      </c>
      <c r="H108" s="30">
        <f>IFERROR(IF(D108="","",TEXT('Getting Started'!B7+(F108-1)*7,"MMM D")),"")</f>
        <v/>
      </c>
      <c r="I108" s="30">
        <f>IFERROR(IF(D108="","",TEXT('Getting Started'!B7+(G108)*7,"MMM D")),"")</f>
        <v/>
      </c>
      <c r="J108" s="34" t="n"/>
    </row>
    <row r="109" ht="18" customHeight="1">
      <c r="A109" s="33" t="n">
        <v>2</v>
      </c>
      <c r="B109" s="35" t="n"/>
      <c r="D109" s="36" t="n"/>
      <c r="E109" s="30">
        <f>IFERROR(SUM(D108:D109),"")</f>
        <v/>
      </c>
      <c r="F109" s="30">
        <f>IFERROR(IF(D109="","",FLOOR(E108/F105,1)+1),"")</f>
        <v/>
      </c>
      <c r="G109" s="30">
        <f>IFERROR(IF(D109="","",CEILING(E109/F105,1)),"")</f>
        <v/>
      </c>
      <c r="H109" s="30">
        <f>IFERROR(IF(D109="","",TEXT('Getting Started'!B7+(F109-1)*7,"MMM D")),"")</f>
        <v/>
      </c>
      <c r="I109" s="30">
        <f>IFERROR(IF(D109="","",TEXT('Getting Started'!B7+(G109)*7,"MMM D")),"")</f>
        <v/>
      </c>
      <c r="J109" s="34" t="n"/>
    </row>
    <row r="110" ht="18" customHeight="1">
      <c r="A110" s="33" t="n">
        <v>3</v>
      </c>
      <c r="B110" s="27" t="n"/>
      <c r="D110" s="34" t="n"/>
      <c r="E110" s="30">
        <f>IFERROR(SUM(D108:D110),"")</f>
        <v/>
      </c>
      <c r="F110" s="30">
        <f>IFERROR(IF(D110="","",FLOOR(E109/F105,1)+1),"")</f>
        <v/>
      </c>
      <c r="G110" s="30">
        <f>IFERROR(IF(D110="","",CEILING(E110/F105,1)),"")</f>
        <v/>
      </c>
      <c r="H110" s="30">
        <f>IFERROR(IF(D110="","",TEXT('Getting Started'!B7+(F110-1)*7,"MMM D")),"")</f>
        <v/>
      </c>
      <c r="I110" s="30">
        <f>IFERROR(IF(D110="","",TEXT('Getting Started'!B7+(G110)*7,"MMM D")),"")</f>
        <v/>
      </c>
      <c r="J110" s="34" t="n"/>
    </row>
    <row r="111" ht="18" customHeight="1">
      <c r="A111" s="33" t="n">
        <v>4</v>
      </c>
      <c r="B111" s="35" t="n"/>
      <c r="D111" s="36" t="n"/>
      <c r="E111" s="30">
        <f>IFERROR(SUM(D108:D111),"")</f>
        <v/>
      </c>
      <c r="F111" s="30">
        <f>IFERROR(IF(D111="","",FLOOR(E110/F105,1)+1),"")</f>
        <v/>
      </c>
      <c r="G111" s="30">
        <f>IFERROR(IF(D111="","",CEILING(E111/F105,1)),"")</f>
        <v/>
      </c>
      <c r="H111" s="30">
        <f>IFERROR(IF(D111="","",TEXT('Getting Started'!B7+(F111-1)*7,"MMM D")),"")</f>
        <v/>
      </c>
      <c r="I111" s="30">
        <f>IFERROR(IF(D111="","",TEXT('Getting Started'!B7+(G111)*7,"MMM D")),"")</f>
        <v/>
      </c>
      <c r="J111" s="34" t="n"/>
    </row>
    <row r="112" ht="18" customHeight="1">
      <c r="A112" s="33" t="n">
        <v>5</v>
      </c>
      <c r="B112" s="27" t="n"/>
      <c r="D112" s="34" t="n"/>
      <c r="E112" s="30">
        <f>IFERROR(SUM(D108:D112),"")</f>
        <v/>
      </c>
      <c r="F112" s="30">
        <f>IFERROR(IF(D112="","",FLOOR(E111/F105,1)+1),"")</f>
        <v/>
      </c>
      <c r="G112" s="30">
        <f>IFERROR(IF(D112="","",CEILING(E112/F105,1)),"")</f>
        <v/>
      </c>
      <c r="H112" s="30">
        <f>IFERROR(IF(D112="","",TEXT('Getting Started'!B7+(F112-1)*7,"MMM D")),"")</f>
        <v/>
      </c>
      <c r="I112" s="30">
        <f>IFERROR(IF(D112="","",TEXT('Getting Started'!B7+(G112)*7,"MMM D")),"")</f>
        <v/>
      </c>
      <c r="J112" s="34" t="n"/>
    </row>
    <row r="113" ht="18" customHeight="1">
      <c r="A113" s="33" t="n">
        <v>6</v>
      </c>
      <c r="B113" s="35" t="n"/>
      <c r="D113" s="36" t="n"/>
      <c r="E113" s="30">
        <f>IFERROR(SUM(D108:D113),"")</f>
        <v/>
      </c>
      <c r="F113" s="30">
        <f>IFERROR(IF(D113="","",FLOOR(E112/F105,1)+1),"")</f>
        <v/>
      </c>
      <c r="G113" s="30">
        <f>IFERROR(IF(D113="","",CEILING(E113/F105,1)),"")</f>
        <v/>
      </c>
      <c r="H113" s="30">
        <f>IFERROR(IF(D113="","",TEXT('Getting Started'!B7+(F113-1)*7,"MMM D")),"")</f>
        <v/>
      </c>
      <c r="I113" s="30">
        <f>IFERROR(IF(D113="","",TEXT('Getting Started'!B7+(G113)*7,"MMM D")),"")</f>
        <v/>
      </c>
      <c r="J113" s="34" t="n"/>
    </row>
    <row r="114" ht="20" customHeight="1">
      <c r="A114" s="53" t="inlineStr">
        <is>
          <t>Notes:</t>
        </is>
      </c>
      <c r="B114" s="37" t="n"/>
    </row>
    <row r="115" ht="24" customHeight="1">
      <c r="A115" s="54" t="inlineStr">
        <is>
          <t xml:space="preserve">  ART / MUSIC</t>
        </is>
      </c>
    </row>
    <row r="116" ht="20" customHeight="1">
      <c r="A116" s="55" t="inlineStr">
        <is>
          <t>Curriculum / Title:</t>
        </is>
      </c>
      <c r="B116" s="27" t="n"/>
      <c r="F116" s="55" t="inlineStr">
        <is>
          <t>Unit type:</t>
        </is>
      </c>
      <c r="G116" s="27" t="inlineStr">
        <is>
          <t>pages</t>
        </is>
      </c>
      <c r="I116" s="28" t="inlineStr">
        <is>
          <t>← type: pages, lessons, chapters…</t>
        </is>
      </c>
      <c r="J116" s="29" t="n"/>
    </row>
    <row r="117" ht="22" customHeight="1">
      <c r="A117" s="55" t="inlineStr">
        <is>
          <t>Total Units:</t>
        </is>
      </c>
      <c r="B117" s="27" t="n"/>
      <c r="C117" s="55" t="inlineStr">
        <is>
          <t>School Weeks:</t>
        </is>
      </c>
      <c r="D117" s="30">
        <f>'Getting Started'!B9</f>
        <v/>
      </c>
      <c r="E117" s="55" t="inlineStr">
        <is>
          <t>Units / Week:</t>
        </is>
      </c>
      <c r="F117" s="12">
        <f>IFERROR(IF(B117="","",ROUND(B117/D117,1)),"")</f>
        <v/>
      </c>
      <c r="G117" s="55" t="inlineStr">
        <is>
          <t>Units / Day:</t>
        </is>
      </c>
      <c r="H117" s="12">
        <f>IFERROR(IF(F117="","",ROUND(F117/'Getting Started'!B10,1)),"")</f>
        <v/>
      </c>
      <c r="I117" s="55" t="inlineStr">
        <is>
          <t>Est. End Date:</t>
        </is>
      </c>
      <c r="J117" s="12">
        <f>IFERROR(IF(B117="","",TEXT('Getting Started'!B7+(B117/'Getting Started'!B10),"MMM D, YYYY")),"")</f>
        <v/>
      </c>
    </row>
    <row r="118" ht="18" customHeight="1">
      <c r="A118" s="31" t="inlineStr">
        <is>
          <t xml:space="preserve">  Optional: Component / Volume Breakdown  (fill in if curriculum has multiple books or parts)</t>
        </is>
      </c>
    </row>
    <row r="119" ht="18" customHeight="1">
      <c r="A119" s="32" t="inlineStr">
        <is>
          <t>#</t>
        </is>
      </c>
      <c r="B119" s="32" t="inlineStr">
        <is>
          <t>Component / Book Title</t>
        </is>
      </c>
      <c r="C119" s="29" t="n"/>
      <c r="D119" s="32" t="inlineStr">
        <is>
          <t>Total Units
in Component</t>
        </is>
      </c>
      <c r="E119" s="32" t="inlineStr">
        <is>
          <t>Cumulative
Units</t>
        </is>
      </c>
      <c r="F119" s="32" t="inlineStr">
        <is>
          <t>Start
Week</t>
        </is>
      </c>
      <c r="G119" s="32" t="inlineStr">
        <is>
          <t>End
Week</t>
        </is>
      </c>
      <c r="H119" s="32" t="inlineStr">
        <is>
          <t>Start
Date</t>
        </is>
      </c>
      <c r="I119" s="32" t="inlineStr">
        <is>
          <t>End
Date</t>
        </is>
      </c>
      <c r="J119" s="32" t="inlineStr">
        <is>
          <t>Complete?</t>
        </is>
      </c>
    </row>
    <row r="120" ht="18" customHeight="1">
      <c r="A120" s="33" t="n">
        <v>1</v>
      </c>
      <c r="B120" s="27" t="n"/>
      <c r="D120" s="34" t="n"/>
      <c r="E120" s="30">
        <f>IFERROR(SUM(D120:D120),"")</f>
        <v/>
      </c>
      <c r="F120" s="30">
        <f>IF(D120="","",1)</f>
        <v/>
      </c>
      <c r="G120" s="30">
        <f>IFERROR(IF(D120="","",CEILING(E120/F117,1)),"")</f>
        <v/>
      </c>
      <c r="H120" s="30">
        <f>IFERROR(IF(D120="","",TEXT('Getting Started'!B7+(F120-1)*7,"MMM D")),"")</f>
        <v/>
      </c>
      <c r="I120" s="30">
        <f>IFERROR(IF(D120="","",TEXT('Getting Started'!B7+(G120)*7,"MMM D")),"")</f>
        <v/>
      </c>
      <c r="J120" s="34" t="n"/>
    </row>
    <row r="121" ht="18" customHeight="1">
      <c r="A121" s="33" t="n">
        <v>2</v>
      </c>
      <c r="B121" s="35" t="n"/>
      <c r="D121" s="36" t="n"/>
      <c r="E121" s="30">
        <f>IFERROR(SUM(D120:D121),"")</f>
        <v/>
      </c>
      <c r="F121" s="30">
        <f>IFERROR(IF(D121="","",FLOOR(E120/F117,1)+1),"")</f>
        <v/>
      </c>
      <c r="G121" s="30">
        <f>IFERROR(IF(D121="","",CEILING(E121/F117,1)),"")</f>
        <v/>
      </c>
      <c r="H121" s="30">
        <f>IFERROR(IF(D121="","",TEXT('Getting Started'!B7+(F121-1)*7,"MMM D")),"")</f>
        <v/>
      </c>
      <c r="I121" s="30">
        <f>IFERROR(IF(D121="","",TEXT('Getting Started'!B7+(G121)*7,"MMM D")),"")</f>
        <v/>
      </c>
      <c r="J121" s="34" t="n"/>
    </row>
    <row r="122" ht="18" customHeight="1">
      <c r="A122" s="33" t="n">
        <v>3</v>
      </c>
      <c r="B122" s="27" t="n"/>
      <c r="D122" s="34" t="n"/>
      <c r="E122" s="30">
        <f>IFERROR(SUM(D120:D122),"")</f>
        <v/>
      </c>
      <c r="F122" s="30">
        <f>IFERROR(IF(D122="","",FLOOR(E121/F117,1)+1),"")</f>
        <v/>
      </c>
      <c r="G122" s="30">
        <f>IFERROR(IF(D122="","",CEILING(E122/F117,1)),"")</f>
        <v/>
      </c>
      <c r="H122" s="30">
        <f>IFERROR(IF(D122="","",TEXT('Getting Started'!B7+(F122-1)*7,"MMM D")),"")</f>
        <v/>
      </c>
      <c r="I122" s="30">
        <f>IFERROR(IF(D122="","",TEXT('Getting Started'!B7+(G122)*7,"MMM D")),"")</f>
        <v/>
      </c>
      <c r="J122" s="34" t="n"/>
    </row>
    <row r="123" ht="18" customHeight="1">
      <c r="A123" s="33" t="n">
        <v>4</v>
      </c>
      <c r="B123" s="35" t="n"/>
      <c r="D123" s="36" t="n"/>
      <c r="E123" s="30">
        <f>IFERROR(SUM(D120:D123),"")</f>
        <v/>
      </c>
      <c r="F123" s="30">
        <f>IFERROR(IF(D123="","",FLOOR(E122/F117,1)+1),"")</f>
        <v/>
      </c>
      <c r="G123" s="30">
        <f>IFERROR(IF(D123="","",CEILING(E123/F117,1)),"")</f>
        <v/>
      </c>
      <c r="H123" s="30">
        <f>IFERROR(IF(D123="","",TEXT('Getting Started'!B7+(F123-1)*7,"MMM D")),"")</f>
        <v/>
      </c>
      <c r="I123" s="30">
        <f>IFERROR(IF(D123="","",TEXT('Getting Started'!B7+(G123)*7,"MMM D")),"")</f>
        <v/>
      </c>
      <c r="J123" s="34" t="n"/>
    </row>
    <row r="124" ht="18" customHeight="1">
      <c r="A124" s="33" t="n">
        <v>5</v>
      </c>
      <c r="B124" s="27" t="n"/>
      <c r="D124" s="34" t="n"/>
      <c r="E124" s="30">
        <f>IFERROR(SUM(D120:D124),"")</f>
        <v/>
      </c>
      <c r="F124" s="30">
        <f>IFERROR(IF(D124="","",FLOOR(E123/F117,1)+1),"")</f>
        <v/>
      </c>
      <c r="G124" s="30">
        <f>IFERROR(IF(D124="","",CEILING(E124/F117,1)),"")</f>
        <v/>
      </c>
      <c r="H124" s="30">
        <f>IFERROR(IF(D124="","",TEXT('Getting Started'!B7+(F124-1)*7,"MMM D")),"")</f>
        <v/>
      </c>
      <c r="I124" s="30">
        <f>IFERROR(IF(D124="","",TEXT('Getting Started'!B7+(G124)*7,"MMM D")),"")</f>
        <v/>
      </c>
      <c r="J124" s="34" t="n"/>
    </row>
    <row r="125" ht="18" customHeight="1">
      <c r="A125" s="33" t="n">
        <v>6</v>
      </c>
      <c r="B125" s="35" t="n"/>
      <c r="D125" s="36" t="n"/>
      <c r="E125" s="30">
        <f>IFERROR(SUM(D120:D125),"")</f>
        <v/>
      </c>
      <c r="F125" s="30">
        <f>IFERROR(IF(D125="","",FLOOR(E124/F117,1)+1),"")</f>
        <v/>
      </c>
      <c r="G125" s="30">
        <f>IFERROR(IF(D125="","",CEILING(E125/F117,1)),"")</f>
        <v/>
      </c>
      <c r="H125" s="30">
        <f>IFERROR(IF(D125="","",TEXT('Getting Started'!B7+(F125-1)*7,"MMM D")),"")</f>
        <v/>
      </c>
      <c r="I125" s="30">
        <f>IFERROR(IF(D125="","",TEXT('Getting Started'!B7+(G125)*7,"MMM D")),"")</f>
        <v/>
      </c>
      <c r="J125" s="34" t="n"/>
    </row>
    <row r="126" ht="20" customHeight="1">
      <c r="A126" s="55" t="inlineStr">
        <is>
          <t>Notes:</t>
        </is>
      </c>
      <c r="B126" s="37" t="n"/>
    </row>
  </sheetData>
  <mergeCells count="133">
    <mergeCell ref="B100:C100"/>
    <mergeCell ref="I104:J104"/>
    <mergeCell ref="B68:E68"/>
    <mergeCell ref="A91:J91"/>
    <mergeCell ref="A43:J43"/>
    <mergeCell ref="B12:C12"/>
    <mergeCell ref="B77:C77"/>
    <mergeCell ref="B78:J78"/>
    <mergeCell ref="A115:J115"/>
    <mergeCell ref="B86:C86"/>
    <mergeCell ref="B61:C61"/>
    <mergeCell ref="A34:J34"/>
    <mergeCell ref="B101:C101"/>
    <mergeCell ref="B14:C14"/>
    <mergeCell ref="B13:C13"/>
    <mergeCell ref="B38:C38"/>
    <mergeCell ref="G68:H68"/>
    <mergeCell ref="B112:C112"/>
    <mergeCell ref="B40:C40"/>
    <mergeCell ref="B49:C49"/>
    <mergeCell ref="I44:J44"/>
    <mergeCell ref="A118:J118"/>
    <mergeCell ref="G20:H20"/>
    <mergeCell ref="B24:C24"/>
    <mergeCell ref="B64:C64"/>
    <mergeCell ref="I20:J20"/>
    <mergeCell ref="B90:J90"/>
    <mergeCell ref="B51:C51"/>
    <mergeCell ref="B66:J66"/>
    <mergeCell ref="A55:J55"/>
    <mergeCell ref="B18:J18"/>
    <mergeCell ref="G44:H44"/>
    <mergeCell ref="B63:C63"/>
    <mergeCell ref="B26:C26"/>
    <mergeCell ref="B41:C41"/>
    <mergeCell ref="B35:C35"/>
    <mergeCell ref="B16:C16"/>
    <mergeCell ref="B25:C25"/>
    <mergeCell ref="A106:J106"/>
    <mergeCell ref="I80:J80"/>
    <mergeCell ref="A4:J4"/>
    <mergeCell ref="B104:E104"/>
    <mergeCell ref="B27:C27"/>
    <mergeCell ref="B32:E32"/>
    <mergeCell ref="A31:J31"/>
    <mergeCell ref="B11:C11"/>
    <mergeCell ref="A58:J58"/>
    <mergeCell ref="I32:J32"/>
    <mergeCell ref="A67:J67"/>
    <mergeCell ref="A82:J82"/>
    <mergeCell ref="B53:C53"/>
    <mergeCell ref="I56:J56"/>
    <mergeCell ref="B119:C119"/>
    <mergeCell ref="B29:C29"/>
    <mergeCell ref="B37:C37"/>
    <mergeCell ref="G104:H104"/>
    <mergeCell ref="A7:J7"/>
    <mergeCell ref="B84:C84"/>
    <mergeCell ref="I8:J8"/>
    <mergeCell ref="B54:J54"/>
    <mergeCell ref="B15:C15"/>
    <mergeCell ref="B95:C95"/>
    <mergeCell ref="B89:C89"/>
    <mergeCell ref="B116:E116"/>
    <mergeCell ref="A2:J2"/>
    <mergeCell ref="B97:C97"/>
    <mergeCell ref="B125:C125"/>
    <mergeCell ref="B72:C72"/>
    <mergeCell ref="A22:J22"/>
    <mergeCell ref="B42:J42"/>
    <mergeCell ref="B121:C121"/>
    <mergeCell ref="I116:J116"/>
    <mergeCell ref="B80:E80"/>
    <mergeCell ref="B122:C122"/>
    <mergeCell ref="B96:C96"/>
    <mergeCell ref="B71:C71"/>
    <mergeCell ref="B52:C52"/>
    <mergeCell ref="G116:H116"/>
    <mergeCell ref="B120:C120"/>
    <mergeCell ref="B98:C98"/>
    <mergeCell ref="B107:C107"/>
    <mergeCell ref="B60:C60"/>
    <mergeCell ref="B17:C17"/>
    <mergeCell ref="B88:C88"/>
    <mergeCell ref="B30:J30"/>
    <mergeCell ref="B56:E56"/>
    <mergeCell ref="A79:J79"/>
    <mergeCell ref="A70:J70"/>
    <mergeCell ref="B28:C28"/>
    <mergeCell ref="G80:H80"/>
    <mergeCell ref="B99:C99"/>
    <mergeCell ref="B108:C108"/>
    <mergeCell ref="B126:J126"/>
    <mergeCell ref="B83:C83"/>
    <mergeCell ref="B124:C124"/>
    <mergeCell ref="G32:H32"/>
    <mergeCell ref="B76:C76"/>
    <mergeCell ref="B44:E44"/>
    <mergeCell ref="B85:C85"/>
    <mergeCell ref="G56:H56"/>
    <mergeCell ref="B75:C75"/>
    <mergeCell ref="B109:C109"/>
    <mergeCell ref="B47:C47"/>
    <mergeCell ref="B62:C62"/>
    <mergeCell ref="B59:C59"/>
    <mergeCell ref="B92:E92"/>
    <mergeCell ref="B20:E20"/>
    <mergeCell ref="G8:H8"/>
    <mergeCell ref="A10:J10"/>
    <mergeCell ref="A19:J19"/>
    <mergeCell ref="B39:C39"/>
    <mergeCell ref="B48:C48"/>
    <mergeCell ref="B111:C111"/>
    <mergeCell ref="B23:C23"/>
    <mergeCell ref="B73:C73"/>
    <mergeCell ref="A1:J1"/>
    <mergeCell ref="B87:C87"/>
    <mergeCell ref="I68:J68"/>
    <mergeCell ref="A94:J94"/>
    <mergeCell ref="G92:H92"/>
    <mergeCell ref="A103:J103"/>
    <mergeCell ref="B114:J114"/>
    <mergeCell ref="I92:J92"/>
    <mergeCell ref="B65:C65"/>
    <mergeCell ref="B74:C74"/>
    <mergeCell ref="A46:J46"/>
    <mergeCell ref="B8:E8"/>
    <mergeCell ref="B123:C123"/>
    <mergeCell ref="B36:C36"/>
    <mergeCell ref="B102:J102"/>
    <mergeCell ref="B50:C50"/>
    <mergeCell ref="B110:C110"/>
    <mergeCell ref="B113:C1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6448A"/>
    <outlinePr summaryBelow="1" summaryRight="1"/>
    <pageSetUpPr/>
  </sheetPr>
  <dimension ref="A1:J126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44" customHeight="1">
      <c r="A1" s="21">
        <f>'Getting Started'!C23</f>
        <v/>
      </c>
    </row>
    <row r="2" ht="24" customHeight="1">
      <c r="A2" s="22">
        <f>IFERROR("Grade: "&amp;'Getting Started'!G23&amp;"   |   School Year: "&amp;'Getting Started'!C6&amp;"   |   "  &amp;TEXT('Getting Started'!B7,"MMM D, YYYY")&amp;"  –  "&amp;TEXT('Getting Started'!B8,"MMM D, YYYY"),"")</f>
        <v/>
      </c>
    </row>
    <row r="3" ht="8" customHeight="1"/>
    <row r="4" ht="22" customHeight="1">
      <c r="A4" s="23" t="inlineStr">
        <is>
          <t>SCHOOL YEAR OVERVIEW  (from Getting Started)</t>
        </is>
      </c>
    </row>
    <row r="5" ht="20" customHeight="1">
      <c r="B5" s="24" t="inlineStr">
        <is>
          <t>Start Date:</t>
        </is>
      </c>
      <c r="C5" s="12">
        <f>IF('Getting Started'!B7&lt;&gt;"",TEXT('Getting Started'!B7,"MMM D, YYYY"),"")</f>
        <v/>
      </c>
      <c r="D5" s="24" t="inlineStr">
        <is>
          <t>End Date:</t>
        </is>
      </c>
      <c r="E5" s="12">
        <f>IF('Getting Started'!B8&lt;&gt;"",TEXT('Getting Started'!B8,"MMM D, YYYY"),"")</f>
        <v/>
      </c>
      <c r="F5" s="24" t="inlineStr">
        <is>
          <t>Total Weeks:</t>
        </is>
      </c>
      <c r="G5" s="12">
        <f>'Getting Started'!B9</f>
        <v/>
      </c>
      <c r="H5" s="24" t="inlineStr">
        <is>
          <t>Days/Week:</t>
        </is>
      </c>
      <c r="I5" s="12">
        <f>'Getting Started'!B10</f>
        <v/>
      </c>
    </row>
    <row r="7" ht="24" customHeight="1">
      <c r="A7" s="25" t="inlineStr">
        <is>
          <t xml:space="preserve">  BIBLE</t>
        </is>
      </c>
    </row>
    <row r="8" ht="20" customHeight="1">
      <c r="A8" s="26" t="inlineStr">
        <is>
          <t>Curriculum / Title:</t>
        </is>
      </c>
      <c r="B8" s="27" t="n"/>
      <c r="F8" s="26" t="inlineStr">
        <is>
          <t>Unit type:</t>
        </is>
      </c>
      <c r="G8" s="27" t="inlineStr">
        <is>
          <t>pages</t>
        </is>
      </c>
      <c r="I8" s="28" t="inlineStr">
        <is>
          <t>← type: pages, lessons, chapters…</t>
        </is>
      </c>
      <c r="J8" s="29" t="n"/>
    </row>
    <row r="9" ht="22" customHeight="1">
      <c r="A9" s="26" t="inlineStr">
        <is>
          <t>Total Units:</t>
        </is>
      </c>
      <c r="B9" s="27" t="n"/>
      <c r="C9" s="26" t="inlineStr">
        <is>
          <t>School Weeks:</t>
        </is>
      </c>
      <c r="D9" s="30">
        <f>'Getting Started'!B9</f>
        <v/>
      </c>
      <c r="E9" s="26" t="inlineStr">
        <is>
          <t>Units / Week:</t>
        </is>
      </c>
      <c r="F9" s="12">
        <f>IFERROR(IF(B9="","",ROUND(B9/D9,1)),"")</f>
        <v/>
      </c>
      <c r="G9" s="26" t="inlineStr">
        <is>
          <t>Units / Day:</t>
        </is>
      </c>
      <c r="H9" s="12">
        <f>IFERROR(IF(F9="","",ROUND(F9/'Getting Started'!B10,1)),"")</f>
        <v/>
      </c>
      <c r="I9" s="26" t="inlineStr">
        <is>
          <t>Est. End Date:</t>
        </is>
      </c>
      <c r="J9" s="12">
        <f>IFERROR(IF(B9="","",TEXT('Getting Started'!B7+(B9/'Getting Started'!B10),"MMM D, YYYY")),"")</f>
        <v/>
      </c>
    </row>
    <row r="10" ht="18" customHeight="1">
      <c r="A10" s="31" t="inlineStr">
        <is>
          <t xml:space="preserve">  Optional: Component / Volume Breakdown  (fill in if curriculum has multiple books or parts)</t>
        </is>
      </c>
    </row>
    <row r="11" ht="18" customHeight="1">
      <c r="A11" s="32" t="inlineStr">
        <is>
          <t>#</t>
        </is>
      </c>
      <c r="B11" s="32" t="inlineStr">
        <is>
          <t>Component / Book Title</t>
        </is>
      </c>
      <c r="C11" s="29" t="n"/>
      <c r="D11" s="32" t="inlineStr">
        <is>
          <t>Total Units
in Component</t>
        </is>
      </c>
      <c r="E11" s="32" t="inlineStr">
        <is>
          <t>Cumulative
Units</t>
        </is>
      </c>
      <c r="F11" s="32" t="inlineStr">
        <is>
          <t>Start
Week</t>
        </is>
      </c>
      <c r="G11" s="32" t="inlineStr">
        <is>
          <t>End
Week</t>
        </is>
      </c>
      <c r="H11" s="32" t="inlineStr">
        <is>
          <t>Start
Date</t>
        </is>
      </c>
      <c r="I11" s="32" t="inlineStr">
        <is>
          <t>End
Date</t>
        </is>
      </c>
      <c r="J11" s="32" t="inlineStr">
        <is>
          <t>Complete?</t>
        </is>
      </c>
    </row>
    <row r="12" ht="18" customHeight="1">
      <c r="A12" s="33" t="n">
        <v>1</v>
      </c>
      <c r="B12" s="27" t="n"/>
      <c r="D12" s="34" t="n"/>
      <c r="E12" s="30">
        <f>IFERROR(SUM(D12:D12),"")</f>
        <v/>
      </c>
      <c r="F12" s="30">
        <f>IF(D12="","",1)</f>
        <v/>
      </c>
      <c r="G12" s="30">
        <f>IFERROR(IF(D12="","",CEILING(E12/F9,1)),"")</f>
        <v/>
      </c>
      <c r="H12" s="30">
        <f>IFERROR(IF(D12="","",TEXT('Getting Started'!B7+(F12-1)*7,"MMM D")),"")</f>
        <v/>
      </c>
      <c r="I12" s="30">
        <f>IFERROR(IF(D12="","",TEXT('Getting Started'!B7+(G12)*7,"MMM D")),"")</f>
        <v/>
      </c>
      <c r="J12" s="34" t="n"/>
    </row>
    <row r="13" ht="18" customHeight="1">
      <c r="A13" s="33" t="n">
        <v>2</v>
      </c>
      <c r="B13" s="35" t="n"/>
      <c r="D13" s="36" t="n"/>
      <c r="E13" s="30">
        <f>IFERROR(SUM(D12:D13),"")</f>
        <v/>
      </c>
      <c r="F13" s="30">
        <f>IFERROR(IF(D13="","",FLOOR(E12/F9,1)+1),"")</f>
        <v/>
      </c>
      <c r="G13" s="30">
        <f>IFERROR(IF(D13="","",CEILING(E13/F9,1)),"")</f>
        <v/>
      </c>
      <c r="H13" s="30">
        <f>IFERROR(IF(D13="","",TEXT('Getting Started'!B7+(F13-1)*7,"MMM D")),"")</f>
        <v/>
      </c>
      <c r="I13" s="30">
        <f>IFERROR(IF(D13="","",TEXT('Getting Started'!B7+(G13)*7,"MMM D")),"")</f>
        <v/>
      </c>
      <c r="J13" s="34" t="n"/>
    </row>
    <row r="14" ht="18" customHeight="1">
      <c r="A14" s="33" t="n">
        <v>3</v>
      </c>
      <c r="B14" s="27" t="n"/>
      <c r="D14" s="34" t="n"/>
      <c r="E14" s="30">
        <f>IFERROR(SUM(D12:D14),"")</f>
        <v/>
      </c>
      <c r="F14" s="30">
        <f>IFERROR(IF(D14="","",FLOOR(E13/F9,1)+1),"")</f>
        <v/>
      </c>
      <c r="G14" s="30">
        <f>IFERROR(IF(D14="","",CEILING(E14/F9,1)),"")</f>
        <v/>
      </c>
      <c r="H14" s="30">
        <f>IFERROR(IF(D14="","",TEXT('Getting Started'!B7+(F14-1)*7,"MMM D")),"")</f>
        <v/>
      </c>
      <c r="I14" s="30">
        <f>IFERROR(IF(D14="","",TEXT('Getting Started'!B7+(G14)*7,"MMM D")),"")</f>
        <v/>
      </c>
      <c r="J14" s="34" t="n"/>
    </row>
    <row r="15" ht="18" customHeight="1">
      <c r="A15" s="33" t="n">
        <v>4</v>
      </c>
      <c r="B15" s="35" t="n"/>
      <c r="D15" s="36" t="n"/>
      <c r="E15" s="30">
        <f>IFERROR(SUM(D12:D15),"")</f>
        <v/>
      </c>
      <c r="F15" s="30">
        <f>IFERROR(IF(D15="","",FLOOR(E14/F9,1)+1),"")</f>
        <v/>
      </c>
      <c r="G15" s="30">
        <f>IFERROR(IF(D15="","",CEILING(E15/F9,1)),"")</f>
        <v/>
      </c>
      <c r="H15" s="30">
        <f>IFERROR(IF(D15="","",TEXT('Getting Started'!B7+(F15-1)*7,"MMM D")),"")</f>
        <v/>
      </c>
      <c r="I15" s="30">
        <f>IFERROR(IF(D15="","",TEXT('Getting Started'!B7+(G15)*7,"MMM D")),"")</f>
        <v/>
      </c>
      <c r="J15" s="34" t="n"/>
    </row>
    <row r="16" ht="18" customHeight="1">
      <c r="A16" s="33" t="n">
        <v>5</v>
      </c>
      <c r="B16" s="27" t="n"/>
      <c r="D16" s="34" t="n"/>
      <c r="E16" s="30">
        <f>IFERROR(SUM(D12:D16),"")</f>
        <v/>
      </c>
      <c r="F16" s="30">
        <f>IFERROR(IF(D16="","",FLOOR(E15/F9,1)+1),"")</f>
        <v/>
      </c>
      <c r="G16" s="30">
        <f>IFERROR(IF(D16="","",CEILING(E16/F9,1)),"")</f>
        <v/>
      </c>
      <c r="H16" s="30">
        <f>IFERROR(IF(D16="","",TEXT('Getting Started'!B7+(F16-1)*7,"MMM D")),"")</f>
        <v/>
      </c>
      <c r="I16" s="30">
        <f>IFERROR(IF(D16="","",TEXT('Getting Started'!B7+(G16)*7,"MMM D")),"")</f>
        <v/>
      </c>
      <c r="J16" s="34" t="n"/>
    </row>
    <row r="17" ht="18" customHeight="1">
      <c r="A17" s="33" t="n">
        <v>6</v>
      </c>
      <c r="B17" s="35" t="n"/>
      <c r="D17" s="36" t="n"/>
      <c r="E17" s="30">
        <f>IFERROR(SUM(D12:D17),"")</f>
        <v/>
      </c>
      <c r="F17" s="30">
        <f>IFERROR(IF(D17="","",FLOOR(E16/F9,1)+1),"")</f>
        <v/>
      </c>
      <c r="G17" s="30">
        <f>IFERROR(IF(D17="","",CEILING(E17/F9,1)),"")</f>
        <v/>
      </c>
      <c r="H17" s="30">
        <f>IFERROR(IF(D17="","",TEXT('Getting Started'!B7+(F17-1)*7,"MMM D")),"")</f>
        <v/>
      </c>
      <c r="I17" s="30">
        <f>IFERROR(IF(D17="","",TEXT('Getting Started'!B7+(G17)*7,"MMM D")),"")</f>
        <v/>
      </c>
      <c r="J17" s="34" t="n"/>
    </row>
    <row r="18" ht="20" customHeight="1">
      <c r="A18" s="26" t="inlineStr">
        <is>
          <t>Notes:</t>
        </is>
      </c>
      <c r="B18" s="37" t="n"/>
    </row>
    <row r="19" ht="24" customHeight="1">
      <c r="A19" s="38" t="inlineStr">
        <is>
          <t xml:space="preserve">  MATH</t>
        </is>
      </c>
    </row>
    <row r="20" ht="20" customHeight="1">
      <c r="A20" s="39" t="inlineStr">
        <is>
          <t>Curriculum / Title:</t>
        </is>
      </c>
      <c r="B20" s="27" t="n"/>
      <c r="F20" s="39" t="inlineStr">
        <is>
          <t>Unit type:</t>
        </is>
      </c>
      <c r="G20" s="27" t="inlineStr">
        <is>
          <t>pages</t>
        </is>
      </c>
      <c r="I20" s="28" t="inlineStr">
        <is>
          <t>← type: pages, lessons, chapters…</t>
        </is>
      </c>
      <c r="J20" s="29" t="n"/>
    </row>
    <row r="21" ht="22" customHeight="1">
      <c r="A21" s="39" t="inlineStr">
        <is>
          <t>Total Units:</t>
        </is>
      </c>
      <c r="B21" s="27" t="n"/>
      <c r="C21" s="39" t="inlineStr">
        <is>
          <t>School Weeks:</t>
        </is>
      </c>
      <c r="D21" s="30">
        <f>'Getting Started'!B9</f>
        <v/>
      </c>
      <c r="E21" s="39" t="inlineStr">
        <is>
          <t>Units / Week:</t>
        </is>
      </c>
      <c r="F21" s="12">
        <f>IFERROR(IF(B21="","",ROUND(B21/D21,1)),"")</f>
        <v/>
      </c>
      <c r="G21" s="39" t="inlineStr">
        <is>
          <t>Units / Day:</t>
        </is>
      </c>
      <c r="H21" s="12">
        <f>IFERROR(IF(F21="","",ROUND(F21/'Getting Started'!B10,1)),"")</f>
        <v/>
      </c>
      <c r="I21" s="39" t="inlineStr">
        <is>
          <t>Est. End Date:</t>
        </is>
      </c>
      <c r="J21" s="12">
        <f>IFERROR(IF(B21="","",TEXT('Getting Started'!B7+(B21/'Getting Started'!B10),"MMM D, YYYY")),"")</f>
        <v/>
      </c>
    </row>
    <row r="22" ht="18" customHeight="1">
      <c r="A22" s="31" t="inlineStr">
        <is>
          <t xml:space="preserve">  Optional: Component / Volume Breakdown  (fill in if curriculum has multiple books or parts)</t>
        </is>
      </c>
    </row>
    <row r="23" ht="18" customHeight="1">
      <c r="A23" s="32" t="inlineStr">
        <is>
          <t>#</t>
        </is>
      </c>
      <c r="B23" s="32" t="inlineStr">
        <is>
          <t>Component / Book Title</t>
        </is>
      </c>
      <c r="C23" s="29" t="n"/>
      <c r="D23" s="32" t="inlineStr">
        <is>
          <t>Total Units
in Component</t>
        </is>
      </c>
      <c r="E23" s="32" t="inlineStr">
        <is>
          <t>Cumulative
Units</t>
        </is>
      </c>
      <c r="F23" s="32" t="inlineStr">
        <is>
          <t>Start
Week</t>
        </is>
      </c>
      <c r="G23" s="32" t="inlineStr">
        <is>
          <t>End
Week</t>
        </is>
      </c>
      <c r="H23" s="32" t="inlineStr">
        <is>
          <t>Start
Date</t>
        </is>
      </c>
      <c r="I23" s="32" t="inlineStr">
        <is>
          <t>End
Date</t>
        </is>
      </c>
      <c r="J23" s="32" t="inlineStr">
        <is>
          <t>Complete?</t>
        </is>
      </c>
    </row>
    <row r="24" ht="18" customHeight="1">
      <c r="A24" s="33" t="n">
        <v>1</v>
      </c>
      <c r="B24" s="27" t="n"/>
      <c r="D24" s="34" t="n"/>
      <c r="E24" s="30">
        <f>IFERROR(SUM(D24:D24),"")</f>
        <v/>
      </c>
      <c r="F24" s="30">
        <f>IF(D24="","",1)</f>
        <v/>
      </c>
      <c r="G24" s="30">
        <f>IFERROR(IF(D24="","",CEILING(E24/F21,1)),"")</f>
        <v/>
      </c>
      <c r="H24" s="30">
        <f>IFERROR(IF(D24="","",TEXT('Getting Started'!B7+(F24-1)*7,"MMM D")),"")</f>
        <v/>
      </c>
      <c r="I24" s="30">
        <f>IFERROR(IF(D24="","",TEXT('Getting Started'!B7+(G24)*7,"MMM D")),"")</f>
        <v/>
      </c>
      <c r="J24" s="34" t="n"/>
    </row>
    <row r="25" ht="18" customHeight="1">
      <c r="A25" s="33" t="n">
        <v>2</v>
      </c>
      <c r="B25" s="35" t="n"/>
      <c r="D25" s="36" t="n"/>
      <c r="E25" s="30">
        <f>IFERROR(SUM(D24:D25),"")</f>
        <v/>
      </c>
      <c r="F25" s="30">
        <f>IFERROR(IF(D25="","",FLOOR(E24/F21,1)+1),"")</f>
        <v/>
      </c>
      <c r="G25" s="30">
        <f>IFERROR(IF(D25="","",CEILING(E25/F21,1)),"")</f>
        <v/>
      </c>
      <c r="H25" s="30">
        <f>IFERROR(IF(D25="","",TEXT('Getting Started'!B7+(F25-1)*7,"MMM D")),"")</f>
        <v/>
      </c>
      <c r="I25" s="30">
        <f>IFERROR(IF(D25="","",TEXT('Getting Started'!B7+(G25)*7,"MMM D")),"")</f>
        <v/>
      </c>
      <c r="J25" s="34" t="n"/>
    </row>
    <row r="26" ht="18" customHeight="1">
      <c r="A26" s="33" t="n">
        <v>3</v>
      </c>
      <c r="B26" s="27" t="n"/>
      <c r="D26" s="34" t="n"/>
      <c r="E26" s="30">
        <f>IFERROR(SUM(D24:D26),"")</f>
        <v/>
      </c>
      <c r="F26" s="30">
        <f>IFERROR(IF(D26="","",FLOOR(E25/F21,1)+1),"")</f>
        <v/>
      </c>
      <c r="G26" s="30">
        <f>IFERROR(IF(D26="","",CEILING(E26/F21,1)),"")</f>
        <v/>
      </c>
      <c r="H26" s="30">
        <f>IFERROR(IF(D26="","",TEXT('Getting Started'!B7+(F26-1)*7,"MMM D")),"")</f>
        <v/>
      </c>
      <c r="I26" s="30">
        <f>IFERROR(IF(D26="","",TEXT('Getting Started'!B7+(G26)*7,"MMM D")),"")</f>
        <v/>
      </c>
      <c r="J26" s="34" t="n"/>
    </row>
    <row r="27" ht="18" customHeight="1">
      <c r="A27" s="33" t="n">
        <v>4</v>
      </c>
      <c r="B27" s="35" t="n"/>
      <c r="D27" s="36" t="n"/>
      <c r="E27" s="30">
        <f>IFERROR(SUM(D24:D27),"")</f>
        <v/>
      </c>
      <c r="F27" s="30">
        <f>IFERROR(IF(D27="","",FLOOR(E26/F21,1)+1),"")</f>
        <v/>
      </c>
      <c r="G27" s="30">
        <f>IFERROR(IF(D27="","",CEILING(E27/F21,1)),"")</f>
        <v/>
      </c>
      <c r="H27" s="30">
        <f>IFERROR(IF(D27="","",TEXT('Getting Started'!B7+(F27-1)*7,"MMM D")),"")</f>
        <v/>
      </c>
      <c r="I27" s="30">
        <f>IFERROR(IF(D27="","",TEXT('Getting Started'!B7+(G27)*7,"MMM D")),"")</f>
        <v/>
      </c>
      <c r="J27" s="34" t="n"/>
    </row>
    <row r="28" ht="18" customHeight="1">
      <c r="A28" s="33" t="n">
        <v>5</v>
      </c>
      <c r="B28" s="27" t="n"/>
      <c r="D28" s="34" t="n"/>
      <c r="E28" s="30">
        <f>IFERROR(SUM(D24:D28),"")</f>
        <v/>
      </c>
      <c r="F28" s="30">
        <f>IFERROR(IF(D28="","",FLOOR(E27/F21,1)+1),"")</f>
        <v/>
      </c>
      <c r="G28" s="30">
        <f>IFERROR(IF(D28="","",CEILING(E28/F21,1)),"")</f>
        <v/>
      </c>
      <c r="H28" s="30">
        <f>IFERROR(IF(D28="","",TEXT('Getting Started'!B7+(F28-1)*7,"MMM D")),"")</f>
        <v/>
      </c>
      <c r="I28" s="30">
        <f>IFERROR(IF(D28="","",TEXT('Getting Started'!B7+(G28)*7,"MMM D")),"")</f>
        <v/>
      </c>
      <c r="J28" s="34" t="n"/>
    </row>
    <row r="29" ht="18" customHeight="1">
      <c r="A29" s="33" t="n">
        <v>6</v>
      </c>
      <c r="B29" s="35" t="n"/>
      <c r="D29" s="36" t="n"/>
      <c r="E29" s="30">
        <f>IFERROR(SUM(D24:D29),"")</f>
        <v/>
      </c>
      <c r="F29" s="30">
        <f>IFERROR(IF(D29="","",FLOOR(E28/F21,1)+1),"")</f>
        <v/>
      </c>
      <c r="G29" s="30">
        <f>IFERROR(IF(D29="","",CEILING(E29/F21,1)),"")</f>
        <v/>
      </c>
      <c r="H29" s="30">
        <f>IFERROR(IF(D29="","",TEXT('Getting Started'!B7+(F29-1)*7,"MMM D")),"")</f>
        <v/>
      </c>
      <c r="I29" s="30">
        <f>IFERROR(IF(D29="","",TEXT('Getting Started'!B7+(G29)*7,"MMM D")),"")</f>
        <v/>
      </c>
      <c r="J29" s="34" t="n"/>
    </row>
    <row r="30" ht="20" customHeight="1">
      <c r="A30" s="39" t="inlineStr">
        <is>
          <t>Notes:</t>
        </is>
      </c>
      <c r="B30" s="37" t="n"/>
    </row>
    <row r="31" ht="24" customHeight="1">
      <c r="A31" s="40" t="inlineStr">
        <is>
          <t xml:space="preserve">  ENGLISH / LANGUAGE ARTS</t>
        </is>
      </c>
    </row>
    <row r="32" ht="20" customHeight="1">
      <c r="A32" s="41" t="inlineStr">
        <is>
          <t>Curriculum / Title:</t>
        </is>
      </c>
      <c r="B32" s="27" t="n"/>
      <c r="F32" s="41" t="inlineStr">
        <is>
          <t>Unit type:</t>
        </is>
      </c>
      <c r="G32" s="27" t="inlineStr">
        <is>
          <t>pages</t>
        </is>
      </c>
      <c r="I32" s="28" t="inlineStr">
        <is>
          <t>← type: pages, lessons, chapters…</t>
        </is>
      </c>
      <c r="J32" s="29" t="n"/>
    </row>
    <row r="33" ht="22" customHeight="1">
      <c r="A33" s="41" t="inlineStr">
        <is>
          <t>Total Units:</t>
        </is>
      </c>
      <c r="B33" s="27" t="n"/>
      <c r="C33" s="41" t="inlineStr">
        <is>
          <t>School Weeks:</t>
        </is>
      </c>
      <c r="D33" s="30">
        <f>'Getting Started'!B9</f>
        <v/>
      </c>
      <c r="E33" s="41" t="inlineStr">
        <is>
          <t>Units / Week:</t>
        </is>
      </c>
      <c r="F33" s="12">
        <f>IFERROR(IF(B33="","",ROUND(B33/D33,1)),"")</f>
        <v/>
      </c>
      <c r="G33" s="41" t="inlineStr">
        <is>
          <t>Units / Day:</t>
        </is>
      </c>
      <c r="H33" s="12">
        <f>IFERROR(IF(F33="","",ROUND(F33/'Getting Started'!B10,1)),"")</f>
        <v/>
      </c>
      <c r="I33" s="41" t="inlineStr">
        <is>
          <t>Est. End Date:</t>
        </is>
      </c>
      <c r="J33" s="12">
        <f>IFERROR(IF(B33="","",TEXT('Getting Started'!B7+(B33/'Getting Started'!B10),"MMM D, YYYY")),"")</f>
        <v/>
      </c>
    </row>
    <row r="34" ht="18" customHeight="1">
      <c r="A34" s="31" t="inlineStr">
        <is>
          <t xml:space="preserve">  Optional: Component / Volume Breakdown  (fill in if curriculum has multiple books or parts)</t>
        </is>
      </c>
    </row>
    <row r="35" ht="18" customHeight="1">
      <c r="A35" s="32" t="inlineStr">
        <is>
          <t>#</t>
        </is>
      </c>
      <c r="B35" s="32" t="inlineStr">
        <is>
          <t>Component / Book Title</t>
        </is>
      </c>
      <c r="C35" s="29" t="n"/>
      <c r="D35" s="32" t="inlineStr">
        <is>
          <t>Total Units
in Component</t>
        </is>
      </c>
      <c r="E35" s="32" t="inlineStr">
        <is>
          <t>Cumulative
Units</t>
        </is>
      </c>
      <c r="F35" s="32" t="inlineStr">
        <is>
          <t>Start
Week</t>
        </is>
      </c>
      <c r="G35" s="32" t="inlineStr">
        <is>
          <t>End
Week</t>
        </is>
      </c>
      <c r="H35" s="32" t="inlineStr">
        <is>
          <t>Start
Date</t>
        </is>
      </c>
      <c r="I35" s="32" t="inlineStr">
        <is>
          <t>End
Date</t>
        </is>
      </c>
      <c r="J35" s="32" t="inlineStr">
        <is>
          <t>Complete?</t>
        </is>
      </c>
    </row>
    <row r="36" ht="18" customHeight="1">
      <c r="A36" s="33" t="n">
        <v>1</v>
      </c>
      <c r="B36" s="27" t="n"/>
      <c r="D36" s="34" t="n"/>
      <c r="E36" s="30">
        <f>IFERROR(SUM(D36:D36),"")</f>
        <v/>
      </c>
      <c r="F36" s="30">
        <f>IF(D36="","",1)</f>
        <v/>
      </c>
      <c r="G36" s="30">
        <f>IFERROR(IF(D36="","",CEILING(E36/F33,1)),"")</f>
        <v/>
      </c>
      <c r="H36" s="30">
        <f>IFERROR(IF(D36="","",TEXT('Getting Started'!B7+(F36-1)*7,"MMM D")),"")</f>
        <v/>
      </c>
      <c r="I36" s="30">
        <f>IFERROR(IF(D36="","",TEXT('Getting Started'!B7+(G36)*7,"MMM D")),"")</f>
        <v/>
      </c>
      <c r="J36" s="34" t="n"/>
    </row>
    <row r="37" ht="18" customHeight="1">
      <c r="A37" s="33" t="n">
        <v>2</v>
      </c>
      <c r="B37" s="35" t="n"/>
      <c r="D37" s="36" t="n"/>
      <c r="E37" s="30">
        <f>IFERROR(SUM(D36:D37),"")</f>
        <v/>
      </c>
      <c r="F37" s="30">
        <f>IFERROR(IF(D37="","",FLOOR(E36/F33,1)+1),"")</f>
        <v/>
      </c>
      <c r="G37" s="30">
        <f>IFERROR(IF(D37="","",CEILING(E37/F33,1)),"")</f>
        <v/>
      </c>
      <c r="H37" s="30">
        <f>IFERROR(IF(D37="","",TEXT('Getting Started'!B7+(F37-1)*7,"MMM D")),"")</f>
        <v/>
      </c>
      <c r="I37" s="30">
        <f>IFERROR(IF(D37="","",TEXT('Getting Started'!B7+(G37)*7,"MMM D")),"")</f>
        <v/>
      </c>
      <c r="J37" s="34" t="n"/>
    </row>
    <row r="38" ht="18" customHeight="1">
      <c r="A38" s="33" t="n">
        <v>3</v>
      </c>
      <c r="B38" s="27" t="n"/>
      <c r="D38" s="34" t="n"/>
      <c r="E38" s="30">
        <f>IFERROR(SUM(D36:D38),"")</f>
        <v/>
      </c>
      <c r="F38" s="30">
        <f>IFERROR(IF(D38="","",FLOOR(E37/F33,1)+1),"")</f>
        <v/>
      </c>
      <c r="G38" s="30">
        <f>IFERROR(IF(D38="","",CEILING(E38/F33,1)),"")</f>
        <v/>
      </c>
      <c r="H38" s="30">
        <f>IFERROR(IF(D38="","",TEXT('Getting Started'!B7+(F38-1)*7,"MMM D")),"")</f>
        <v/>
      </c>
      <c r="I38" s="30">
        <f>IFERROR(IF(D38="","",TEXT('Getting Started'!B7+(G38)*7,"MMM D")),"")</f>
        <v/>
      </c>
      <c r="J38" s="34" t="n"/>
    </row>
    <row r="39" ht="18" customHeight="1">
      <c r="A39" s="33" t="n">
        <v>4</v>
      </c>
      <c r="B39" s="35" t="n"/>
      <c r="D39" s="36" t="n"/>
      <c r="E39" s="30">
        <f>IFERROR(SUM(D36:D39),"")</f>
        <v/>
      </c>
      <c r="F39" s="30">
        <f>IFERROR(IF(D39="","",FLOOR(E38/F33,1)+1),"")</f>
        <v/>
      </c>
      <c r="G39" s="30">
        <f>IFERROR(IF(D39="","",CEILING(E39/F33,1)),"")</f>
        <v/>
      </c>
      <c r="H39" s="30">
        <f>IFERROR(IF(D39="","",TEXT('Getting Started'!B7+(F39-1)*7,"MMM D")),"")</f>
        <v/>
      </c>
      <c r="I39" s="30">
        <f>IFERROR(IF(D39="","",TEXT('Getting Started'!B7+(G39)*7,"MMM D")),"")</f>
        <v/>
      </c>
      <c r="J39" s="34" t="n"/>
    </row>
    <row r="40" ht="18" customHeight="1">
      <c r="A40" s="33" t="n">
        <v>5</v>
      </c>
      <c r="B40" s="27" t="n"/>
      <c r="D40" s="34" t="n"/>
      <c r="E40" s="30">
        <f>IFERROR(SUM(D36:D40),"")</f>
        <v/>
      </c>
      <c r="F40" s="30">
        <f>IFERROR(IF(D40="","",FLOOR(E39/F33,1)+1),"")</f>
        <v/>
      </c>
      <c r="G40" s="30">
        <f>IFERROR(IF(D40="","",CEILING(E40/F33,1)),"")</f>
        <v/>
      </c>
      <c r="H40" s="30">
        <f>IFERROR(IF(D40="","",TEXT('Getting Started'!B7+(F40-1)*7,"MMM D")),"")</f>
        <v/>
      </c>
      <c r="I40" s="30">
        <f>IFERROR(IF(D40="","",TEXT('Getting Started'!B7+(G40)*7,"MMM D")),"")</f>
        <v/>
      </c>
      <c r="J40" s="34" t="n"/>
    </row>
    <row r="41" ht="18" customHeight="1">
      <c r="A41" s="33" t="n">
        <v>6</v>
      </c>
      <c r="B41" s="35" t="n"/>
      <c r="D41" s="36" t="n"/>
      <c r="E41" s="30">
        <f>IFERROR(SUM(D36:D41),"")</f>
        <v/>
      </c>
      <c r="F41" s="30">
        <f>IFERROR(IF(D41="","",FLOOR(E40/F33,1)+1),"")</f>
        <v/>
      </c>
      <c r="G41" s="30">
        <f>IFERROR(IF(D41="","",CEILING(E41/F33,1)),"")</f>
        <v/>
      </c>
      <c r="H41" s="30">
        <f>IFERROR(IF(D41="","",TEXT('Getting Started'!B7+(F41-1)*7,"MMM D")),"")</f>
        <v/>
      </c>
      <c r="I41" s="30">
        <f>IFERROR(IF(D41="","",TEXT('Getting Started'!B7+(G41)*7,"MMM D")),"")</f>
        <v/>
      </c>
      <c r="J41" s="34" t="n"/>
    </row>
    <row r="42" ht="20" customHeight="1">
      <c r="A42" s="41" t="inlineStr">
        <is>
          <t>Notes:</t>
        </is>
      </c>
      <c r="B42" s="37" t="n"/>
    </row>
    <row r="43" ht="24" customHeight="1">
      <c r="A43" s="42" t="inlineStr">
        <is>
          <t xml:space="preserve">  READING</t>
        </is>
      </c>
    </row>
    <row r="44" ht="20" customHeight="1">
      <c r="A44" s="43" t="inlineStr">
        <is>
          <t>Curriculum / Title:</t>
        </is>
      </c>
      <c r="B44" s="27" t="n"/>
      <c r="F44" s="43" t="inlineStr">
        <is>
          <t>Unit type:</t>
        </is>
      </c>
      <c r="G44" s="27" t="inlineStr">
        <is>
          <t>pages</t>
        </is>
      </c>
      <c r="I44" s="28" t="inlineStr">
        <is>
          <t>← type: pages, lessons, chapters…</t>
        </is>
      </c>
      <c r="J44" s="29" t="n"/>
    </row>
    <row r="45" ht="22" customHeight="1">
      <c r="A45" s="43" t="inlineStr">
        <is>
          <t>Total Units:</t>
        </is>
      </c>
      <c r="B45" s="27" t="n"/>
      <c r="C45" s="43" t="inlineStr">
        <is>
          <t>School Weeks:</t>
        </is>
      </c>
      <c r="D45" s="30">
        <f>'Getting Started'!B9</f>
        <v/>
      </c>
      <c r="E45" s="43" t="inlineStr">
        <is>
          <t>Units / Week:</t>
        </is>
      </c>
      <c r="F45" s="12">
        <f>IFERROR(IF(B45="","",ROUND(B45/D45,1)),"")</f>
        <v/>
      </c>
      <c r="G45" s="43" t="inlineStr">
        <is>
          <t>Units / Day:</t>
        </is>
      </c>
      <c r="H45" s="12">
        <f>IFERROR(IF(F45="","",ROUND(F45/'Getting Started'!B10,1)),"")</f>
        <v/>
      </c>
      <c r="I45" s="43" t="inlineStr">
        <is>
          <t>Est. End Date:</t>
        </is>
      </c>
      <c r="J45" s="12">
        <f>IFERROR(IF(B45="","",TEXT('Getting Started'!B7+(B45/'Getting Started'!B10),"MMM D, YYYY")),"")</f>
        <v/>
      </c>
    </row>
    <row r="46" ht="18" customHeight="1">
      <c r="A46" s="31" t="inlineStr">
        <is>
          <t xml:space="preserve">  Optional: Component / Volume Breakdown  (fill in if curriculum has multiple books or parts)</t>
        </is>
      </c>
    </row>
    <row r="47" ht="18" customHeight="1">
      <c r="A47" s="32" t="inlineStr">
        <is>
          <t>#</t>
        </is>
      </c>
      <c r="B47" s="32" t="inlineStr">
        <is>
          <t>Component / Book Title</t>
        </is>
      </c>
      <c r="C47" s="29" t="n"/>
      <c r="D47" s="32" t="inlineStr">
        <is>
          <t>Total Units
in Component</t>
        </is>
      </c>
      <c r="E47" s="32" t="inlineStr">
        <is>
          <t>Cumulative
Units</t>
        </is>
      </c>
      <c r="F47" s="32" t="inlineStr">
        <is>
          <t>Start
Week</t>
        </is>
      </c>
      <c r="G47" s="32" t="inlineStr">
        <is>
          <t>End
Week</t>
        </is>
      </c>
      <c r="H47" s="32" t="inlineStr">
        <is>
          <t>Start
Date</t>
        </is>
      </c>
      <c r="I47" s="32" t="inlineStr">
        <is>
          <t>End
Date</t>
        </is>
      </c>
      <c r="J47" s="32" t="inlineStr">
        <is>
          <t>Complete?</t>
        </is>
      </c>
    </row>
    <row r="48" ht="18" customHeight="1">
      <c r="A48" s="33" t="n">
        <v>1</v>
      </c>
      <c r="B48" s="27" t="n"/>
      <c r="D48" s="34" t="n"/>
      <c r="E48" s="30">
        <f>IFERROR(SUM(D48:D48),"")</f>
        <v/>
      </c>
      <c r="F48" s="30">
        <f>IF(D48="","",1)</f>
        <v/>
      </c>
      <c r="G48" s="30">
        <f>IFERROR(IF(D48="","",CEILING(E48/F45,1)),"")</f>
        <v/>
      </c>
      <c r="H48" s="30">
        <f>IFERROR(IF(D48="","",TEXT('Getting Started'!B7+(F48-1)*7,"MMM D")),"")</f>
        <v/>
      </c>
      <c r="I48" s="30">
        <f>IFERROR(IF(D48="","",TEXT('Getting Started'!B7+(G48)*7,"MMM D")),"")</f>
        <v/>
      </c>
      <c r="J48" s="34" t="n"/>
    </row>
    <row r="49" ht="18" customHeight="1">
      <c r="A49" s="33" t="n">
        <v>2</v>
      </c>
      <c r="B49" s="35" t="n"/>
      <c r="D49" s="36" t="n"/>
      <c r="E49" s="30">
        <f>IFERROR(SUM(D48:D49),"")</f>
        <v/>
      </c>
      <c r="F49" s="30">
        <f>IFERROR(IF(D49="","",FLOOR(E48/F45,1)+1),"")</f>
        <v/>
      </c>
      <c r="G49" s="30">
        <f>IFERROR(IF(D49="","",CEILING(E49/F45,1)),"")</f>
        <v/>
      </c>
      <c r="H49" s="30">
        <f>IFERROR(IF(D49="","",TEXT('Getting Started'!B7+(F49-1)*7,"MMM D")),"")</f>
        <v/>
      </c>
      <c r="I49" s="30">
        <f>IFERROR(IF(D49="","",TEXT('Getting Started'!B7+(G49)*7,"MMM D")),"")</f>
        <v/>
      </c>
      <c r="J49" s="34" t="n"/>
    </row>
    <row r="50" ht="18" customHeight="1">
      <c r="A50" s="33" t="n">
        <v>3</v>
      </c>
      <c r="B50" s="27" t="n"/>
      <c r="D50" s="34" t="n"/>
      <c r="E50" s="30">
        <f>IFERROR(SUM(D48:D50),"")</f>
        <v/>
      </c>
      <c r="F50" s="30">
        <f>IFERROR(IF(D50="","",FLOOR(E49/F45,1)+1),"")</f>
        <v/>
      </c>
      <c r="G50" s="30">
        <f>IFERROR(IF(D50="","",CEILING(E50/F45,1)),"")</f>
        <v/>
      </c>
      <c r="H50" s="30">
        <f>IFERROR(IF(D50="","",TEXT('Getting Started'!B7+(F50-1)*7,"MMM D")),"")</f>
        <v/>
      </c>
      <c r="I50" s="30">
        <f>IFERROR(IF(D50="","",TEXT('Getting Started'!B7+(G50)*7,"MMM D")),"")</f>
        <v/>
      </c>
      <c r="J50" s="34" t="n"/>
    </row>
    <row r="51" ht="18" customHeight="1">
      <c r="A51" s="33" t="n">
        <v>4</v>
      </c>
      <c r="B51" s="35" t="n"/>
      <c r="D51" s="36" t="n"/>
      <c r="E51" s="30">
        <f>IFERROR(SUM(D48:D51),"")</f>
        <v/>
      </c>
      <c r="F51" s="30">
        <f>IFERROR(IF(D51="","",FLOOR(E50/F45,1)+1),"")</f>
        <v/>
      </c>
      <c r="G51" s="30">
        <f>IFERROR(IF(D51="","",CEILING(E51/F45,1)),"")</f>
        <v/>
      </c>
      <c r="H51" s="30">
        <f>IFERROR(IF(D51="","",TEXT('Getting Started'!B7+(F51-1)*7,"MMM D")),"")</f>
        <v/>
      </c>
      <c r="I51" s="30">
        <f>IFERROR(IF(D51="","",TEXT('Getting Started'!B7+(G51)*7,"MMM D")),"")</f>
        <v/>
      </c>
      <c r="J51" s="34" t="n"/>
    </row>
    <row r="52" ht="18" customHeight="1">
      <c r="A52" s="33" t="n">
        <v>5</v>
      </c>
      <c r="B52" s="27" t="n"/>
      <c r="D52" s="34" t="n"/>
      <c r="E52" s="30">
        <f>IFERROR(SUM(D48:D52),"")</f>
        <v/>
      </c>
      <c r="F52" s="30">
        <f>IFERROR(IF(D52="","",FLOOR(E51/F45,1)+1),"")</f>
        <v/>
      </c>
      <c r="G52" s="30">
        <f>IFERROR(IF(D52="","",CEILING(E52/F45,1)),"")</f>
        <v/>
      </c>
      <c r="H52" s="30">
        <f>IFERROR(IF(D52="","",TEXT('Getting Started'!B7+(F52-1)*7,"MMM D")),"")</f>
        <v/>
      </c>
      <c r="I52" s="30">
        <f>IFERROR(IF(D52="","",TEXT('Getting Started'!B7+(G52)*7,"MMM D")),"")</f>
        <v/>
      </c>
      <c r="J52" s="34" t="n"/>
    </row>
    <row r="53" ht="18" customHeight="1">
      <c r="A53" s="33" t="n">
        <v>6</v>
      </c>
      <c r="B53" s="35" t="n"/>
      <c r="D53" s="36" t="n"/>
      <c r="E53" s="30">
        <f>IFERROR(SUM(D48:D53),"")</f>
        <v/>
      </c>
      <c r="F53" s="30">
        <f>IFERROR(IF(D53="","",FLOOR(E52/F45,1)+1),"")</f>
        <v/>
      </c>
      <c r="G53" s="30">
        <f>IFERROR(IF(D53="","",CEILING(E53/F45,1)),"")</f>
        <v/>
      </c>
      <c r="H53" s="30">
        <f>IFERROR(IF(D53="","",TEXT('Getting Started'!B7+(F53-1)*7,"MMM D")),"")</f>
        <v/>
      </c>
      <c r="I53" s="30">
        <f>IFERROR(IF(D53="","",TEXT('Getting Started'!B7+(G53)*7,"MMM D")),"")</f>
        <v/>
      </c>
      <c r="J53" s="34" t="n"/>
    </row>
    <row r="54" ht="20" customHeight="1">
      <c r="A54" s="43" t="inlineStr">
        <is>
          <t>Notes:</t>
        </is>
      </c>
      <c r="B54" s="37" t="n"/>
    </row>
    <row r="55" ht="24" customHeight="1">
      <c r="A55" s="44" t="inlineStr">
        <is>
          <t xml:space="preserve">  WRITING / COMPOSITION</t>
        </is>
      </c>
    </row>
    <row r="56" ht="20" customHeight="1">
      <c r="A56" s="45" t="inlineStr">
        <is>
          <t>Curriculum / Title:</t>
        </is>
      </c>
      <c r="B56" s="27" t="n"/>
      <c r="F56" s="45" t="inlineStr">
        <is>
          <t>Unit type:</t>
        </is>
      </c>
      <c r="G56" s="27" t="inlineStr">
        <is>
          <t>pages</t>
        </is>
      </c>
      <c r="I56" s="28" t="inlineStr">
        <is>
          <t>← type: pages, lessons, chapters…</t>
        </is>
      </c>
      <c r="J56" s="29" t="n"/>
    </row>
    <row r="57" ht="22" customHeight="1">
      <c r="A57" s="45" t="inlineStr">
        <is>
          <t>Total Units:</t>
        </is>
      </c>
      <c r="B57" s="27" t="n"/>
      <c r="C57" s="45" t="inlineStr">
        <is>
          <t>School Weeks:</t>
        </is>
      </c>
      <c r="D57" s="30">
        <f>'Getting Started'!B9</f>
        <v/>
      </c>
      <c r="E57" s="45" t="inlineStr">
        <is>
          <t>Units / Week:</t>
        </is>
      </c>
      <c r="F57" s="12">
        <f>IFERROR(IF(B57="","",ROUND(B57/D57,1)),"")</f>
        <v/>
      </c>
      <c r="G57" s="45" t="inlineStr">
        <is>
          <t>Units / Day:</t>
        </is>
      </c>
      <c r="H57" s="12">
        <f>IFERROR(IF(F57="","",ROUND(F57/'Getting Started'!B10,1)),"")</f>
        <v/>
      </c>
      <c r="I57" s="45" t="inlineStr">
        <is>
          <t>Est. End Date:</t>
        </is>
      </c>
      <c r="J57" s="12">
        <f>IFERROR(IF(B57="","",TEXT('Getting Started'!B7+(B57/'Getting Started'!B10),"MMM D, YYYY")),"")</f>
        <v/>
      </c>
    </row>
    <row r="58" ht="18" customHeight="1">
      <c r="A58" s="31" t="inlineStr">
        <is>
          <t xml:space="preserve">  Optional: Component / Volume Breakdown  (fill in if curriculum has multiple books or parts)</t>
        </is>
      </c>
    </row>
    <row r="59" ht="18" customHeight="1">
      <c r="A59" s="32" t="inlineStr">
        <is>
          <t>#</t>
        </is>
      </c>
      <c r="B59" s="32" t="inlineStr">
        <is>
          <t>Component / Book Title</t>
        </is>
      </c>
      <c r="C59" s="29" t="n"/>
      <c r="D59" s="32" t="inlineStr">
        <is>
          <t>Total Units
in Component</t>
        </is>
      </c>
      <c r="E59" s="32" t="inlineStr">
        <is>
          <t>Cumulative
Units</t>
        </is>
      </c>
      <c r="F59" s="32" t="inlineStr">
        <is>
          <t>Start
Week</t>
        </is>
      </c>
      <c r="G59" s="32" t="inlineStr">
        <is>
          <t>End
Week</t>
        </is>
      </c>
      <c r="H59" s="32" t="inlineStr">
        <is>
          <t>Start
Date</t>
        </is>
      </c>
      <c r="I59" s="32" t="inlineStr">
        <is>
          <t>End
Date</t>
        </is>
      </c>
      <c r="J59" s="32" t="inlineStr">
        <is>
          <t>Complete?</t>
        </is>
      </c>
    </row>
    <row r="60" ht="18" customHeight="1">
      <c r="A60" s="33" t="n">
        <v>1</v>
      </c>
      <c r="B60" s="27" t="n"/>
      <c r="D60" s="34" t="n"/>
      <c r="E60" s="30">
        <f>IFERROR(SUM(D60:D60),"")</f>
        <v/>
      </c>
      <c r="F60" s="30">
        <f>IF(D60="","",1)</f>
        <v/>
      </c>
      <c r="G60" s="30">
        <f>IFERROR(IF(D60="","",CEILING(E60/F57,1)),"")</f>
        <v/>
      </c>
      <c r="H60" s="30">
        <f>IFERROR(IF(D60="","",TEXT('Getting Started'!B7+(F60-1)*7,"MMM D")),"")</f>
        <v/>
      </c>
      <c r="I60" s="30">
        <f>IFERROR(IF(D60="","",TEXT('Getting Started'!B7+(G60)*7,"MMM D")),"")</f>
        <v/>
      </c>
      <c r="J60" s="34" t="n"/>
    </row>
    <row r="61" ht="18" customHeight="1">
      <c r="A61" s="33" t="n">
        <v>2</v>
      </c>
      <c r="B61" s="35" t="n"/>
      <c r="D61" s="36" t="n"/>
      <c r="E61" s="30">
        <f>IFERROR(SUM(D60:D61),"")</f>
        <v/>
      </c>
      <c r="F61" s="30">
        <f>IFERROR(IF(D61="","",FLOOR(E60/F57,1)+1),"")</f>
        <v/>
      </c>
      <c r="G61" s="30">
        <f>IFERROR(IF(D61="","",CEILING(E61/F57,1)),"")</f>
        <v/>
      </c>
      <c r="H61" s="30">
        <f>IFERROR(IF(D61="","",TEXT('Getting Started'!B7+(F61-1)*7,"MMM D")),"")</f>
        <v/>
      </c>
      <c r="I61" s="30">
        <f>IFERROR(IF(D61="","",TEXT('Getting Started'!B7+(G61)*7,"MMM D")),"")</f>
        <v/>
      </c>
      <c r="J61" s="34" t="n"/>
    </row>
    <row r="62" ht="18" customHeight="1">
      <c r="A62" s="33" t="n">
        <v>3</v>
      </c>
      <c r="B62" s="27" t="n"/>
      <c r="D62" s="34" t="n"/>
      <c r="E62" s="30">
        <f>IFERROR(SUM(D60:D62),"")</f>
        <v/>
      </c>
      <c r="F62" s="30">
        <f>IFERROR(IF(D62="","",FLOOR(E61/F57,1)+1),"")</f>
        <v/>
      </c>
      <c r="G62" s="30">
        <f>IFERROR(IF(D62="","",CEILING(E62/F57,1)),"")</f>
        <v/>
      </c>
      <c r="H62" s="30">
        <f>IFERROR(IF(D62="","",TEXT('Getting Started'!B7+(F62-1)*7,"MMM D")),"")</f>
        <v/>
      </c>
      <c r="I62" s="30">
        <f>IFERROR(IF(D62="","",TEXT('Getting Started'!B7+(G62)*7,"MMM D")),"")</f>
        <v/>
      </c>
      <c r="J62" s="34" t="n"/>
    </row>
    <row r="63" ht="18" customHeight="1">
      <c r="A63" s="33" t="n">
        <v>4</v>
      </c>
      <c r="B63" s="35" t="n"/>
      <c r="D63" s="36" t="n"/>
      <c r="E63" s="30">
        <f>IFERROR(SUM(D60:D63),"")</f>
        <v/>
      </c>
      <c r="F63" s="30">
        <f>IFERROR(IF(D63="","",FLOOR(E62/F57,1)+1),"")</f>
        <v/>
      </c>
      <c r="G63" s="30">
        <f>IFERROR(IF(D63="","",CEILING(E63/F57,1)),"")</f>
        <v/>
      </c>
      <c r="H63" s="30">
        <f>IFERROR(IF(D63="","",TEXT('Getting Started'!B7+(F63-1)*7,"MMM D")),"")</f>
        <v/>
      </c>
      <c r="I63" s="30">
        <f>IFERROR(IF(D63="","",TEXT('Getting Started'!B7+(G63)*7,"MMM D")),"")</f>
        <v/>
      </c>
      <c r="J63" s="34" t="n"/>
    </row>
    <row r="64" ht="18" customHeight="1">
      <c r="A64" s="33" t="n">
        <v>5</v>
      </c>
      <c r="B64" s="27" t="n"/>
      <c r="D64" s="34" t="n"/>
      <c r="E64" s="30">
        <f>IFERROR(SUM(D60:D64),"")</f>
        <v/>
      </c>
      <c r="F64" s="30">
        <f>IFERROR(IF(D64="","",FLOOR(E63/F57,1)+1),"")</f>
        <v/>
      </c>
      <c r="G64" s="30">
        <f>IFERROR(IF(D64="","",CEILING(E64/F57,1)),"")</f>
        <v/>
      </c>
      <c r="H64" s="30">
        <f>IFERROR(IF(D64="","",TEXT('Getting Started'!B7+(F64-1)*7,"MMM D")),"")</f>
        <v/>
      </c>
      <c r="I64" s="30">
        <f>IFERROR(IF(D64="","",TEXT('Getting Started'!B7+(G64)*7,"MMM D")),"")</f>
        <v/>
      </c>
      <c r="J64" s="34" t="n"/>
    </row>
    <row r="65" ht="18" customHeight="1">
      <c r="A65" s="33" t="n">
        <v>6</v>
      </c>
      <c r="B65" s="35" t="n"/>
      <c r="D65" s="36" t="n"/>
      <c r="E65" s="30">
        <f>IFERROR(SUM(D60:D65),"")</f>
        <v/>
      </c>
      <c r="F65" s="30">
        <f>IFERROR(IF(D65="","",FLOOR(E64/F57,1)+1),"")</f>
        <v/>
      </c>
      <c r="G65" s="30">
        <f>IFERROR(IF(D65="","",CEILING(E65/F57,1)),"")</f>
        <v/>
      </c>
      <c r="H65" s="30">
        <f>IFERROR(IF(D65="","",TEXT('Getting Started'!B7+(F65-1)*7,"MMM D")),"")</f>
        <v/>
      </c>
      <c r="I65" s="30">
        <f>IFERROR(IF(D65="","",TEXT('Getting Started'!B7+(G65)*7,"MMM D")),"")</f>
        <v/>
      </c>
      <c r="J65" s="34" t="n"/>
    </row>
    <row r="66" ht="20" customHeight="1">
      <c r="A66" s="45" t="inlineStr">
        <is>
          <t>Notes:</t>
        </is>
      </c>
      <c r="B66" s="37" t="n"/>
    </row>
    <row r="67" ht="24" customHeight="1">
      <c r="A67" s="46" t="inlineStr">
        <is>
          <t xml:space="preserve">  SCIENCE</t>
        </is>
      </c>
    </row>
    <row r="68" ht="20" customHeight="1">
      <c r="A68" s="47" t="inlineStr">
        <is>
          <t>Curriculum / Title:</t>
        </is>
      </c>
      <c r="B68" s="27" t="n"/>
      <c r="F68" s="47" t="inlineStr">
        <is>
          <t>Unit type:</t>
        </is>
      </c>
      <c r="G68" s="27" t="inlineStr">
        <is>
          <t>pages</t>
        </is>
      </c>
      <c r="I68" s="28" t="inlineStr">
        <is>
          <t>← type: pages, lessons, chapters…</t>
        </is>
      </c>
      <c r="J68" s="29" t="n"/>
    </row>
    <row r="69" ht="22" customHeight="1">
      <c r="A69" s="47" t="inlineStr">
        <is>
          <t>Total Units:</t>
        </is>
      </c>
      <c r="B69" s="27" t="n"/>
      <c r="C69" s="47" t="inlineStr">
        <is>
          <t>School Weeks:</t>
        </is>
      </c>
      <c r="D69" s="30">
        <f>'Getting Started'!B9</f>
        <v/>
      </c>
      <c r="E69" s="47" t="inlineStr">
        <is>
          <t>Units / Week:</t>
        </is>
      </c>
      <c r="F69" s="12">
        <f>IFERROR(IF(B69="","",ROUND(B69/D69,1)),"")</f>
        <v/>
      </c>
      <c r="G69" s="47" t="inlineStr">
        <is>
          <t>Units / Day:</t>
        </is>
      </c>
      <c r="H69" s="12">
        <f>IFERROR(IF(F69="","",ROUND(F69/'Getting Started'!B10,1)),"")</f>
        <v/>
      </c>
      <c r="I69" s="47" t="inlineStr">
        <is>
          <t>Est. End Date:</t>
        </is>
      </c>
      <c r="J69" s="12">
        <f>IFERROR(IF(B69="","",TEXT('Getting Started'!B7+(B69/'Getting Started'!B10),"MMM D, YYYY")),"")</f>
        <v/>
      </c>
    </row>
    <row r="70" ht="18" customHeight="1">
      <c r="A70" s="31" t="inlineStr">
        <is>
          <t xml:space="preserve">  Optional: Component / Volume Breakdown  (fill in if curriculum has multiple books or parts)</t>
        </is>
      </c>
    </row>
    <row r="71" ht="18" customHeight="1">
      <c r="A71" s="32" t="inlineStr">
        <is>
          <t>#</t>
        </is>
      </c>
      <c r="B71" s="32" t="inlineStr">
        <is>
          <t>Component / Book Title</t>
        </is>
      </c>
      <c r="C71" s="29" t="n"/>
      <c r="D71" s="32" t="inlineStr">
        <is>
          <t>Total Units
in Component</t>
        </is>
      </c>
      <c r="E71" s="32" t="inlineStr">
        <is>
          <t>Cumulative
Units</t>
        </is>
      </c>
      <c r="F71" s="32" t="inlineStr">
        <is>
          <t>Start
Week</t>
        </is>
      </c>
      <c r="G71" s="32" t="inlineStr">
        <is>
          <t>End
Week</t>
        </is>
      </c>
      <c r="H71" s="32" t="inlineStr">
        <is>
          <t>Start
Date</t>
        </is>
      </c>
      <c r="I71" s="32" t="inlineStr">
        <is>
          <t>End
Date</t>
        </is>
      </c>
      <c r="J71" s="32" t="inlineStr">
        <is>
          <t>Complete?</t>
        </is>
      </c>
    </row>
    <row r="72" ht="18" customHeight="1">
      <c r="A72" s="33" t="n">
        <v>1</v>
      </c>
      <c r="B72" s="27" t="n"/>
      <c r="D72" s="34" t="n"/>
      <c r="E72" s="30">
        <f>IFERROR(SUM(D72:D72),"")</f>
        <v/>
      </c>
      <c r="F72" s="30">
        <f>IF(D72="","",1)</f>
        <v/>
      </c>
      <c r="G72" s="30">
        <f>IFERROR(IF(D72="","",CEILING(E72/F69,1)),"")</f>
        <v/>
      </c>
      <c r="H72" s="30">
        <f>IFERROR(IF(D72="","",TEXT('Getting Started'!B7+(F72-1)*7,"MMM D")),"")</f>
        <v/>
      </c>
      <c r="I72" s="30">
        <f>IFERROR(IF(D72="","",TEXT('Getting Started'!B7+(G72)*7,"MMM D")),"")</f>
        <v/>
      </c>
      <c r="J72" s="34" t="n"/>
    </row>
    <row r="73" ht="18" customHeight="1">
      <c r="A73" s="33" t="n">
        <v>2</v>
      </c>
      <c r="B73" s="35" t="n"/>
      <c r="D73" s="36" t="n"/>
      <c r="E73" s="30">
        <f>IFERROR(SUM(D72:D73),"")</f>
        <v/>
      </c>
      <c r="F73" s="30">
        <f>IFERROR(IF(D73="","",FLOOR(E72/F69,1)+1),"")</f>
        <v/>
      </c>
      <c r="G73" s="30">
        <f>IFERROR(IF(D73="","",CEILING(E73/F69,1)),"")</f>
        <v/>
      </c>
      <c r="H73" s="30">
        <f>IFERROR(IF(D73="","",TEXT('Getting Started'!B7+(F73-1)*7,"MMM D")),"")</f>
        <v/>
      </c>
      <c r="I73" s="30">
        <f>IFERROR(IF(D73="","",TEXT('Getting Started'!B7+(G73)*7,"MMM D")),"")</f>
        <v/>
      </c>
      <c r="J73" s="34" t="n"/>
    </row>
    <row r="74" ht="18" customHeight="1">
      <c r="A74" s="33" t="n">
        <v>3</v>
      </c>
      <c r="B74" s="27" t="n"/>
      <c r="D74" s="34" t="n"/>
      <c r="E74" s="30">
        <f>IFERROR(SUM(D72:D74),"")</f>
        <v/>
      </c>
      <c r="F74" s="30">
        <f>IFERROR(IF(D74="","",FLOOR(E73/F69,1)+1),"")</f>
        <v/>
      </c>
      <c r="G74" s="30">
        <f>IFERROR(IF(D74="","",CEILING(E74/F69,1)),"")</f>
        <v/>
      </c>
      <c r="H74" s="30">
        <f>IFERROR(IF(D74="","",TEXT('Getting Started'!B7+(F74-1)*7,"MMM D")),"")</f>
        <v/>
      </c>
      <c r="I74" s="30">
        <f>IFERROR(IF(D74="","",TEXT('Getting Started'!B7+(G74)*7,"MMM D")),"")</f>
        <v/>
      </c>
      <c r="J74" s="34" t="n"/>
    </row>
    <row r="75" ht="18" customHeight="1">
      <c r="A75" s="33" t="n">
        <v>4</v>
      </c>
      <c r="B75" s="35" t="n"/>
      <c r="D75" s="36" t="n"/>
      <c r="E75" s="30">
        <f>IFERROR(SUM(D72:D75),"")</f>
        <v/>
      </c>
      <c r="F75" s="30">
        <f>IFERROR(IF(D75="","",FLOOR(E74/F69,1)+1),"")</f>
        <v/>
      </c>
      <c r="G75" s="30">
        <f>IFERROR(IF(D75="","",CEILING(E75/F69,1)),"")</f>
        <v/>
      </c>
      <c r="H75" s="30">
        <f>IFERROR(IF(D75="","",TEXT('Getting Started'!B7+(F75-1)*7,"MMM D")),"")</f>
        <v/>
      </c>
      <c r="I75" s="30">
        <f>IFERROR(IF(D75="","",TEXT('Getting Started'!B7+(G75)*7,"MMM D")),"")</f>
        <v/>
      </c>
      <c r="J75" s="34" t="n"/>
    </row>
    <row r="76" ht="18" customHeight="1">
      <c r="A76" s="33" t="n">
        <v>5</v>
      </c>
      <c r="B76" s="27" t="n"/>
      <c r="D76" s="34" t="n"/>
      <c r="E76" s="30">
        <f>IFERROR(SUM(D72:D76),"")</f>
        <v/>
      </c>
      <c r="F76" s="30">
        <f>IFERROR(IF(D76="","",FLOOR(E75/F69,1)+1),"")</f>
        <v/>
      </c>
      <c r="G76" s="30">
        <f>IFERROR(IF(D76="","",CEILING(E76/F69,1)),"")</f>
        <v/>
      </c>
      <c r="H76" s="30">
        <f>IFERROR(IF(D76="","",TEXT('Getting Started'!B7+(F76-1)*7,"MMM D")),"")</f>
        <v/>
      </c>
      <c r="I76" s="30">
        <f>IFERROR(IF(D76="","",TEXT('Getting Started'!B7+(G76)*7,"MMM D")),"")</f>
        <v/>
      </c>
      <c r="J76" s="34" t="n"/>
    </row>
    <row r="77" ht="18" customHeight="1">
      <c r="A77" s="33" t="n">
        <v>6</v>
      </c>
      <c r="B77" s="35" t="n"/>
      <c r="D77" s="36" t="n"/>
      <c r="E77" s="30">
        <f>IFERROR(SUM(D72:D77),"")</f>
        <v/>
      </c>
      <c r="F77" s="30">
        <f>IFERROR(IF(D77="","",FLOOR(E76/F69,1)+1),"")</f>
        <v/>
      </c>
      <c r="G77" s="30">
        <f>IFERROR(IF(D77="","",CEILING(E77/F69,1)),"")</f>
        <v/>
      </c>
      <c r="H77" s="30">
        <f>IFERROR(IF(D77="","",TEXT('Getting Started'!B7+(F77-1)*7,"MMM D")),"")</f>
        <v/>
      </c>
      <c r="I77" s="30">
        <f>IFERROR(IF(D77="","",TEXT('Getting Started'!B7+(G77)*7,"MMM D")),"")</f>
        <v/>
      </c>
      <c r="J77" s="34" t="n"/>
    </row>
    <row r="78" ht="20" customHeight="1">
      <c r="A78" s="47" t="inlineStr">
        <is>
          <t>Notes:</t>
        </is>
      </c>
      <c r="B78" s="37" t="n"/>
    </row>
    <row r="79" ht="24" customHeight="1">
      <c r="A79" s="48" t="inlineStr">
        <is>
          <t xml:space="preserve">  SOCIAL STUDIES / HISTORY</t>
        </is>
      </c>
    </row>
    <row r="80" ht="20" customHeight="1">
      <c r="A80" s="49" t="inlineStr">
        <is>
          <t>Curriculum / Title:</t>
        </is>
      </c>
      <c r="B80" s="27" t="n"/>
      <c r="F80" s="49" t="inlineStr">
        <is>
          <t>Unit type:</t>
        </is>
      </c>
      <c r="G80" s="27" t="inlineStr">
        <is>
          <t>pages</t>
        </is>
      </c>
      <c r="I80" s="28" t="inlineStr">
        <is>
          <t>← type: pages, lessons, chapters…</t>
        </is>
      </c>
      <c r="J80" s="29" t="n"/>
    </row>
    <row r="81" ht="22" customHeight="1">
      <c r="A81" s="49" t="inlineStr">
        <is>
          <t>Total Units:</t>
        </is>
      </c>
      <c r="B81" s="27" t="n"/>
      <c r="C81" s="49" t="inlineStr">
        <is>
          <t>School Weeks:</t>
        </is>
      </c>
      <c r="D81" s="30">
        <f>'Getting Started'!B9</f>
        <v/>
      </c>
      <c r="E81" s="49" t="inlineStr">
        <is>
          <t>Units / Week:</t>
        </is>
      </c>
      <c r="F81" s="12">
        <f>IFERROR(IF(B81="","",ROUND(B81/D81,1)),"")</f>
        <v/>
      </c>
      <c r="G81" s="49" t="inlineStr">
        <is>
          <t>Units / Day:</t>
        </is>
      </c>
      <c r="H81" s="12">
        <f>IFERROR(IF(F81="","",ROUND(F81/'Getting Started'!B10,1)),"")</f>
        <v/>
      </c>
      <c r="I81" s="49" t="inlineStr">
        <is>
          <t>Est. End Date:</t>
        </is>
      </c>
      <c r="J81" s="12">
        <f>IFERROR(IF(B81="","",TEXT('Getting Started'!B7+(B81/'Getting Started'!B10),"MMM D, YYYY")),"")</f>
        <v/>
      </c>
    </row>
    <row r="82" ht="18" customHeight="1">
      <c r="A82" s="31" t="inlineStr">
        <is>
          <t xml:space="preserve">  Optional: Component / Volume Breakdown  (fill in if curriculum has multiple books or parts)</t>
        </is>
      </c>
    </row>
    <row r="83" ht="18" customHeight="1">
      <c r="A83" s="32" t="inlineStr">
        <is>
          <t>#</t>
        </is>
      </c>
      <c r="B83" s="32" t="inlineStr">
        <is>
          <t>Component / Book Title</t>
        </is>
      </c>
      <c r="C83" s="29" t="n"/>
      <c r="D83" s="32" t="inlineStr">
        <is>
          <t>Total Units
in Component</t>
        </is>
      </c>
      <c r="E83" s="32" t="inlineStr">
        <is>
          <t>Cumulative
Units</t>
        </is>
      </c>
      <c r="F83" s="32" t="inlineStr">
        <is>
          <t>Start
Week</t>
        </is>
      </c>
      <c r="G83" s="32" t="inlineStr">
        <is>
          <t>End
Week</t>
        </is>
      </c>
      <c r="H83" s="32" t="inlineStr">
        <is>
          <t>Start
Date</t>
        </is>
      </c>
      <c r="I83" s="32" t="inlineStr">
        <is>
          <t>End
Date</t>
        </is>
      </c>
      <c r="J83" s="32" t="inlineStr">
        <is>
          <t>Complete?</t>
        </is>
      </c>
    </row>
    <row r="84" ht="18" customHeight="1">
      <c r="A84" s="33" t="n">
        <v>1</v>
      </c>
      <c r="B84" s="27" t="n"/>
      <c r="D84" s="34" t="n"/>
      <c r="E84" s="30">
        <f>IFERROR(SUM(D84:D84),"")</f>
        <v/>
      </c>
      <c r="F84" s="30">
        <f>IF(D84="","",1)</f>
        <v/>
      </c>
      <c r="G84" s="30">
        <f>IFERROR(IF(D84="","",CEILING(E84/F81,1)),"")</f>
        <v/>
      </c>
      <c r="H84" s="30">
        <f>IFERROR(IF(D84="","",TEXT('Getting Started'!B7+(F84-1)*7,"MMM D")),"")</f>
        <v/>
      </c>
      <c r="I84" s="30">
        <f>IFERROR(IF(D84="","",TEXT('Getting Started'!B7+(G84)*7,"MMM D")),"")</f>
        <v/>
      </c>
      <c r="J84" s="34" t="n"/>
    </row>
    <row r="85" ht="18" customHeight="1">
      <c r="A85" s="33" t="n">
        <v>2</v>
      </c>
      <c r="B85" s="35" t="n"/>
      <c r="D85" s="36" t="n"/>
      <c r="E85" s="30">
        <f>IFERROR(SUM(D84:D85),"")</f>
        <v/>
      </c>
      <c r="F85" s="30">
        <f>IFERROR(IF(D85="","",FLOOR(E84/F81,1)+1),"")</f>
        <v/>
      </c>
      <c r="G85" s="30">
        <f>IFERROR(IF(D85="","",CEILING(E85/F81,1)),"")</f>
        <v/>
      </c>
      <c r="H85" s="30">
        <f>IFERROR(IF(D85="","",TEXT('Getting Started'!B7+(F85-1)*7,"MMM D")),"")</f>
        <v/>
      </c>
      <c r="I85" s="30">
        <f>IFERROR(IF(D85="","",TEXT('Getting Started'!B7+(G85)*7,"MMM D")),"")</f>
        <v/>
      </c>
      <c r="J85" s="34" t="n"/>
    </row>
    <row r="86" ht="18" customHeight="1">
      <c r="A86" s="33" t="n">
        <v>3</v>
      </c>
      <c r="B86" s="27" t="n"/>
      <c r="D86" s="34" t="n"/>
      <c r="E86" s="30">
        <f>IFERROR(SUM(D84:D86),"")</f>
        <v/>
      </c>
      <c r="F86" s="30">
        <f>IFERROR(IF(D86="","",FLOOR(E85/F81,1)+1),"")</f>
        <v/>
      </c>
      <c r="G86" s="30">
        <f>IFERROR(IF(D86="","",CEILING(E86/F81,1)),"")</f>
        <v/>
      </c>
      <c r="H86" s="30">
        <f>IFERROR(IF(D86="","",TEXT('Getting Started'!B7+(F86-1)*7,"MMM D")),"")</f>
        <v/>
      </c>
      <c r="I86" s="30">
        <f>IFERROR(IF(D86="","",TEXT('Getting Started'!B7+(G86)*7,"MMM D")),"")</f>
        <v/>
      </c>
      <c r="J86" s="34" t="n"/>
    </row>
    <row r="87" ht="18" customHeight="1">
      <c r="A87" s="33" t="n">
        <v>4</v>
      </c>
      <c r="B87" s="35" t="n"/>
      <c r="D87" s="36" t="n"/>
      <c r="E87" s="30">
        <f>IFERROR(SUM(D84:D87),"")</f>
        <v/>
      </c>
      <c r="F87" s="30">
        <f>IFERROR(IF(D87="","",FLOOR(E86/F81,1)+1),"")</f>
        <v/>
      </c>
      <c r="G87" s="30">
        <f>IFERROR(IF(D87="","",CEILING(E87/F81,1)),"")</f>
        <v/>
      </c>
      <c r="H87" s="30">
        <f>IFERROR(IF(D87="","",TEXT('Getting Started'!B7+(F87-1)*7,"MMM D")),"")</f>
        <v/>
      </c>
      <c r="I87" s="30">
        <f>IFERROR(IF(D87="","",TEXT('Getting Started'!B7+(G87)*7,"MMM D")),"")</f>
        <v/>
      </c>
      <c r="J87" s="34" t="n"/>
    </row>
    <row r="88" ht="18" customHeight="1">
      <c r="A88" s="33" t="n">
        <v>5</v>
      </c>
      <c r="B88" s="27" t="n"/>
      <c r="D88" s="34" t="n"/>
      <c r="E88" s="30">
        <f>IFERROR(SUM(D84:D88),"")</f>
        <v/>
      </c>
      <c r="F88" s="30">
        <f>IFERROR(IF(D88="","",FLOOR(E87/F81,1)+1),"")</f>
        <v/>
      </c>
      <c r="G88" s="30">
        <f>IFERROR(IF(D88="","",CEILING(E88/F81,1)),"")</f>
        <v/>
      </c>
      <c r="H88" s="30">
        <f>IFERROR(IF(D88="","",TEXT('Getting Started'!B7+(F88-1)*7,"MMM D")),"")</f>
        <v/>
      </c>
      <c r="I88" s="30">
        <f>IFERROR(IF(D88="","",TEXT('Getting Started'!B7+(G88)*7,"MMM D")),"")</f>
        <v/>
      </c>
      <c r="J88" s="34" t="n"/>
    </row>
    <row r="89" ht="18" customHeight="1">
      <c r="A89" s="33" t="n">
        <v>6</v>
      </c>
      <c r="B89" s="35" t="n"/>
      <c r="D89" s="36" t="n"/>
      <c r="E89" s="30">
        <f>IFERROR(SUM(D84:D89),"")</f>
        <v/>
      </c>
      <c r="F89" s="30">
        <f>IFERROR(IF(D89="","",FLOOR(E88/F81,1)+1),"")</f>
        <v/>
      </c>
      <c r="G89" s="30">
        <f>IFERROR(IF(D89="","",CEILING(E89/F81,1)),"")</f>
        <v/>
      </c>
      <c r="H89" s="30">
        <f>IFERROR(IF(D89="","",TEXT('Getting Started'!B7+(F89-1)*7,"MMM D")),"")</f>
        <v/>
      </c>
      <c r="I89" s="30">
        <f>IFERROR(IF(D89="","",TEXT('Getting Started'!B7+(G89)*7,"MMM D")),"")</f>
        <v/>
      </c>
      <c r="J89" s="34" t="n"/>
    </row>
    <row r="90" ht="20" customHeight="1">
      <c r="A90" s="49" t="inlineStr">
        <is>
          <t>Notes:</t>
        </is>
      </c>
      <c r="B90" s="37" t="n"/>
    </row>
    <row r="91" ht="24" customHeight="1">
      <c r="A91" s="50" t="inlineStr">
        <is>
          <t xml:space="preserve">  HEALTH</t>
        </is>
      </c>
    </row>
    <row r="92" ht="20" customHeight="1">
      <c r="A92" s="51" t="inlineStr">
        <is>
          <t>Curriculum / Title:</t>
        </is>
      </c>
      <c r="B92" s="27" t="n"/>
      <c r="F92" s="51" t="inlineStr">
        <is>
          <t>Unit type:</t>
        </is>
      </c>
      <c r="G92" s="27" t="inlineStr">
        <is>
          <t>pages</t>
        </is>
      </c>
      <c r="I92" s="28" t="inlineStr">
        <is>
          <t>← type: pages, lessons, chapters…</t>
        </is>
      </c>
      <c r="J92" s="29" t="n"/>
    </row>
    <row r="93" ht="22" customHeight="1">
      <c r="A93" s="51" t="inlineStr">
        <is>
          <t>Total Units:</t>
        </is>
      </c>
      <c r="B93" s="27" t="n"/>
      <c r="C93" s="51" t="inlineStr">
        <is>
          <t>School Weeks:</t>
        </is>
      </c>
      <c r="D93" s="30">
        <f>'Getting Started'!B9</f>
        <v/>
      </c>
      <c r="E93" s="51" t="inlineStr">
        <is>
          <t>Units / Week:</t>
        </is>
      </c>
      <c r="F93" s="12">
        <f>IFERROR(IF(B93="","",ROUND(B93/D93,1)),"")</f>
        <v/>
      </c>
      <c r="G93" s="51" t="inlineStr">
        <is>
          <t>Units / Day:</t>
        </is>
      </c>
      <c r="H93" s="12">
        <f>IFERROR(IF(F93="","",ROUND(F93/'Getting Started'!B10,1)),"")</f>
        <v/>
      </c>
      <c r="I93" s="51" t="inlineStr">
        <is>
          <t>Est. End Date:</t>
        </is>
      </c>
      <c r="J93" s="12">
        <f>IFERROR(IF(B93="","",TEXT('Getting Started'!B7+(B93/'Getting Started'!B10),"MMM D, YYYY")),"")</f>
        <v/>
      </c>
    </row>
    <row r="94" ht="18" customHeight="1">
      <c r="A94" s="31" t="inlineStr">
        <is>
          <t xml:space="preserve">  Optional: Component / Volume Breakdown  (fill in if curriculum has multiple books or parts)</t>
        </is>
      </c>
    </row>
    <row r="95" ht="18" customHeight="1">
      <c r="A95" s="32" t="inlineStr">
        <is>
          <t>#</t>
        </is>
      </c>
      <c r="B95" s="32" t="inlineStr">
        <is>
          <t>Component / Book Title</t>
        </is>
      </c>
      <c r="C95" s="29" t="n"/>
      <c r="D95" s="32" t="inlineStr">
        <is>
          <t>Total Units
in Component</t>
        </is>
      </c>
      <c r="E95" s="32" t="inlineStr">
        <is>
          <t>Cumulative
Units</t>
        </is>
      </c>
      <c r="F95" s="32" t="inlineStr">
        <is>
          <t>Start
Week</t>
        </is>
      </c>
      <c r="G95" s="32" t="inlineStr">
        <is>
          <t>End
Week</t>
        </is>
      </c>
      <c r="H95" s="32" t="inlineStr">
        <is>
          <t>Start
Date</t>
        </is>
      </c>
      <c r="I95" s="32" t="inlineStr">
        <is>
          <t>End
Date</t>
        </is>
      </c>
      <c r="J95" s="32" t="inlineStr">
        <is>
          <t>Complete?</t>
        </is>
      </c>
    </row>
    <row r="96" ht="18" customHeight="1">
      <c r="A96" s="33" t="n">
        <v>1</v>
      </c>
      <c r="B96" s="27" t="n"/>
      <c r="D96" s="34" t="n"/>
      <c r="E96" s="30">
        <f>IFERROR(SUM(D96:D96),"")</f>
        <v/>
      </c>
      <c r="F96" s="30">
        <f>IF(D96="","",1)</f>
        <v/>
      </c>
      <c r="G96" s="30">
        <f>IFERROR(IF(D96="","",CEILING(E96/F93,1)),"")</f>
        <v/>
      </c>
      <c r="H96" s="30">
        <f>IFERROR(IF(D96="","",TEXT('Getting Started'!B7+(F96-1)*7,"MMM D")),"")</f>
        <v/>
      </c>
      <c r="I96" s="30">
        <f>IFERROR(IF(D96="","",TEXT('Getting Started'!B7+(G96)*7,"MMM D")),"")</f>
        <v/>
      </c>
      <c r="J96" s="34" t="n"/>
    </row>
    <row r="97" ht="18" customHeight="1">
      <c r="A97" s="33" t="n">
        <v>2</v>
      </c>
      <c r="B97" s="35" t="n"/>
      <c r="D97" s="36" t="n"/>
      <c r="E97" s="30">
        <f>IFERROR(SUM(D96:D97),"")</f>
        <v/>
      </c>
      <c r="F97" s="30">
        <f>IFERROR(IF(D97="","",FLOOR(E96/F93,1)+1),"")</f>
        <v/>
      </c>
      <c r="G97" s="30">
        <f>IFERROR(IF(D97="","",CEILING(E97/F93,1)),"")</f>
        <v/>
      </c>
      <c r="H97" s="30">
        <f>IFERROR(IF(D97="","",TEXT('Getting Started'!B7+(F97-1)*7,"MMM D")),"")</f>
        <v/>
      </c>
      <c r="I97" s="30">
        <f>IFERROR(IF(D97="","",TEXT('Getting Started'!B7+(G97)*7,"MMM D")),"")</f>
        <v/>
      </c>
      <c r="J97" s="34" t="n"/>
    </row>
    <row r="98" ht="18" customHeight="1">
      <c r="A98" s="33" t="n">
        <v>3</v>
      </c>
      <c r="B98" s="27" t="n"/>
      <c r="D98" s="34" t="n"/>
      <c r="E98" s="30">
        <f>IFERROR(SUM(D96:D98),"")</f>
        <v/>
      </c>
      <c r="F98" s="30">
        <f>IFERROR(IF(D98="","",FLOOR(E97/F93,1)+1),"")</f>
        <v/>
      </c>
      <c r="G98" s="30">
        <f>IFERROR(IF(D98="","",CEILING(E98/F93,1)),"")</f>
        <v/>
      </c>
      <c r="H98" s="30">
        <f>IFERROR(IF(D98="","",TEXT('Getting Started'!B7+(F98-1)*7,"MMM D")),"")</f>
        <v/>
      </c>
      <c r="I98" s="30">
        <f>IFERROR(IF(D98="","",TEXT('Getting Started'!B7+(G98)*7,"MMM D")),"")</f>
        <v/>
      </c>
      <c r="J98" s="34" t="n"/>
    </row>
    <row r="99" ht="18" customHeight="1">
      <c r="A99" s="33" t="n">
        <v>4</v>
      </c>
      <c r="B99" s="35" t="n"/>
      <c r="D99" s="36" t="n"/>
      <c r="E99" s="30">
        <f>IFERROR(SUM(D96:D99),"")</f>
        <v/>
      </c>
      <c r="F99" s="30">
        <f>IFERROR(IF(D99="","",FLOOR(E98/F93,1)+1),"")</f>
        <v/>
      </c>
      <c r="G99" s="30">
        <f>IFERROR(IF(D99="","",CEILING(E99/F93,1)),"")</f>
        <v/>
      </c>
      <c r="H99" s="30">
        <f>IFERROR(IF(D99="","",TEXT('Getting Started'!B7+(F99-1)*7,"MMM D")),"")</f>
        <v/>
      </c>
      <c r="I99" s="30">
        <f>IFERROR(IF(D99="","",TEXT('Getting Started'!B7+(G99)*7,"MMM D")),"")</f>
        <v/>
      </c>
      <c r="J99" s="34" t="n"/>
    </row>
    <row r="100" ht="18" customHeight="1">
      <c r="A100" s="33" t="n">
        <v>5</v>
      </c>
      <c r="B100" s="27" t="n"/>
      <c r="D100" s="34" t="n"/>
      <c r="E100" s="30">
        <f>IFERROR(SUM(D96:D100),"")</f>
        <v/>
      </c>
      <c r="F100" s="30">
        <f>IFERROR(IF(D100="","",FLOOR(E99/F93,1)+1),"")</f>
        <v/>
      </c>
      <c r="G100" s="30">
        <f>IFERROR(IF(D100="","",CEILING(E100/F93,1)),"")</f>
        <v/>
      </c>
      <c r="H100" s="30">
        <f>IFERROR(IF(D100="","",TEXT('Getting Started'!B7+(F100-1)*7,"MMM D")),"")</f>
        <v/>
      </c>
      <c r="I100" s="30">
        <f>IFERROR(IF(D100="","",TEXT('Getting Started'!B7+(G100)*7,"MMM D")),"")</f>
        <v/>
      </c>
      <c r="J100" s="34" t="n"/>
    </row>
    <row r="101" ht="18" customHeight="1">
      <c r="A101" s="33" t="n">
        <v>6</v>
      </c>
      <c r="B101" s="35" t="n"/>
      <c r="D101" s="36" t="n"/>
      <c r="E101" s="30">
        <f>IFERROR(SUM(D96:D101),"")</f>
        <v/>
      </c>
      <c r="F101" s="30">
        <f>IFERROR(IF(D101="","",FLOOR(E100/F93,1)+1),"")</f>
        <v/>
      </c>
      <c r="G101" s="30">
        <f>IFERROR(IF(D101="","",CEILING(E101/F93,1)),"")</f>
        <v/>
      </c>
      <c r="H101" s="30">
        <f>IFERROR(IF(D101="","",TEXT('Getting Started'!B7+(F101-1)*7,"MMM D")),"")</f>
        <v/>
      </c>
      <c r="I101" s="30">
        <f>IFERROR(IF(D101="","",TEXT('Getting Started'!B7+(G101)*7,"MMM D")),"")</f>
        <v/>
      </c>
      <c r="J101" s="34" t="n"/>
    </row>
    <row r="102" ht="20" customHeight="1">
      <c r="A102" s="51" t="inlineStr">
        <is>
          <t>Notes:</t>
        </is>
      </c>
      <c r="B102" s="37" t="n"/>
    </row>
    <row r="103" ht="24" customHeight="1">
      <c r="A103" s="52" t="inlineStr">
        <is>
          <t xml:space="preserve">  PHYSICAL EDUCATION</t>
        </is>
      </c>
    </row>
    <row r="104" ht="20" customHeight="1">
      <c r="A104" s="53" t="inlineStr">
        <is>
          <t>Curriculum / Title:</t>
        </is>
      </c>
      <c r="B104" s="27" t="n"/>
      <c r="F104" s="53" t="inlineStr">
        <is>
          <t>Unit type:</t>
        </is>
      </c>
      <c r="G104" s="27" t="inlineStr">
        <is>
          <t>pages</t>
        </is>
      </c>
      <c r="I104" s="28" t="inlineStr">
        <is>
          <t>← type: pages, lessons, chapters…</t>
        </is>
      </c>
      <c r="J104" s="29" t="n"/>
    </row>
    <row r="105" ht="22" customHeight="1">
      <c r="A105" s="53" t="inlineStr">
        <is>
          <t>Total Units:</t>
        </is>
      </c>
      <c r="B105" s="27" t="n"/>
      <c r="C105" s="53" t="inlineStr">
        <is>
          <t>School Weeks:</t>
        </is>
      </c>
      <c r="D105" s="30">
        <f>'Getting Started'!B9</f>
        <v/>
      </c>
      <c r="E105" s="53" t="inlineStr">
        <is>
          <t>Units / Week:</t>
        </is>
      </c>
      <c r="F105" s="12">
        <f>IFERROR(IF(B105="","",ROUND(B105/D105,1)),"")</f>
        <v/>
      </c>
      <c r="G105" s="53" t="inlineStr">
        <is>
          <t>Units / Day:</t>
        </is>
      </c>
      <c r="H105" s="12">
        <f>IFERROR(IF(F105="","",ROUND(F105/'Getting Started'!B10,1)),"")</f>
        <v/>
      </c>
      <c r="I105" s="53" t="inlineStr">
        <is>
          <t>Est. End Date:</t>
        </is>
      </c>
      <c r="J105" s="12">
        <f>IFERROR(IF(B105="","",TEXT('Getting Started'!B7+(B105/'Getting Started'!B10),"MMM D, YYYY")),"")</f>
        <v/>
      </c>
    </row>
    <row r="106" ht="18" customHeight="1">
      <c r="A106" s="31" t="inlineStr">
        <is>
          <t xml:space="preserve">  Optional: Component / Volume Breakdown  (fill in if curriculum has multiple books or parts)</t>
        </is>
      </c>
    </row>
    <row r="107" ht="18" customHeight="1">
      <c r="A107" s="32" t="inlineStr">
        <is>
          <t>#</t>
        </is>
      </c>
      <c r="B107" s="32" t="inlineStr">
        <is>
          <t>Component / Book Title</t>
        </is>
      </c>
      <c r="C107" s="29" t="n"/>
      <c r="D107" s="32" t="inlineStr">
        <is>
          <t>Total Units
in Component</t>
        </is>
      </c>
      <c r="E107" s="32" t="inlineStr">
        <is>
          <t>Cumulative
Units</t>
        </is>
      </c>
      <c r="F107" s="32" t="inlineStr">
        <is>
          <t>Start
Week</t>
        </is>
      </c>
      <c r="G107" s="32" t="inlineStr">
        <is>
          <t>End
Week</t>
        </is>
      </c>
      <c r="H107" s="32" t="inlineStr">
        <is>
          <t>Start
Date</t>
        </is>
      </c>
      <c r="I107" s="32" t="inlineStr">
        <is>
          <t>End
Date</t>
        </is>
      </c>
      <c r="J107" s="32" t="inlineStr">
        <is>
          <t>Complete?</t>
        </is>
      </c>
    </row>
    <row r="108" ht="18" customHeight="1">
      <c r="A108" s="33" t="n">
        <v>1</v>
      </c>
      <c r="B108" s="27" t="n"/>
      <c r="D108" s="34" t="n"/>
      <c r="E108" s="30">
        <f>IFERROR(SUM(D108:D108),"")</f>
        <v/>
      </c>
      <c r="F108" s="30">
        <f>IF(D108="","",1)</f>
        <v/>
      </c>
      <c r="G108" s="30">
        <f>IFERROR(IF(D108="","",CEILING(E108/F105,1)),"")</f>
        <v/>
      </c>
      <c r="H108" s="30">
        <f>IFERROR(IF(D108="","",TEXT('Getting Started'!B7+(F108-1)*7,"MMM D")),"")</f>
        <v/>
      </c>
      <c r="I108" s="30">
        <f>IFERROR(IF(D108="","",TEXT('Getting Started'!B7+(G108)*7,"MMM D")),"")</f>
        <v/>
      </c>
      <c r="J108" s="34" t="n"/>
    </row>
    <row r="109" ht="18" customHeight="1">
      <c r="A109" s="33" t="n">
        <v>2</v>
      </c>
      <c r="B109" s="35" t="n"/>
      <c r="D109" s="36" t="n"/>
      <c r="E109" s="30">
        <f>IFERROR(SUM(D108:D109),"")</f>
        <v/>
      </c>
      <c r="F109" s="30">
        <f>IFERROR(IF(D109="","",FLOOR(E108/F105,1)+1),"")</f>
        <v/>
      </c>
      <c r="G109" s="30">
        <f>IFERROR(IF(D109="","",CEILING(E109/F105,1)),"")</f>
        <v/>
      </c>
      <c r="H109" s="30">
        <f>IFERROR(IF(D109="","",TEXT('Getting Started'!B7+(F109-1)*7,"MMM D")),"")</f>
        <v/>
      </c>
      <c r="I109" s="30">
        <f>IFERROR(IF(D109="","",TEXT('Getting Started'!B7+(G109)*7,"MMM D")),"")</f>
        <v/>
      </c>
      <c r="J109" s="34" t="n"/>
    </row>
    <row r="110" ht="18" customHeight="1">
      <c r="A110" s="33" t="n">
        <v>3</v>
      </c>
      <c r="B110" s="27" t="n"/>
      <c r="D110" s="34" t="n"/>
      <c r="E110" s="30">
        <f>IFERROR(SUM(D108:D110),"")</f>
        <v/>
      </c>
      <c r="F110" s="30">
        <f>IFERROR(IF(D110="","",FLOOR(E109/F105,1)+1),"")</f>
        <v/>
      </c>
      <c r="G110" s="30">
        <f>IFERROR(IF(D110="","",CEILING(E110/F105,1)),"")</f>
        <v/>
      </c>
      <c r="H110" s="30">
        <f>IFERROR(IF(D110="","",TEXT('Getting Started'!B7+(F110-1)*7,"MMM D")),"")</f>
        <v/>
      </c>
      <c r="I110" s="30">
        <f>IFERROR(IF(D110="","",TEXT('Getting Started'!B7+(G110)*7,"MMM D")),"")</f>
        <v/>
      </c>
      <c r="J110" s="34" t="n"/>
    </row>
    <row r="111" ht="18" customHeight="1">
      <c r="A111" s="33" t="n">
        <v>4</v>
      </c>
      <c r="B111" s="35" t="n"/>
      <c r="D111" s="36" t="n"/>
      <c r="E111" s="30">
        <f>IFERROR(SUM(D108:D111),"")</f>
        <v/>
      </c>
      <c r="F111" s="30">
        <f>IFERROR(IF(D111="","",FLOOR(E110/F105,1)+1),"")</f>
        <v/>
      </c>
      <c r="G111" s="30">
        <f>IFERROR(IF(D111="","",CEILING(E111/F105,1)),"")</f>
        <v/>
      </c>
      <c r="H111" s="30">
        <f>IFERROR(IF(D111="","",TEXT('Getting Started'!B7+(F111-1)*7,"MMM D")),"")</f>
        <v/>
      </c>
      <c r="I111" s="30">
        <f>IFERROR(IF(D111="","",TEXT('Getting Started'!B7+(G111)*7,"MMM D")),"")</f>
        <v/>
      </c>
      <c r="J111" s="34" t="n"/>
    </row>
    <row r="112" ht="18" customHeight="1">
      <c r="A112" s="33" t="n">
        <v>5</v>
      </c>
      <c r="B112" s="27" t="n"/>
      <c r="D112" s="34" t="n"/>
      <c r="E112" s="30">
        <f>IFERROR(SUM(D108:D112),"")</f>
        <v/>
      </c>
      <c r="F112" s="30">
        <f>IFERROR(IF(D112="","",FLOOR(E111/F105,1)+1),"")</f>
        <v/>
      </c>
      <c r="G112" s="30">
        <f>IFERROR(IF(D112="","",CEILING(E112/F105,1)),"")</f>
        <v/>
      </c>
      <c r="H112" s="30">
        <f>IFERROR(IF(D112="","",TEXT('Getting Started'!B7+(F112-1)*7,"MMM D")),"")</f>
        <v/>
      </c>
      <c r="I112" s="30">
        <f>IFERROR(IF(D112="","",TEXT('Getting Started'!B7+(G112)*7,"MMM D")),"")</f>
        <v/>
      </c>
      <c r="J112" s="34" t="n"/>
    </row>
    <row r="113" ht="18" customHeight="1">
      <c r="A113" s="33" t="n">
        <v>6</v>
      </c>
      <c r="B113" s="35" t="n"/>
      <c r="D113" s="36" t="n"/>
      <c r="E113" s="30">
        <f>IFERROR(SUM(D108:D113),"")</f>
        <v/>
      </c>
      <c r="F113" s="30">
        <f>IFERROR(IF(D113="","",FLOOR(E112/F105,1)+1),"")</f>
        <v/>
      </c>
      <c r="G113" s="30">
        <f>IFERROR(IF(D113="","",CEILING(E113/F105,1)),"")</f>
        <v/>
      </c>
      <c r="H113" s="30">
        <f>IFERROR(IF(D113="","",TEXT('Getting Started'!B7+(F113-1)*7,"MMM D")),"")</f>
        <v/>
      </c>
      <c r="I113" s="30">
        <f>IFERROR(IF(D113="","",TEXT('Getting Started'!B7+(G113)*7,"MMM D")),"")</f>
        <v/>
      </c>
      <c r="J113" s="34" t="n"/>
    </row>
    <row r="114" ht="20" customHeight="1">
      <c r="A114" s="53" t="inlineStr">
        <is>
          <t>Notes:</t>
        </is>
      </c>
      <c r="B114" s="37" t="n"/>
    </row>
    <row r="115" ht="24" customHeight="1">
      <c r="A115" s="54" t="inlineStr">
        <is>
          <t xml:space="preserve">  ART / MUSIC</t>
        </is>
      </c>
    </row>
    <row r="116" ht="20" customHeight="1">
      <c r="A116" s="55" t="inlineStr">
        <is>
          <t>Curriculum / Title:</t>
        </is>
      </c>
      <c r="B116" s="27" t="n"/>
      <c r="F116" s="55" t="inlineStr">
        <is>
          <t>Unit type:</t>
        </is>
      </c>
      <c r="G116" s="27" t="inlineStr">
        <is>
          <t>pages</t>
        </is>
      </c>
      <c r="I116" s="28" t="inlineStr">
        <is>
          <t>← type: pages, lessons, chapters…</t>
        </is>
      </c>
      <c r="J116" s="29" t="n"/>
    </row>
    <row r="117" ht="22" customHeight="1">
      <c r="A117" s="55" t="inlineStr">
        <is>
          <t>Total Units:</t>
        </is>
      </c>
      <c r="B117" s="27" t="n"/>
      <c r="C117" s="55" t="inlineStr">
        <is>
          <t>School Weeks:</t>
        </is>
      </c>
      <c r="D117" s="30">
        <f>'Getting Started'!B9</f>
        <v/>
      </c>
      <c r="E117" s="55" t="inlineStr">
        <is>
          <t>Units / Week:</t>
        </is>
      </c>
      <c r="F117" s="12">
        <f>IFERROR(IF(B117="","",ROUND(B117/D117,1)),"")</f>
        <v/>
      </c>
      <c r="G117" s="55" t="inlineStr">
        <is>
          <t>Units / Day:</t>
        </is>
      </c>
      <c r="H117" s="12">
        <f>IFERROR(IF(F117="","",ROUND(F117/'Getting Started'!B10,1)),"")</f>
        <v/>
      </c>
      <c r="I117" s="55" t="inlineStr">
        <is>
          <t>Est. End Date:</t>
        </is>
      </c>
      <c r="J117" s="12">
        <f>IFERROR(IF(B117="","",TEXT('Getting Started'!B7+(B117/'Getting Started'!B10),"MMM D, YYYY")),"")</f>
        <v/>
      </c>
    </row>
    <row r="118" ht="18" customHeight="1">
      <c r="A118" s="31" t="inlineStr">
        <is>
          <t xml:space="preserve">  Optional: Component / Volume Breakdown  (fill in if curriculum has multiple books or parts)</t>
        </is>
      </c>
    </row>
    <row r="119" ht="18" customHeight="1">
      <c r="A119" s="32" t="inlineStr">
        <is>
          <t>#</t>
        </is>
      </c>
      <c r="B119" s="32" t="inlineStr">
        <is>
          <t>Component / Book Title</t>
        </is>
      </c>
      <c r="C119" s="29" t="n"/>
      <c r="D119" s="32" t="inlineStr">
        <is>
          <t>Total Units
in Component</t>
        </is>
      </c>
      <c r="E119" s="32" t="inlineStr">
        <is>
          <t>Cumulative
Units</t>
        </is>
      </c>
      <c r="F119" s="32" t="inlineStr">
        <is>
          <t>Start
Week</t>
        </is>
      </c>
      <c r="G119" s="32" t="inlineStr">
        <is>
          <t>End
Week</t>
        </is>
      </c>
      <c r="H119" s="32" t="inlineStr">
        <is>
          <t>Start
Date</t>
        </is>
      </c>
      <c r="I119" s="32" t="inlineStr">
        <is>
          <t>End
Date</t>
        </is>
      </c>
      <c r="J119" s="32" t="inlineStr">
        <is>
          <t>Complete?</t>
        </is>
      </c>
    </row>
    <row r="120" ht="18" customHeight="1">
      <c r="A120" s="33" t="n">
        <v>1</v>
      </c>
      <c r="B120" s="27" t="n"/>
      <c r="D120" s="34" t="n"/>
      <c r="E120" s="30">
        <f>IFERROR(SUM(D120:D120),"")</f>
        <v/>
      </c>
      <c r="F120" s="30">
        <f>IF(D120="","",1)</f>
        <v/>
      </c>
      <c r="G120" s="30">
        <f>IFERROR(IF(D120="","",CEILING(E120/F117,1)),"")</f>
        <v/>
      </c>
      <c r="H120" s="30">
        <f>IFERROR(IF(D120="","",TEXT('Getting Started'!B7+(F120-1)*7,"MMM D")),"")</f>
        <v/>
      </c>
      <c r="I120" s="30">
        <f>IFERROR(IF(D120="","",TEXT('Getting Started'!B7+(G120)*7,"MMM D")),"")</f>
        <v/>
      </c>
      <c r="J120" s="34" t="n"/>
    </row>
    <row r="121" ht="18" customHeight="1">
      <c r="A121" s="33" t="n">
        <v>2</v>
      </c>
      <c r="B121" s="35" t="n"/>
      <c r="D121" s="36" t="n"/>
      <c r="E121" s="30">
        <f>IFERROR(SUM(D120:D121),"")</f>
        <v/>
      </c>
      <c r="F121" s="30">
        <f>IFERROR(IF(D121="","",FLOOR(E120/F117,1)+1),"")</f>
        <v/>
      </c>
      <c r="G121" s="30">
        <f>IFERROR(IF(D121="","",CEILING(E121/F117,1)),"")</f>
        <v/>
      </c>
      <c r="H121" s="30">
        <f>IFERROR(IF(D121="","",TEXT('Getting Started'!B7+(F121-1)*7,"MMM D")),"")</f>
        <v/>
      </c>
      <c r="I121" s="30">
        <f>IFERROR(IF(D121="","",TEXT('Getting Started'!B7+(G121)*7,"MMM D")),"")</f>
        <v/>
      </c>
      <c r="J121" s="34" t="n"/>
    </row>
    <row r="122" ht="18" customHeight="1">
      <c r="A122" s="33" t="n">
        <v>3</v>
      </c>
      <c r="B122" s="27" t="n"/>
      <c r="D122" s="34" t="n"/>
      <c r="E122" s="30">
        <f>IFERROR(SUM(D120:D122),"")</f>
        <v/>
      </c>
      <c r="F122" s="30">
        <f>IFERROR(IF(D122="","",FLOOR(E121/F117,1)+1),"")</f>
        <v/>
      </c>
      <c r="G122" s="30">
        <f>IFERROR(IF(D122="","",CEILING(E122/F117,1)),"")</f>
        <v/>
      </c>
      <c r="H122" s="30">
        <f>IFERROR(IF(D122="","",TEXT('Getting Started'!B7+(F122-1)*7,"MMM D")),"")</f>
        <v/>
      </c>
      <c r="I122" s="30">
        <f>IFERROR(IF(D122="","",TEXT('Getting Started'!B7+(G122)*7,"MMM D")),"")</f>
        <v/>
      </c>
      <c r="J122" s="34" t="n"/>
    </row>
    <row r="123" ht="18" customHeight="1">
      <c r="A123" s="33" t="n">
        <v>4</v>
      </c>
      <c r="B123" s="35" t="n"/>
      <c r="D123" s="36" t="n"/>
      <c r="E123" s="30">
        <f>IFERROR(SUM(D120:D123),"")</f>
        <v/>
      </c>
      <c r="F123" s="30">
        <f>IFERROR(IF(D123="","",FLOOR(E122/F117,1)+1),"")</f>
        <v/>
      </c>
      <c r="G123" s="30">
        <f>IFERROR(IF(D123="","",CEILING(E123/F117,1)),"")</f>
        <v/>
      </c>
      <c r="H123" s="30">
        <f>IFERROR(IF(D123="","",TEXT('Getting Started'!B7+(F123-1)*7,"MMM D")),"")</f>
        <v/>
      </c>
      <c r="I123" s="30">
        <f>IFERROR(IF(D123="","",TEXT('Getting Started'!B7+(G123)*7,"MMM D")),"")</f>
        <v/>
      </c>
      <c r="J123" s="34" t="n"/>
    </row>
    <row r="124" ht="18" customHeight="1">
      <c r="A124" s="33" t="n">
        <v>5</v>
      </c>
      <c r="B124" s="27" t="n"/>
      <c r="D124" s="34" t="n"/>
      <c r="E124" s="30">
        <f>IFERROR(SUM(D120:D124),"")</f>
        <v/>
      </c>
      <c r="F124" s="30">
        <f>IFERROR(IF(D124="","",FLOOR(E123/F117,1)+1),"")</f>
        <v/>
      </c>
      <c r="G124" s="30">
        <f>IFERROR(IF(D124="","",CEILING(E124/F117,1)),"")</f>
        <v/>
      </c>
      <c r="H124" s="30">
        <f>IFERROR(IF(D124="","",TEXT('Getting Started'!B7+(F124-1)*7,"MMM D")),"")</f>
        <v/>
      </c>
      <c r="I124" s="30">
        <f>IFERROR(IF(D124="","",TEXT('Getting Started'!B7+(G124)*7,"MMM D")),"")</f>
        <v/>
      </c>
      <c r="J124" s="34" t="n"/>
    </row>
    <row r="125" ht="18" customHeight="1">
      <c r="A125" s="33" t="n">
        <v>6</v>
      </c>
      <c r="B125" s="35" t="n"/>
      <c r="D125" s="36" t="n"/>
      <c r="E125" s="30">
        <f>IFERROR(SUM(D120:D125),"")</f>
        <v/>
      </c>
      <c r="F125" s="30">
        <f>IFERROR(IF(D125="","",FLOOR(E124/F117,1)+1),"")</f>
        <v/>
      </c>
      <c r="G125" s="30">
        <f>IFERROR(IF(D125="","",CEILING(E125/F117,1)),"")</f>
        <v/>
      </c>
      <c r="H125" s="30">
        <f>IFERROR(IF(D125="","",TEXT('Getting Started'!B7+(F125-1)*7,"MMM D")),"")</f>
        <v/>
      </c>
      <c r="I125" s="30">
        <f>IFERROR(IF(D125="","",TEXT('Getting Started'!B7+(G125)*7,"MMM D")),"")</f>
        <v/>
      </c>
      <c r="J125" s="34" t="n"/>
    </row>
    <row r="126" ht="20" customHeight="1">
      <c r="A126" s="55" t="inlineStr">
        <is>
          <t>Notes:</t>
        </is>
      </c>
      <c r="B126" s="37" t="n"/>
    </row>
  </sheetData>
  <mergeCells count="133">
    <mergeCell ref="B100:C100"/>
    <mergeCell ref="I104:J104"/>
    <mergeCell ref="B68:E68"/>
    <mergeCell ref="A91:J91"/>
    <mergeCell ref="A43:J43"/>
    <mergeCell ref="B12:C12"/>
    <mergeCell ref="B77:C77"/>
    <mergeCell ref="B78:J78"/>
    <mergeCell ref="A115:J115"/>
    <mergeCell ref="B86:C86"/>
    <mergeCell ref="B61:C61"/>
    <mergeCell ref="A34:J34"/>
    <mergeCell ref="B101:C101"/>
    <mergeCell ref="B14:C14"/>
    <mergeCell ref="B13:C13"/>
    <mergeCell ref="B38:C38"/>
    <mergeCell ref="G68:H68"/>
    <mergeCell ref="B112:C112"/>
    <mergeCell ref="B40:C40"/>
    <mergeCell ref="B49:C49"/>
    <mergeCell ref="I44:J44"/>
    <mergeCell ref="A118:J118"/>
    <mergeCell ref="G20:H20"/>
    <mergeCell ref="B24:C24"/>
    <mergeCell ref="B64:C64"/>
    <mergeCell ref="I20:J20"/>
    <mergeCell ref="B90:J90"/>
    <mergeCell ref="B51:C51"/>
    <mergeCell ref="B66:J66"/>
    <mergeCell ref="A55:J55"/>
    <mergeCell ref="B18:J18"/>
    <mergeCell ref="G44:H44"/>
    <mergeCell ref="B63:C63"/>
    <mergeCell ref="B26:C26"/>
    <mergeCell ref="B41:C41"/>
    <mergeCell ref="B35:C35"/>
    <mergeCell ref="B16:C16"/>
    <mergeCell ref="B25:C25"/>
    <mergeCell ref="A106:J106"/>
    <mergeCell ref="I80:J80"/>
    <mergeCell ref="A4:J4"/>
    <mergeCell ref="B104:E104"/>
    <mergeCell ref="B27:C27"/>
    <mergeCell ref="B32:E32"/>
    <mergeCell ref="A31:J31"/>
    <mergeCell ref="B11:C11"/>
    <mergeCell ref="A58:J58"/>
    <mergeCell ref="I32:J32"/>
    <mergeCell ref="A67:J67"/>
    <mergeCell ref="A82:J82"/>
    <mergeCell ref="B53:C53"/>
    <mergeCell ref="I56:J56"/>
    <mergeCell ref="B119:C119"/>
    <mergeCell ref="B29:C29"/>
    <mergeCell ref="B37:C37"/>
    <mergeCell ref="G104:H104"/>
    <mergeCell ref="A7:J7"/>
    <mergeCell ref="B84:C84"/>
    <mergeCell ref="I8:J8"/>
    <mergeCell ref="B54:J54"/>
    <mergeCell ref="B15:C15"/>
    <mergeCell ref="B95:C95"/>
    <mergeCell ref="B89:C89"/>
    <mergeCell ref="B116:E116"/>
    <mergeCell ref="A2:J2"/>
    <mergeCell ref="B97:C97"/>
    <mergeCell ref="B125:C125"/>
    <mergeCell ref="B72:C72"/>
    <mergeCell ref="A22:J22"/>
    <mergeCell ref="B42:J42"/>
    <mergeCell ref="B121:C121"/>
    <mergeCell ref="I116:J116"/>
    <mergeCell ref="B80:E80"/>
    <mergeCell ref="B122:C122"/>
    <mergeCell ref="B96:C96"/>
    <mergeCell ref="B71:C71"/>
    <mergeCell ref="B52:C52"/>
    <mergeCell ref="G116:H116"/>
    <mergeCell ref="B120:C120"/>
    <mergeCell ref="B98:C98"/>
    <mergeCell ref="B107:C107"/>
    <mergeCell ref="B60:C60"/>
    <mergeCell ref="B17:C17"/>
    <mergeCell ref="B88:C88"/>
    <mergeCell ref="B30:J30"/>
    <mergeCell ref="B56:E56"/>
    <mergeCell ref="A79:J79"/>
    <mergeCell ref="A70:J70"/>
    <mergeCell ref="B28:C28"/>
    <mergeCell ref="G80:H80"/>
    <mergeCell ref="B99:C99"/>
    <mergeCell ref="B108:C108"/>
    <mergeCell ref="B126:J126"/>
    <mergeCell ref="B83:C83"/>
    <mergeCell ref="B124:C124"/>
    <mergeCell ref="G32:H32"/>
    <mergeCell ref="B76:C76"/>
    <mergeCell ref="B44:E44"/>
    <mergeCell ref="B85:C85"/>
    <mergeCell ref="G56:H56"/>
    <mergeCell ref="B75:C75"/>
    <mergeCell ref="B109:C109"/>
    <mergeCell ref="B47:C47"/>
    <mergeCell ref="B62:C62"/>
    <mergeCell ref="B59:C59"/>
    <mergeCell ref="B92:E92"/>
    <mergeCell ref="B20:E20"/>
    <mergeCell ref="G8:H8"/>
    <mergeCell ref="A10:J10"/>
    <mergeCell ref="A19:J19"/>
    <mergeCell ref="B39:C39"/>
    <mergeCell ref="B48:C48"/>
    <mergeCell ref="B111:C111"/>
    <mergeCell ref="B23:C23"/>
    <mergeCell ref="B73:C73"/>
    <mergeCell ref="A1:J1"/>
    <mergeCell ref="B87:C87"/>
    <mergeCell ref="I68:J68"/>
    <mergeCell ref="A94:J94"/>
    <mergeCell ref="G92:H92"/>
    <mergeCell ref="A103:J103"/>
    <mergeCell ref="B114:J114"/>
    <mergeCell ref="I92:J92"/>
    <mergeCell ref="B65:C65"/>
    <mergeCell ref="B74:C74"/>
    <mergeCell ref="A46:J46"/>
    <mergeCell ref="B8:E8"/>
    <mergeCell ref="B123:C123"/>
    <mergeCell ref="B36:C36"/>
    <mergeCell ref="B102:J102"/>
    <mergeCell ref="B50:C50"/>
    <mergeCell ref="B110:C110"/>
    <mergeCell ref="B113:C1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2026-06-02T19:39:56Z</dcterms:created>
  <dcterms:modified xsi:type="dcterms:W3CDTF">2026-06-02T19:39:57Z</dcterms:modified>
</cp:coreProperties>
</file>